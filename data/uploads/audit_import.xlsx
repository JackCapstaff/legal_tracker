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netorgft3441641-my.sharepoint.com/personal/jack_jackcapstaff_com/Documents/Jack/Coding/case_tracker_flask/legal_tracker/data/uploads/"/>
    </mc:Choice>
  </mc:AlternateContent>
  <xr:revisionPtr revIDLastSave="0" documentId="8_{54DA855F-6202-4020-923E-5FF340AFFCC6}" xr6:coauthVersionLast="47" xr6:coauthVersionMax="47" xr10:uidLastSave="{00000000-0000-0000-0000-000000000000}"/>
  <bookViews>
    <workbookView xWindow="-120" yWindow="-120" windowWidth="29040" windowHeight="15840" xr2:uid="{C057A81B-922A-4EFF-8723-6EB361D4C2F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87" i="1" l="1"/>
  <c r="F887" i="1" a="1"/>
  <c r="F887" i="1" s="1"/>
  <c r="G886" i="1"/>
  <c r="F886" i="1" a="1"/>
  <c r="F886" i="1" s="1"/>
  <c r="G885" i="1"/>
  <c r="F885" i="1" a="1"/>
  <c r="F885" i="1" s="1"/>
  <c r="G884" i="1"/>
  <c r="F884" i="1" a="1"/>
  <c r="F884" i="1" s="1"/>
  <c r="G883" i="1"/>
  <c r="F883" i="1" a="1"/>
  <c r="F883" i="1" s="1"/>
  <c r="G882" i="1"/>
  <c r="F882" i="1" a="1"/>
  <c r="F882" i="1" s="1"/>
  <c r="G881" i="1"/>
  <c r="F881" i="1" a="1"/>
  <c r="F881" i="1" s="1"/>
  <c r="G880" i="1"/>
  <c r="F880" i="1" a="1"/>
  <c r="F880" i="1" s="1"/>
  <c r="G879" i="1"/>
  <c r="F879" i="1" a="1"/>
  <c r="F879" i="1" s="1"/>
  <c r="G878" i="1"/>
  <c r="F878" i="1"/>
  <c r="F878" i="1" a="1"/>
  <c r="G877" i="1"/>
  <c r="F877" i="1" a="1"/>
  <c r="F877" i="1" s="1"/>
  <c r="G876" i="1"/>
  <c r="F876" i="1" a="1"/>
  <c r="F876" i="1" s="1"/>
  <c r="G875" i="1"/>
  <c r="F875" i="1" a="1"/>
  <c r="F875" i="1" s="1"/>
  <c r="G874" i="1"/>
  <c r="F874" i="1" a="1"/>
  <c r="F874" i="1" s="1"/>
  <c r="G873" i="1"/>
  <c r="F873" i="1" a="1"/>
  <c r="F873" i="1" s="1"/>
  <c r="G872" i="1"/>
  <c r="F872" i="1" a="1"/>
  <c r="F872" i="1" s="1"/>
  <c r="G871" i="1"/>
  <c r="F871" i="1" a="1"/>
  <c r="F871" i="1" s="1"/>
  <c r="G870" i="1"/>
  <c r="F870" i="1" a="1"/>
  <c r="F870" i="1" s="1"/>
  <c r="G869" i="1"/>
  <c r="F869" i="1" a="1"/>
  <c r="F869" i="1" s="1"/>
  <c r="G868" i="1"/>
  <c r="F868" i="1" a="1"/>
  <c r="F868" i="1" s="1"/>
  <c r="G867" i="1"/>
  <c r="F867" i="1" a="1"/>
  <c r="F867" i="1" s="1"/>
  <c r="G866" i="1"/>
  <c r="F866" i="1" a="1"/>
  <c r="F866" i="1" s="1"/>
  <c r="G865" i="1"/>
  <c r="F865" i="1" a="1"/>
  <c r="F865" i="1" s="1"/>
  <c r="G864" i="1"/>
  <c r="F864" i="1" a="1"/>
  <c r="F864" i="1" s="1"/>
  <c r="G863" i="1"/>
  <c r="F863" i="1"/>
  <c r="F863" i="1" a="1"/>
  <c r="G862" i="1"/>
  <c r="F862" i="1" a="1"/>
  <c r="F862" i="1" s="1"/>
  <c r="G861" i="1"/>
  <c r="F861" i="1" a="1"/>
  <c r="F861" i="1" s="1"/>
  <c r="G860" i="1"/>
  <c r="F860" i="1" a="1"/>
  <c r="F860" i="1" s="1"/>
  <c r="G859" i="1"/>
  <c r="F859" i="1" a="1"/>
  <c r="F859" i="1" s="1"/>
  <c r="G858" i="1"/>
  <c r="F858" i="1" a="1"/>
  <c r="F858" i="1" s="1"/>
  <c r="G857" i="1"/>
  <c r="F857" i="1" a="1"/>
  <c r="F857" i="1" s="1"/>
  <c r="G856" i="1"/>
  <c r="F856" i="1" a="1"/>
  <c r="F856" i="1" s="1"/>
  <c r="G855" i="1"/>
  <c r="F855" i="1" a="1"/>
  <c r="F855" i="1" s="1"/>
  <c r="G854" i="1"/>
  <c r="F854" i="1" a="1"/>
  <c r="F854" i="1" s="1"/>
  <c r="G853" i="1"/>
  <c r="F853" i="1" a="1"/>
  <c r="F853" i="1" s="1"/>
  <c r="G852" i="1"/>
  <c r="F852" i="1" a="1"/>
  <c r="F852" i="1" s="1"/>
  <c r="G851" i="1"/>
  <c r="F851" i="1" a="1"/>
  <c r="F851" i="1" s="1"/>
  <c r="G850" i="1"/>
  <c r="F850" i="1"/>
  <c r="F850" i="1" a="1"/>
  <c r="G849" i="1"/>
  <c r="F849" i="1" a="1"/>
  <c r="F849" i="1" s="1"/>
  <c r="G848" i="1"/>
  <c r="F848" i="1" a="1"/>
  <c r="F848" i="1" s="1"/>
  <c r="G847" i="1"/>
  <c r="F847" i="1" a="1"/>
  <c r="F847" i="1" s="1"/>
  <c r="G846" i="1"/>
  <c r="F846" i="1" a="1"/>
  <c r="F846" i="1" s="1"/>
  <c r="G845" i="1"/>
  <c r="F845" i="1" a="1"/>
  <c r="F845" i="1" s="1"/>
  <c r="G844" i="1"/>
  <c r="F844" i="1"/>
  <c r="F844" i="1" a="1"/>
  <c r="G843" i="1"/>
  <c r="F843" i="1" a="1"/>
  <c r="F843" i="1" s="1"/>
  <c r="G842" i="1"/>
  <c r="F842" i="1" a="1"/>
  <c r="F842" i="1" s="1"/>
  <c r="G841" i="1"/>
  <c r="F841" i="1" a="1"/>
  <c r="F841" i="1" s="1"/>
  <c r="G840" i="1"/>
  <c r="F840" i="1"/>
  <c r="F840" i="1" a="1"/>
  <c r="G839" i="1"/>
  <c r="F839" i="1" a="1"/>
  <c r="F839" i="1" s="1"/>
  <c r="G838" i="1"/>
  <c r="F838" i="1"/>
  <c r="F838" i="1" a="1"/>
  <c r="G837" i="1"/>
  <c r="F837" i="1"/>
  <c r="F837" i="1" a="1"/>
  <c r="G836" i="1"/>
  <c r="F836" i="1" a="1"/>
  <c r="F836" i="1" s="1"/>
  <c r="G835" i="1"/>
  <c r="F835" i="1" a="1"/>
  <c r="F835" i="1" s="1"/>
  <c r="G834" i="1"/>
  <c r="F834" i="1" a="1"/>
  <c r="F834" i="1" s="1"/>
  <c r="G833" i="1"/>
  <c r="F833" i="1" a="1"/>
  <c r="F833" i="1" s="1"/>
  <c r="G832" i="1"/>
  <c r="F832" i="1"/>
  <c r="F832" i="1" a="1"/>
  <c r="G831" i="1"/>
  <c r="F831" i="1"/>
  <c r="F831" i="1" a="1"/>
  <c r="G830" i="1"/>
  <c r="F830" i="1" a="1"/>
  <c r="F830" i="1" s="1"/>
  <c r="G829" i="1"/>
  <c r="F829" i="1" a="1"/>
  <c r="F829" i="1" s="1"/>
  <c r="G828" i="1"/>
  <c r="F828" i="1" a="1"/>
  <c r="F828" i="1" s="1"/>
  <c r="G827" i="1"/>
  <c r="F827" i="1" a="1"/>
  <c r="F827" i="1" s="1"/>
  <c r="G826" i="1"/>
  <c r="F826" i="1" a="1"/>
  <c r="F826" i="1" s="1"/>
  <c r="G825" i="1"/>
  <c r="F825" i="1" a="1"/>
  <c r="F825" i="1" s="1"/>
  <c r="G824" i="1"/>
  <c r="F824" i="1"/>
  <c r="F824" i="1" a="1"/>
  <c r="G823" i="1"/>
  <c r="F823" i="1" a="1"/>
  <c r="F823" i="1" s="1"/>
  <c r="G822" i="1"/>
  <c r="F822" i="1"/>
  <c r="F822" i="1" a="1"/>
  <c r="G821" i="1"/>
  <c r="F821" i="1" a="1"/>
  <c r="F821" i="1" s="1"/>
  <c r="G820" i="1"/>
  <c r="F820" i="1" a="1"/>
  <c r="F820" i="1" s="1"/>
  <c r="G819" i="1"/>
  <c r="F819" i="1" a="1"/>
  <c r="F819" i="1" s="1"/>
  <c r="G818" i="1"/>
  <c r="F818" i="1" a="1"/>
  <c r="F818" i="1" s="1"/>
  <c r="G817" i="1"/>
  <c r="F817" i="1" a="1"/>
  <c r="F817" i="1" s="1"/>
  <c r="G816" i="1"/>
  <c r="F816" i="1"/>
  <c r="F816" i="1" a="1"/>
  <c r="G815" i="1"/>
  <c r="F815" i="1" a="1"/>
  <c r="F815" i="1" s="1"/>
  <c r="G814" i="1"/>
  <c r="F814" i="1" a="1"/>
  <c r="F814" i="1" s="1"/>
  <c r="G813" i="1"/>
  <c r="F813" i="1" a="1"/>
  <c r="F813" i="1" s="1"/>
  <c r="G812" i="1"/>
  <c r="F812" i="1" a="1"/>
  <c r="F812" i="1" s="1"/>
  <c r="G811" i="1"/>
  <c r="F811" i="1" a="1"/>
  <c r="F811" i="1" s="1"/>
  <c r="G810" i="1"/>
  <c r="F810" i="1"/>
  <c r="F810" i="1" a="1"/>
  <c r="G809" i="1"/>
  <c r="F809" i="1" a="1"/>
  <c r="F809" i="1" s="1"/>
  <c r="G808" i="1"/>
  <c r="F808" i="1"/>
  <c r="F808" i="1" a="1"/>
  <c r="G807" i="1"/>
  <c r="F807" i="1" a="1"/>
  <c r="F807" i="1" s="1"/>
  <c r="G806" i="1"/>
  <c r="F806" i="1" a="1"/>
  <c r="F806" i="1" s="1"/>
  <c r="G805" i="1"/>
  <c r="F805" i="1" a="1"/>
  <c r="F805" i="1" s="1"/>
  <c r="G804" i="1"/>
  <c r="F804" i="1" a="1"/>
  <c r="F804" i="1" s="1"/>
  <c r="G803" i="1"/>
  <c r="F803" i="1" a="1"/>
  <c r="F803" i="1" s="1"/>
  <c r="G802" i="1"/>
  <c r="F802" i="1"/>
  <c r="F802" i="1" a="1"/>
  <c r="G801" i="1"/>
  <c r="F801" i="1" a="1"/>
  <c r="F801" i="1" s="1"/>
  <c r="G800" i="1"/>
  <c r="F800" i="1" a="1"/>
  <c r="F800" i="1" s="1"/>
  <c r="G799" i="1"/>
  <c r="F799" i="1" a="1"/>
  <c r="F799" i="1" s="1"/>
  <c r="G798" i="1"/>
  <c r="F798" i="1"/>
  <c r="F798" i="1" a="1"/>
  <c r="G797" i="1"/>
  <c r="F797" i="1" a="1"/>
  <c r="F797" i="1" s="1"/>
  <c r="G796" i="1"/>
  <c r="F796" i="1" a="1"/>
  <c r="F796" i="1" s="1"/>
  <c r="G795" i="1"/>
  <c r="F795" i="1" a="1"/>
  <c r="F795" i="1" s="1"/>
  <c r="G794" i="1"/>
  <c r="F794" i="1" a="1"/>
  <c r="F794" i="1" s="1"/>
  <c r="G793" i="1"/>
  <c r="F793" i="1" a="1"/>
  <c r="F793" i="1" s="1"/>
  <c r="G792" i="1"/>
  <c r="F792" i="1"/>
  <c r="F792" i="1" a="1"/>
  <c r="G791" i="1"/>
  <c r="F791" i="1" a="1"/>
  <c r="F791" i="1" s="1"/>
  <c r="G790" i="1"/>
  <c r="F790" i="1" a="1"/>
  <c r="F790" i="1" s="1"/>
  <c r="G789" i="1"/>
  <c r="F789" i="1" a="1"/>
  <c r="F789" i="1" s="1"/>
  <c r="G788" i="1"/>
  <c r="F788" i="1" a="1"/>
  <c r="F788" i="1" s="1"/>
  <c r="G787" i="1"/>
  <c r="F787" i="1" a="1"/>
  <c r="F787" i="1" s="1"/>
  <c r="G786" i="1"/>
  <c r="F786" i="1" a="1"/>
  <c r="F786" i="1" s="1"/>
  <c r="G785" i="1"/>
  <c r="F785" i="1" a="1"/>
  <c r="F785" i="1" s="1"/>
  <c r="G784" i="1"/>
  <c r="F784" i="1" a="1"/>
  <c r="F784" i="1" s="1"/>
  <c r="G783" i="1"/>
  <c r="F783" i="1"/>
  <c r="F783" i="1" a="1"/>
  <c r="G782" i="1"/>
  <c r="F782" i="1"/>
  <c r="F782" i="1" a="1"/>
  <c r="G781" i="1"/>
  <c r="F781" i="1" a="1"/>
  <c r="F781" i="1" s="1"/>
  <c r="G780" i="1"/>
  <c r="F780" i="1"/>
  <c r="F780" i="1" a="1"/>
  <c r="G779" i="1"/>
  <c r="F779" i="1" a="1"/>
  <c r="F779" i="1" s="1"/>
  <c r="G778" i="1"/>
  <c r="F778" i="1"/>
  <c r="F778" i="1" a="1"/>
  <c r="G777" i="1"/>
  <c r="F777" i="1" a="1"/>
  <c r="F777" i="1" s="1"/>
  <c r="G776" i="1"/>
  <c r="F776" i="1"/>
  <c r="F776" i="1" a="1"/>
  <c r="G775" i="1"/>
  <c r="F775" i="1" a="1"/>
  <c r="F775" i="1" s="1"/>
  <c r="G774" i="1"/>
  <c r="F774" i="1"/>
  <c r="F774" i="1" a="1"/>
  <c r="G773" i="1"/>
  <c r="F773" i="1" a="1"/>
  <c r="F773" i="1" s="1"/>
  <c r="G772" i="1"/>
  <c r="F772" i="1" a="1"/>
  <c r="F772" i="1" s="1"/>
  <c r="G771" i="1"/>
  <c r="F771" i="1" a="1"/>
  <c r="F771" i="1" s="1"/>
  <c r="G770" i="1"/>
  <c r="F770" i="1"/>
  <c r="F770" i="1" a="1"/>
  <c r="G769" i="1"/>
  <c r="F769" i="1" a="1"/>
  <c r="F769" i="1" s="1"/>
  <c r="G768" i="1"/>
  <c r="F768" i="1" a="1"/>
  <c r="F768" i="1" s="1"/>
  <c r="G767" i="1"/>
  <c r="F767" i="1"/>
  <c r="F767" i="1" a="1"/>
  <c r="G766" i="1"/>
  <c r="F766" i="1" a="1"/>
  <c r="F766" i="1" s="1"/>
  <c r="G765" i="1"/>
  <c r="F765" i="1" a="1"/>
  <c r="F765" i="1" s="1"/>
  <c r="G764" i="1"/>
  <c r="F764" i="1"/>
  <c r="F764" i="1" a="1"/>
  <c r="G763" i="1"/>
  <c r="F763" i="1"/>
  <c r="F763" i="1" a="1"/>
  <c r="G762" i="1"/>
  <c r="F762" i="1"/>
  <c r="F762" i="1" a="1"/>
  <c r="G761" i="1"/>
  <c r="F761" i="1" a="1"/>
  <c r="F761" i="1" s="1"/>
  <c r="G760" i="1"/>
  <c r="F760" i="1" a="1"/>
  <c r="F760" i="1" s="1"/>
  <c r="G759" i="1"/>
  <c r="F759" i="1" a="1"/>
  <c r="F759" i="1" s="1"/>
  <c r="G758" i="1"/>
  <c r="F758" i="1" a="1"/>
  <c r="F758" i="1" s="1"/>
  <c r="G757" i="1"/>
  <c r="F757" i="1" a="1"/>
  <c r="F757" i="1" s="1"/>
  <c r="G756" i="1"/>
  <c r="F756" i="1" a="1"/>
  <c r="F756" i="1" s="1"/>
  <c r="G755" i="1"/>
  <c r="F755" i="1" a="1"/>
  <c r="F755" i="1" s="1"/>
  <c r="G754" i="1"/>
  <c r="F754" i="1"/>
  <c r="F754" i="1" a="1"/>
  <c r="G753" i="1"/>
  <c r="F753" i="1" a="1"/>
  <c r="F753" i="1" s="1"/>
  <c r="G752" i="1"/>
  <c r="F752" i="1" a="1"/>
  <c r="F752" i="1" s="1"/>
  <c r="G751" i="1"/>
  <c r="F751" i="1" a="1"/>
  <c r="F751" i="1" s="1"/>
  <c r="G750" i="1"/>
  <c r="F750" i="1" a="1"/>
  <c r="F750" i="1" s="1"/>
  <c r="G749" i="1"/>
  <c r="F749" i="1" a="1"/>
  <c r="F749" i="1" s="1"/>
  <c r="G748" i="1"/>
  <c r="F748" i="1"/>
  <c r="F748" i="1" a="1"/>
  <c r="G747" i="1"/>
  <c r="F747" i="1" a="1"/>
  <c r="F747" i="1" s="1"/>
  <c r="G746" i="1"/>
  <c r="F746" i="1"/>
  <c r="F746" i="1" a="1"/>
  <c r="G745" i="1"/>
  <c r="F745" i="1" a="1"/>
  <c r="F745" i="1" s="1"/>
  <c r="G744" i="1"/>
  <c r="F744" i="1"/>
  <c r="F744" i="1" a="1"/>
  <c r="G743" i="1"/>
  <c r="F743" i="1" a="1"/>
  <c r="F743" i="1" s="1"/>
  <c r="G742" i="1"/>
  <c r="F742" i="1"/>
  <c r="F742" i="1" a="1"/>
  <c r="G741" i="1"/>
  <c r="F741" i="1" a="1"/>
  <c r="F741" i="1" s="1"/>
  <c r="G740" i="1"/>
  <c r="F740" i="1" a="1"/>
  <c r="F740" i="1" s="1"/>
  <c r="G739" i="1"/>
  <c r="F739" i="1" a="1"/>
  <c r="F739" i="1" s="1"/>
  <c r="G738" i="1"/>
  <c r="F738" i="1" a="1"/>
  <c r="F738" i="1" s="1"/>
  <c r="G737" i="1"/>
  <c r="F737" i="1" a="1"/>
  <c r="F737" i="1" s="1"/>
  <c r="G736" i="1"/>
  <c r="F736" i="1" a="1"/>
  <c r="F736" i="1" s="1"/>
  <c r="G735" i="1"/>
  <c r="F735" i="1" a="1"/>
  <c r="F735" i="1" s="1"/>
  <c r="G734" i="1"/>
  <c r="F734" i="1" a="1"/>
  <c r="F734" i="1" s="1"/>
  <c r="G733" i="1"/>
  <c r="F733" i="1"/>
  <c r="F733" i="1" a="1"/>
  <c r="G732" i="1"/>
  <c r="F732" i="1" a="1"/>
  <c r="F732" i="1" s="1"/>
  <c r="G731" i="1"/>
  <c r="F731" i="1"/>
  <c r="F731" i="1" a="1"/>
  <c r="G730" i="1"/>
  <c r="F730" i="1" a="1"/>
  <c r="F730" i="1" s="1"/>
  <c r="G729" i="1"/>
  <c r="F729" i="1" a="1"/>
  <c r="F729" i="1" s="1"/>
  <c r="G728" i="1"/>
  <c r="F728" i="1"/>
  <c r="F728" i="1" a="1"/>
  <c r="G727" i="1"/>
  <c r="F727" i="1" a="1"/>
  <c r="F727" i="1" s="1"/>
  <c r="G726" i="1"/>
  <c r="F726" i="1" a="1"/>
  <c r="F726" i="1" s="1"/>
  <c r="G725" i="1"/>
  <c r="F725" i="1" a="1"/>
  <c r="F725" i="1" s="1"/>
  <c r="G724" i="1"/>
  <c r="F724" i="1" a="1"/>
  <c r="F724" i="1" s="1"/>
  <c r="G723" i="1"/>
  <c r="F723" i="1" a="1"/>
  <c r="F723" i="1" s="1"/>
  <c r="G722" i="1"/>
  <c r="F722" i="1" a="1"/>
  <c r="F722" i="1" s="1"/>
  <c r="G721" i="1"/>
  <c r="F721" i="1" a="1"/>
  <c r="F721" i="1" s="1"/>
  <c r="G720" i="1"/>
  <c r="F720" i="1" a="1"/>
  <c r="F720" i="1" s="1"/>
  <c r="G719" i="1"/>
  <c r="F719" i="1" a="1"/>
  <c r="F719" i="1" s="1"/>
  <c r="G718" i="1"/>
  <c r="F718" i="1" a="1"/>
  <c r="F718" i="1" s="1"/>
  <c r="G717" i="1"/>
  <c r="F717" i="1" a="1"/>
  <c r="F717" i="1" s="1"/>
  <c r="G716" i="1"/>
  <c r="F716" i="1"/>
  <c r="F716" i="1" a="1"/>
  <c r="G715" i="1"/>
  <c r="F715" i="1"/>
  <c r="F715" i="1" a="1"/>
  <c r="G714" i="1"/>
  <c r="F714" i="1"/>
  <c r="F714" i="1" a="1"/>
  <c r="G713" i="1"/>
  <c r="F713" i="1" a="1"/>
  <c r="F713" i="1" s="1"/>
  <c r="G712" i="1"/>
  <c r="F712" i="1" a="1"/>
  <c r="F712" i="1" s="1"/>
  <c r="G711" i="1"/>
  <c r="F711" i="1" a="1"/>
  <c r="F711" i="1" s="1"/>
  <c r="G710" i="1"/>
  <c r="F710" i="1" a="1"/>
  <c r="F710" i="1" s="1"/>
  <c r="G709" i="1"/>
  <c r="F709" i="1"/>
  <c r="F709" i="1" a="1"/>
  <c r="G708" i="1"/>
  <c r="F708" i="1" a="1"/>
  <c r="F708" i="1" s="1"/>
  <c r="G707" i="1"/>
  <c r="F707" i="1" a="1"/>
  <c r="F707" i="1" s="1"/>
  <c r="G706" i="1"/>
  <c r="F706" i="1" a="1"/>
  <c r="F706" i="1" s="1"/>
  <c r="G705" i="1"/>
  <c r="F705" i="1" a="1"/>
  <c r="F705" i="1" s="1"/>
  <c r="G704" i="1"/>
  <c r="F704" i="1" a="1"/>
  <c r="F704" i="1" s="1"/>
  <c r="G703" i="1"/>
  <c r="F703" i="1" a="1"/>
  <c r="F703" i="1" s="1"/>
  <c r="G702" i="1"/>
  <c r="F702" i="1"/>
  <c r="F702" i="1" a="1"/>
  <c r="G701" i="1"/>
  <c r="F701" i="1"/>
  <c r="F701" i="1" a="1"/>
  <c r="G700" i="1"/>
  <c r="F700" i="1"/>
  <c r="F700" i="1" a="1"/>
  <c r="G699" i="1"/>
  <c r="F699" i="1"/>
  <c r="F699" i="1" a="1"/>
  <c r="G698" i="1"/>
  <c r="F698" i="1"/>
  <c r="F698" i="1" a="1"/>
  <c r="G697" i="1"/>
  <c r="F697" i="1" a="1"/>
  <c r="F697" i="1" s="1"/>
  <c r="G696" i="1"/>
  <c r="F696" i="1"/>
  <c r="F696" i="1" a="1"/>
  <c r="G695" i="1"/>
  <c r="F695" i="1" a="1"/>
  <c r="F695" i="1" s="1"/>
  <c r="G694" i="1"/>
  <c r="F694" i="1"/>
  <c r="F694" i="1" a="1"/>
  <c r="G693" i="1"/>
  <c r="F693" i="1"/>
  <c r="F693" i="1" a="1"/>
  <c r="G692" i="1"/>
  <c r="F692" i="1" a="1"/>
  <c r="F692" i="1" s="1"/>
  <c r="G691" i="1"/>
  <c r="F691" i="1" a="1"/>
  <c r="F691" i="1" s="1"/>
  <c r="G690" i="1"/>
  <c r="F690" i="1" a="1"/>
  <c r="F690" i="1" s="1"/>
  <c r="G689" i="1"/>
  <c r="F689" i="1" a="1"/>
  <c r="F689" i="1" s="1"/>
  <c r="G688" i="1"/>
  <c r="F688" i="1" a="1"/>
  <c r="F688" i="1" s="1"/>
  <c r="G687" i="1"/>
  <c r="F687" i="1"/>
  <c r="F687" i="1" a="1"/>
  <c r="G686" i="1"/>
  <c r="F686" i="1"/>
  <c r="F686" i="1" a="1"/>
  <c r="G685" i="1"/>
  <c r="F685" i="1"/>
  <c r="F685" i="1" a="1"/>
  <c r="G684" i="1"/>
  <c r="F684" i="1"/>
  <c r="F684" i="1" a="1"/>
  <c r="G683" i="1"/>
  <c r="F683" i="1" a="1"/>
  <c r="F683" i="1" s="1"/>
  <c r="G682" i="1"/>
  <c r="F682" i="1" a="1"/>
  <c r="F682" i="1" s="1"/>
  <c r="G681" i="1"/>
  <c r="F681" i="1" a="1"/>
  <c r="F681" i="1" s="1"/>
  <c r="G680" i="1"/>
  <c r="F680" i="1" a="1"/>
  <c r="F680" i="1" s="1"/>
  <c r="G679" i="1"/>
  <c r="F679" i="1" a="1"/>
  <c r="F679" i="1" s="1"/>
  <c r="G678" i="1"/>
  <c r="F678" i="1"/>
  <c r="F678" i="1" a="1"/>
  <c r="G677" i="1"/>
  <c r="F677" i="1" a="1"/>
  <c r="F677" i="1" s="1"/>
  <c r="G676" i="1"/>
  <c r="F676" i="1" a="1"/>
  <c r="F676" i="1" s="1"/>
  <c r="G675" i="1"/>
  <c r="F675" i="1" a="1"/>
  <c r="F675" i="1" s="1"/>
  <c r="G674" i="1"/>
  <c r="F674" i="1" a="1"/>
  <c r="F674" i="1" s="1"/>
  <c r="G673" i="1"/>
  <c r="F673" i="1" a="1"/>
  <c r="F673" i="1" s="1"/>
  <c r="G672" i="1"/>
  <c r="F672" i="1" a="1"/>
  <c r="F672" i="1" s="1"/>
  <c r="G671" i="1"/>
  <c r="F671" i="1" a="1"/>
  <c r="F671" i="1" s="1"/>
  <c r="G670" i="1"/>
  <c r="F670" i="1"/>
  <c r="F670" i="1" a="1"/>
  <c r="G669" i="1"/>
  <c r="F669" i="1" a="1"/>
  <c r="F669" i="1" s="1"/>
  <c r="G668" i="1"/>
  <c r="F668" i="1" a="1"/>
  <c r="F668" i="1" s="1"/>
  <c r="G667" i="1"/>
  <c r="F667" i="1" a="1"/>
  <c r="F667" i="1" s="1"/>
  <c r="G666" i="1"/>
  <c r="F666" i="1" a="1"/>
  <c r="F666" i="1" s="1"/>
  <c r="G665" i="1"/>
  <c r="F665" i="1" a="1"/>
  <c r="F665" i="1" s="1"/>
  <c r="G664" i="1"/>
  <c r="F664" i="1" a="1"/>
  <c r="F664" i="1" s="1"/>
  <c r="G663" i="1"/>
  <c r="F663" i="1" a="1"/>
  <c r="F663" i="1" s="1"/>
  <c r="G662" i="1"/>
  <c r="F662" i="1" a="1"/>
  <c r="F662" i="1" s="1"/>
  <c r="G661" i="1"/>
  <c r="F661" i="1" a="1"/>
  <c r="F661" i="1" s="1"/>
  <c r="G660" i="1"/>
  <c r="F660" i="1" a="1"/>
  <c r="F660" i="1" s="1"/>
  <c r="G659" i="1"/>
  <c r="F659" i="1" a="1"/>
  <c r="F659" i="1" s="1"/>
  <c r="G658" i="1"/>
  <c r="F658" i="1"/>
  <c r="F658" i="1" a="1"/>
  <c r="G657" i="1"/>
  <c r="F657" i="1" a="1"/>
  <c r="F657" i="1" s="1"/>
  <c r="G656" i="1"/>
  <c r="F656" i="1" a="1"/>
  <c r="F656" i="1" s="1"/>
  <c r="G655" i="1"/>
  <c r="F655" i="1" a="1"/>
  <c r="F655" i="1" s="1"/>
  <c r="G654" i="1"/>
  <c r="F654" i="1"/>
  <c r="F654" i="1" a="1"/>
  <c r="G653" i="1"/>
  <c r="F653" i="1" a="1"/>
  <c r="F653" i="1" s="1"/>
  <c r="G652" i="1"/>
  <c r="F652" i="1"/>
  <c r="F652" i="1" a="1"/>
  <c r="G651" i="1"/>
  <c r="F651" i="1" a="1"/>
  <c r="F651" i="1" s="1"/>
  <c r="G650" i="1"/>
  <c r="F650" i="1" a="1"/>
  <c r="F650" i="1" s="1"/>
  <c r="G649" i="1"/>
  <c r="F649" i="1" a="1"/>
  <c r="F649" i="1" s="1"/>
  <c r="G648" i="1"/>
  <c r="F648" i="1"/>
  <c r="F648" i="1" a="1"/>
  <c r="G647" i="1"/>
  <c r="F647" i="1" a="1"/>
  <c r="F647" i="1" s="1"/>
  <c r="G646" i="1"/>
  <c r="F646" i="1"/>
  <c r="F646" i="1" a="1"/>
  <c r="G645" i="1"/>
  <c r="F645" i="1" a="1"/>
  <c r="F645" i="1" s="1"/>
  <c r="G644" i="1"/>
  <c r="F644" i="1" a="1"/>
  <c r="F644" i="1" s="1"/>
  <c r="G643" i="1"/>
  <c r="F643" i="1" a="1"/>
  <c r="F643" i="1" s="1"/>
  <c r="G642" i="1"/>
  <c r="F642" i="1" a="1"/>
  <c r="F642" i="1" s="1"/>
  <c r="G641" i="1"/>
  <c r="F641" i="1" a="1"/>
  <c r="F641" i="1" s="1"/>
  <c r="G640" i="1"/>
  <c r="F640" i="1" a="1"/>
  <c r="F640" i="1" s="1"/>
  <c r="G639" i="1"/>
  <c r="F639" i="1" a="1"/>
  <c r="F639" i="1" s="1"/>
  <c r="G638" i="1"/>
  <c r="F638" i="1" a="1"/>
  <c r="F638" i="1" s="1"/>
  <c r="G637" i="1"/>
  <c r="F637" i="1" a="1"/>
  <c r="F637" i="1" s="1"/>
  <c r="G636" i="1"/>
  <c r="F636" i="1" a="1"/>
  <c r="F636" i="1" s="1"/>
  <c r="G635" i="1"/>
  <c r="F635" i="1"/>
  <c r="F635" i="1" a="1"/>
  <c r="G634" i="1"/>
  <c r="F634" i="1"/>
  <c r="F634" i="1" a="1"/>
  <c r="G633" i="1"/>
  <c r="F633" i="1" a="1"/>
  <c r="F633" i="1" s="1"/>
  <c r="G632" i="1"/>
  <c r="F632" i="1"/>
  <c r="F632" i="1" a="1"/>
  <c r="G631" i="1"/>
  <c r="F631" i="1" a="1"/>
  <c r="F631" i="1" s="1"/>
  <c r="G630" i="1"/>
  <c r="F630" i="1" a="1"/>
  <c r="F630" i="1" s="1"/>
  <c r="G629" i="1"/>
  <c r="F629" i="1"/>
  <c r="F629" i="1" a="1"/>
  <c r="G628" i="1"/>
  <c r="F628" i="1" a="1"/>
  <c r="F628" i="1" s="1"/>
  <c r="G627" i="1"/>
  <c r="F627" i="1" a="1"/>
  <c r="F627" i="1" s="1"/>
  <c r="G626" i="1"/>
  <c r="F626" i="1" a="1"/>
  <c r="F626" i="1" s="1"/>
  <c r="G625" i="1"/>
  <c r="F625" i="1" a="1"/>
  <c r="F625" i="1" s="1"/>
  <c r="G624" i="1"/>
  <c r="F624" i="1" a="1"/>
  <c r="F624" i="1" s="1"/>
  <c r="G623" i="1"/>
  <c r="F623" i="1" a="1"/>
  <c r="F623" i="1" s="1"/>
  <c r="G622" i="1"/>
  <c r="F622" i="1" a="1"/>
  <c r="F622" i="1" s="1"/>
  <c r="G621" i="1"/>
  <c r="F621" i="1"/>
  <c r="F621" i="1" a="1"/>
  <c r="G620" i="1"/>
  <c r="F620" i="1"/>
  <c r="F620" i="1" a="1"/>
  <c r="G619" i="1"/>
  <c r="F619" i="1"/>
  <c r="F619" i="1" a="1"/>
  <c r="G618" i="1"/>
  <c r="F618" i="1" a="1"/>
  <c r="F618" i="1" s="1"/>
  <c r="G617" i="1"/>
  <c r="F617" i="1" a="1"/>
  <c r="F617" i="1" s="1"/>
  <c r="G616" i="1"/>
  <c r="F616" i="1" a="1"/>
  <c r="F616" i="1" s="1"/>
  <c r="G615" i="1"/>
  <c r="F615" i="1" a="1"/>
  <c r="F615" i="1" s="1"/>
  <c r="G614" i="1"/>
  <c r="F614" i="1"/>
  <c r="F614" i="1" a="1"/>
  <c r="G613" i="1"/>
  <c r="F613" i="1"/>
  <c r="F613" i="1" a="1"/>
  <c r="G612" i="1"/>
  <c r="F612" i="1" a="1"/>
  <c r="F612" i="1" s="1"/>
  <c r="G611" i="1"/>
  <c r="F611" i="1" a="1"/>
  <c r="F611" i="1" s="1"/>
  <c r="G610" i="1"/>
  <c r="F610" i="1" a="1"/>
  <c r="F610" i="1" s="1"/>
  <c r="G609" i="1"/>
  <c r="F609" i="1" a="1"/>
  <c r="F609" i="1" s="1"/>
  <c r="G608" i="1"/>
  <c r="F608" i="1" a="1"/>
  <c r="F608" i="1" s="1"/>
  <c r="G607" i="1"/>
  <c r="F607" i="1"/>
  <c r="F607" i="1" a="1"/>
  <c r="G606" i="1"/>
  <c r="F606" i="1" a="1"/>
  <c r="F606" i="1" s="1"/>
  <c r="G605" i="1"/>
  <c r="F605" i="1" a="1"/>
  <c r="F605" i="1" s="1"/>
  <c r="G604" i="1"/>
  <c r="F604" i="1"/>
  <c r="F604" i="1" a="1"/>
  <c r="G603" i="1"/>
  <c r="F603" i="1"/>
  <c r="F603" i="1" a="1"/>
  <c r="G602" i="1"/>
  <c r="F602" i="1" a="1"/>
  <c r="F602" i="1" s="1"/>
  <c r="G601" i="1"/>
  <c r="F601" i="1" a="1"/>
  <c r="F601" i="1" s="1"/>
  <c r="G600" i="1"/>
  <c r="F600" i="1" a="1"/>
  <c r="F600" i="1" s="1"/>
  <c r="G599" i="1"/>
  <c r="F599" i="1" a="1"/>
  <c r="F599" i="1" s="1"/>
  <c r="G598" i="1"/>
  <c r="F598" i="1"/>
  <c r="F598" i="1" a="1"/>
  <c r="G597" i="1"/>
  <c r="F597" i="1"/>
  <c r="F597" i="1" a="1"/>
  <c r="G596" i="1"/>
  <c r="F596" i="1" a="1"/>
  <c r="F596" i="1" s="1"/>
  <c r="G595" i="1"/>
  <c r="F595" i="1" a="1"/>
  <c r="F595" i="1" s="1"/>
  <c r="G594" i="1"/>
  <c r="F594" i="1" a="1"/>
  <c r="F594" i="1" s="1"/>
  <c r="G593" i="1"/>
  <c r="F593" i="1" a="1"/>
  <c r="F593" i="1" s="1"/>
  <c r="G592" i="1"/>
  <c r="F592" i="1" a="1"/>
  <c r="F592" i="1" s="1"/>
  <c r="G591" i="1"/>
  <c r="F591" i="1" a="1"/>
  <c r="F591" i="1" s="1"/>
  <c r="G590" i="1"/>
  <c r="F590" i="1"/>
  <c r="F590" i="1" a="1"/>
  <c r="G589" i="1"/>
  <c r="F589" i="1" a="1"/>
  <c r="F589" i="1" s="1"/>
  <c r="G588" i="1"/>
  <c r="F588" i="1"/>
  <c r="F588" i="1" a="1"/>
  <c r="G587" i="1"/>
  <c r="F587" i="1"/>
  <c r="F587" i="1" a="1"/>
  <c r="G586" i="1"/>
  <c r="F586" i="1"/>
  <c r="F586" i="1" a="1"/>
  <c r="G585" i="1"/>
  <c r="F585" i="1" a="1"/>
  <c r="F585" i="1" s="1"/>
  <c r="G584" i="1"/>
  <c r="F584" i="1" a="1"/>
  <c r="F584" i="1" s="1"/>
  <c r="G583" i="1"/>
  <c r="F583" i="1" a="1"/>
  <c r="F583" i="1" s="1"/>
  <c r="G582" i="1"/>
  <c r="F582" i="1"/>
  <c r="F582" i="1" a="1"/>
  <c r="G581" i="1"/>
  <c r="F581" i="1"/>
  <c r="F581" i="1" a="1"/>
  <c r="G580" i="1"/>
  <c r="F580" i="1" a="1"/>
  <c r="F580" i="1" s="1"/>
  <c r="G579" i="1"/>
  <c r="F579" i="1" a="1"/>
  <c r="F579" i="1" s="1"/>
  <c r="G578" i="1"/>
  <c r="F578" i="1" a="1"/>
  <c r="F578" i="1" s="1"/>
  <c r="G577" i="1"/>
  <c r="F577" i="1" a="1"/>
  <c r="F577" i="1" s="1"/>
  <c r="G576" i="1"/>
  <c r="F576" i="1" a="1"/>
  <c r="F576" i="1" s="1"/>
  <c r="G575" i="1"/>
  <c r="F575" i="1"/>
  <c r="F575" i="1" a="1"/>
  <c r="G574" i="1"/>
  <c r="F574" i="1"/>
  <c r="F574" i="1" a="1"/>
  <c r="G573" i="1"/>
  <c r="F573" i="1"/>
  <c r="F573" i="1" a="1"/>
  <c r="G572" i="1"/>
  <c r="F572" i="1" a="1"/>
  <c r="F572" i="1" s="1"/>
  <c r="G571" i="1"/>
  <c r="F571" i="1"/>
  <c r="F571" i="1" a="1"/>
  <c r="G570" i="1"/>
  <c r="F570" i="1" a="1"/>
  <c r="F570" i="1" s="1"/>
  <c r="G569" i="1"/>
  <c r="F569" i="1" a="1"/>
  <c r="F569" i="1" s="1"/>
  <c r="G568" i="1"/>
  <c r="F568" i="1" a="1"/>
  <c r="F568" i="1" s="1"/>
  <c r="G567" i="1"/>
  <c r="F567" i="1" a="1"/>
  <c r="F567" i="1" s="1"/>
  <c r="G566" i="1"/>
  <c r="F566" i="1" a="1"/>
  <c r="F566" i="1" s="1"/>
  <c r="G565" i="1"/>
  <c r="F565" i="1" a="1"/>
  <c r="F565" i="1" s="1"/>
  <c r="G564" i="1"/>
  <c r="F564" i="1" a="1"/>
  <c r="F564" i="1" s="1"/>
  <c r="G563" i="1"/>
  <c r="F563" i="1" a="1"/>
  <c r="F563" i="1" s="1"/>
  <c r="G562" i="1"/>
  <c r="F562" i="1" a="1"/>
  <c r="F562" i="1" s="1"/>
  <c r="G561" i="1"/>
  <c r="F561" i="1" a="1"/>
  <c r="F561" i="1" s="1"/>
  <c r="G560" i="1"/>
  <c r="F560" i="1" a="1"/>
  <c r="F560" i="1" s="1"/>
  <c r="G559" i="1"/>
  <c r="F559" i="1" a="1"/>
  <c r="F559" i="1" s="1"/>
  <c r="G558" i="1"/>
  <c r="F558" i="1" a="1"/>
  <c r="F558" i="1" s="1"/>
  <c r="G557" i="1"/>
  <c r="F557" i="1" a="1"/>
  <c r="F557" i="1" s="1"/>
  <c r="G556" i="1"/>
  <c r="F556" i="1" a="1"/>
  <c r="F556" i="1" s="1"/>
  <c r="G555" i="1"/>
  <c r="F555" i="1" a="1"/>
  <c r="F555" i="1" s="1"/>
  <c r="G554" i="1"/>
  <c r="F554" i="1" a="1"/>
  <c r="F554" i="1" s="1"/>
  <c r="G553" i="1"/>
  <c r="F553" i="1" a="1"/>
  <c r="F553" i="1" s="1"/>
  <c r="G552" i="1"/>
  <c r="F552" i="1" a="1"/>
  <c r="F552" i="1" s="1"/>
  <c r="G551" i="1"/>
  <c r="F551" i="1" a="1"/>
  <c r="F551" i="1" s="1"/>
  <c r="G550" i="1"/>
  <c r="F550" i="1"/>
  <c r="F550" i="1" a="1"/>
  <c r="G549" i="1"/>
  <c r="F549" i="1" a="1"/>
  <c r="F549" i="1" s="1"/>
  <c r="G548" i="1"/>
  <c r="F548" i="1" a="1"/>
  <c r="F548" i="1" s="1"/>
  <c r="G547" i="1"/>
  <c r="F547" i="1" a="1"/>
  <c r="F547" i="1" s="1"/>
  <c r="G546" i="1"/>
  <c r="F546" i="1" a="1"/>
  <c r="F546" i="1" s="1"/>
  <c r="G545" i="1"/>
  <c r="F545" i="1" a="1"/>
  <c r="F545" i="1" s="1"/>
  <c r="G544" i="1"/>
  <c r="F544" i="1" a="1"/>
  <c r="F544" i="1" s="1"/>
  <c r="G543" i="1"/>
  <c r="F543" i="1"/>
  <c r="F543" i="1" a="1"/>
  <c r="G542" i="1"/>
  <c r="F542" i="1" a="1"/>
  <c r="F542" i="1" s="1"/>
  <c r="G541" i="1"/>
  <c r="F541" i="1"/>
  <c r="F541" i="1" a="1"/>
  <c r="G540" i="1"/>
  <c r="F540" i="1"/>
  <c r="F540" i="1" a="1"/>
  <c r="G539" i="1"/>
  <c r="F539" i="1" a="1"/>
  <c r="F539" i="1" s="1"/>
  <c r="G538" i="1"/>
  <c r="F538" i="1" a="1"/>
  <c r="F538" i="1" s="1"/>
  <c r="G537" i="1"/>
  <c r="F537" i="1" a="1"/>
  <c r="F537" i="1" s="1"/>
  <c r="G536" i="1"/>
  <c r="F536" i="1" a="1"/>
  <c r="F536" i="1" s="1"/>
  <c r="G535" i="1"/>
  <c r="F535" i="1" a="1"/>
  <c r="F535" i="1" s="1"/>
  <c r="G534" i="1"/>
  <c r="F534" i="1" a="1"/>
  <c r="F534" i="1" s="1"/>
  <c r="G533" i="1"/>
  <c r="F533" i="1" a="1"/>
  <c r="F533" i="1" s="1"/>
  <c r="G532" i="1"/>
  <c r="F532" i="1" a="1"/>
  <c r="F532" i="1" s="1"/>
  <c r="G531" i="1"/>
  <c r="F531" i="1" a="1"/>
  <c r="F531" i="1" s="1"/>
  <c r="G530" i="1"/>
  <c r="F530" i="1" a="1"/>
  <c r="F530" i="1" s="1"/>
  <c r="G529" i="1"/>
  <c r="F529" i="1" a="1"/>
  <c r="F529" i="1" s="1"/>
  <c r="G528" i="1"/>
  <c r="F528" i="1" a="1"/>
  <c r="F528" i="1" s="1"/>
  <c r="G527" i="1"/>
  <c r="F527" i="1" a="1"/>
  <c r="F527" i="1" s="1"/>
  <c r="G526" i="1"/>
  <c r="F526" i="1" a="1"/>
  <c r="F526" i="1" s="1"/>
  <c r="G525" i="1"/>
  <c r="F525" i="1" a="1"/>
  <c r="F525" i="1" s="1"/>
  <c r="G524" i="1"/>
  <c r="F524" i="1" a="1"/>
  <c r="F524" i="1" s="1"/>
  <c r="G523" i="1"/>
  <c r="F523" i="1" a="1"/>
  <c r="F523" i="1" s="1"/>
  <c r="G522" i="1"/>
  <c r="F522" i="1" a="1"/>
  <c r="F522" i="1" s="1"/>
  <c r="G521" i="1"/>
  <c r="F521" i="1" a="1"/>
  <c r="F521" i="1" s="1"/>
  <c r="G520" i="1"/>
  <c r="F520" i="1" a="1"/>
  <c r="F520" i="1" s="1"/>
  <c r="G519" i="1"/>
  <c r="F519" i="1" a="1"/>
  <c r="F519" i="1" s="1"/>
  <c r="G518" i="1"/>
  <c r="F518" i="1"/>
  <c r="F518" i="1" a="1"/>
  <c r="G517" i="1"/>
  <c r="F517" i="1" a="1"/>
  <c r="F517" i="1" s="1"/>
  <c r="G516" i="1"/>
  <c r="F516" i="1" a="1"/>
  <c r="F516" i="1" s="1"/>
  <c r="G515" i="1"/>
  <c r="F515" i="1" a="1"/>
  <c r="F515" i="1" s="1"/>
  <c r="G514" i="1"/>
  <c r="F514" i="1" a="1"/>
  <c r="F514" i="1" s="1"/>
  <c r="G513" i="1"/>
  <c r="F513" i="1" a="1"/>
  <c r="F513" i="1" s="1"/>
  <c r="G512" i="1"/>
  <c r="F512" i="1" a="1"/>
  <c r="F512" i="1" s="1"/>
  <c r="G511" i="1"/>
  <c r="F511" i="1" a="1"/>
  <c r="F511" i="1" s="1"/>
  <c r="G510" i="1"/>
  <c r="F510" i="1" a="1"/>
  <c r="F510" i="1" s="1"/>
  <c r="G509" i="1"/>
  <c r="F509" i="1"/>
  <c r="F509" i="1" a="1"/>
  <c r="G508" i="1"/>
  <c r="F508" i="1"/>
  <c r="F508" i="1" a="1"/>
  <c r="G507" i="1"/>
  <c r="F507" i="1" a="1"/>
  <c r="F507" i="1" s="1"/>
  <c r="G506" i="1"/>
  <c r="F506" i="1" a="1"/>
  <c r="F506" i="1" s="1"/>
  <c r="G505" i="1"/>
  <c r="F505" i="1" a="1"/>
  <c r="F505" i="1" s="1"/>
  <c r="G504" i="1"/>
  <c r="F504" i="1" a="1"/>
  <c r="F504" i="1" s="1"/>
  <c r="G503" i="1"/>
  <c r="F503" i="1" a="1"/>
  <c r="F503" i="1" s="1"/>
  <c r="G502" i="1"/>
  <c r="F502" i="1"/>
  <c r="F502" i="1" a="1"/>
  <c r="G501" i="1"/>
  <c r="F501" i="1" a="1"/>
  <c r="F501" i="1" s="1"/>
  <c r="G500" i="1"/>
  <c r="F500" i="1" a="1"/>
  <c r="F500" i="1" s="1"/>
  <c r="G499" i="1"/>
  <c r="F499" i="1" a="1"/>
  <c r="F499" i="1" s="1"/>
  <c r="G498" i="1"/>
  <c r="F498" i="1" a="1"/>
  <c r="F498" i="1" s="1"/>
  <c r="G497" i="1"/>
  <c r="F497" i="1" a="1"/>
  <c r="F497" i="1" s="1"/>
  <c r="G496" i="1"/>
  <c r="F496" i="1" a="1"/>
  <c r="F496" i="1" s="1"/>
  <c r="G495" i="1"/>
  <c r="F495" i="1"/>
  <c r="F495" i="1" a="1"/>
  <c r="G494" i="1"/>
  <c r="F494" i="1" a="1"/>
  <c r="F494" i="1" s="1"/>
  <c r="G493" i="1"/>
  <c r="F493" i="1" a="1"/>
  <c r="F493" i="1" s="1"/>
  <c r="G492" i="1"/>
  <c r="F492" i="1"/>
  <c r="F492" i="1" a="1"/>
  <c r="G491" i="1"/>
  <c r="F491" i="1"/>
  <c r="F491" i="1" a="1"/>
  <c r="G490" i="1"/>
  <c r="F490" i="1" a="1"/>
  <c r="F490" i="1" s="1"/>
  <c r="G489" i="1"/>
  <c r="F489" i="1" a="1"/>
  <c r="F489" i="1" s="1"/>
  <c r="G488" i="1"/>
  <c r="F488" i="1" a="1"/>
  <c r="F488" i="1" s="1"/>
  <c r="G487" i="1"/>
  <c r="F487" i="1" a="1"/>
  <c r="F487" i="1" s="1"/>
  <c r="G486" i="1"/>
  <c r="F486" i="1" a="1"/>
  <c r="F486" i="1" s="1"/>
  <c r="G485" i="1"/>
  <c r="F485" i="1" a="1"/>
  <c r="F485" i="1" s="1"/>
  <c r="G484" i="1"/>
  <c r="F484" i="1" a="1"/>
  <c r="F484" i="1" s="1"/>
  <c r="G483" i="1"/>
  <c r="F483" i="1" a="1"/>
  <c r="F483" i="1" s="1"/>
  <c r="G482" i="1"/>
  <c r="F482" i="1" a="1"/>
  <c r="F482" i="1" s="1"/>
  <c r="G481" i="1"/>
  <c r="F481" i="1" a="1"/>
  <c r="F481" i="1" s="1"/>
  <c r="G480" i="1"/>
  <c r="F480" i="1" a="1"/>
  <c r="F480" i="1" s="1"/>
  <c r="G479" i="1"/>
  <c r="F479" i="1" a="1"/>
  <c r="F479" i="1" s="1"/>
  <c r="G478" i="1"/>
  <c r="F478" i="1" a="1"/>
  <c r="F478" i="1" s="1"/>
  <c r="G477" i="1"/>
  <c r="F477" i="1"/>
  <c r="F477" i="1" a="1"/>
  <c r="G476" i="1"/>
  <c r="F476" i="1"/>
  <c r="F476" i="1" a="1"/>
  <c r="G475" i="1"/>
  <c r="F475" i="1" a="1"/>
  <c r="F475" i="1" s="1"/>
  <c r="G474" i="1"/>
  <c r="F474" i="1" a="1"/>
  <c r="F474" i="1" s="1"/>
  <c r="G473" i="1"/>
  <c r="F473" i="1" a="1"/>
  <c r="F473" i="1" s="1"/>
  <c r="G472" i="1"/>
  <c r="F472" i="1" a="1"/>
  <c r="F472" i="1" s="1"/>
  <c r="G471" i="1"/>
  <c r="F471" i="1" a="1"/>
  <c r="F471" i="1" s="1"/>
  <c r="G470" i="1"/>
  <c r="F470" i="1"/>
  <c r="F470" i="1" a="1"/>
  <c r="G469" i="1"/>
  <c r="F469" i="1" a="1"/>
  <c r="F469" i="1" s="1"/>
  <c r="G468" i="1"/>
  <c r="F468" i="1" a="1"/>
  <c r="F468" i="1" s="1"/>
  <c r="G467" i="1"/>
  <c r="F467" i="1" a="1"/>
  <c r="F467" i="1" s="1"/>
  <c r="G466" i="1"/>
  <c r="F466" i="1" a="1"/>
  <c r="F466" i="1" s="1"/>
  <c r="G465" i="1"/>
  <c r="F465" i="1" a="1"/>
  <c r="F465" i="1" s="1"/>
  <c r="G464" i="1"/>
  <c r="F464" i="1" a="1"/>
  <c r="F464" i="1" s="1"/>
  <c r="G463" i="1"/>
  <c r="F463" i="1" a="1"/>
  <c r="F463" i="1" s="1"/>
  <c r="G462" i="1"/>
  <c r="F462" i="1" a="1"/>
  <c r="F462" i="1" s="1"/>
  <c r="G461" i="1"/>
  <c r="F461" i="1" a="1"/>
  <c r="F461" i="1" s="1"/>
  <c r="G460" i="1"/>
  <c r="F460" i="1" a="1"/>
  <c r="F460" i="1" s="1"/>
  <c r="G459" i="1"/>
  <c r="F459" i="1" a="1"/>
  <c r="F459" i="1" s="1"/>
  <c r="G458" i="1"/>
  <c r="F458" i="1" a="1"/>
  <c r="F458" i="1" s="1"/>
  <c r="G457" i="1"/>
  <c r="F457" i="1" a="1"/>
  <c r="F457" i="1" s="1"/>
  <c r="G456" i="1"/>
  <c r="F456" i="1"/>
  <c r="F456" i="1" a="1"/>
  <c r="G455" i="1"/>
  <c r="F455" i="1" a="1"/>
  <c r="F455" i="1" s="1"/>
  <c r="G454" i="1"/>
  <c r="F454" i="1" a="1"/>
  <c r="F454" i="1" s="1"/>
  <c r="G453" i="1"/>
  <c r="F453" i="1" a="1"/>
  <c r="F453" i="1" s="1"/>
  <c r="G452" i="1"/>
  <c r="F452" i="1" a="1"/>
  <c r="F452" i="1" s="1"/>
  <c r="G451" i="1"/>
  <c r="F451" i="1" a="1"/>
  <c r="F451" i="1" s="1"/>
  <c r="G450" i="1"/>
  <c r="F450" i="1" a="1"/>
  <c r="F450" i="1" s="1"/>
  <c r="G449" i="1"/>
  <c r="F449" i="1" a="1"/>
  <c r="F449" i="1" s="1"/>
  <c r="G448" i="1"/>
  <c r="F448" i="1" a="1"/>
  <c r="F448" i="1" s="1"/>
  <c r="G447" i="1"/>
  <c r="F447" i="1" a="1"/>
  <c r="F447" i="1" s="1"/>
  <c r="G446" i="1"/>
  <c r="F446" i="1" a="1"/>
  <c r="F446" i="1" s="1"/>
  <c r="G445" i="1"/>
  <c r="F445" i="1"/>
  <c r="F445" i="1" a="1"/>
  <c r="G444" i="1"/>
  <c r="F444" i="1"/>
  <c r="F444" i="1" a="1"/>
  <c r="G443" i="1"/>
  <c r="F443" i="1" a="1"/>
  <c r="F443" i="1" s="1"/>
  <c r="G442" i="1"/>
  <c r="F442" i="1"/>
  <c r="F442" i="1" a="1"/>
  <c r="G441" i="1"/>
  <c r="F441" i="1" a="1"/>
  <c r="F441" i="1" s="1"/>
  <c r="G440" i="1"/>
  <c r="F440" i="1" a="1"/>
  <c r="F440" i="1" s="1"/>
  <c r="G439" i="1"/>
  <c r="F439" i="1" a="1"/>
  <c r="F439" i="1" s="1"/>
  <c r="G438" i="1"/>
  <c r="F438" i="1" a="1"/>
  <c r="F438" i="1" s="1"/>
  <c r="G437" i="1"/>
  <c r="F437" i="1" a="1"/>
  <c r="F437" i="1" s="1"/>
  <c r="G436" i="1"/>
  <c r="F436" i="1" a="1"/>
  <c r="F436" i="1" s="1"/>
  <c r="G435" i="1"/>
  <c r="F435" i="1" a="1"/>
  <c r="F435" i="1" s="1"/>
  <c r="G434" i="1"/>
  <c r="F434" i="1" a="1"/>
  <c r="F434" i="1" s="1"/>
  <c r="G433" i="1"/>
  <c r="F433" i="1" a="1"/>
  <c r="F433" i="1" s="1"/>
  <c r="G432" i="1"/>
  <c r="F432" i="1" a="1"/>
  <c r="F432" i="1" s="1"/>
  <c r="G431" i="1"/>
  <c r="F431" i="1" a="1"/>
  <c r="F431" i="1" s="1"/>
  <c r="G430" i="1"/>
  <c r="F430" i="1" a="1"/>
  <c r="F430" i="1" s="1"/>
  <c r="G429" i="1"/>
  <c r="F429" i="1" a="1"/>
  <c r="F429" i="1" s="1"/>
  <c r="G428" i="1"/>
  <c r="F428" i="1" a="1"/>
  <c r="F428" i="1" s="1"/>
  <c r="G427" i="1"/>
  <c r="F427" i="1" a="1"/>
  <c r="F427" i="1" s="1"/>
  <c r="G426" i="1"/>
  <c r="F426" i="1" a="1"/>
  <c r="F426" i="1" s="1"/>
  <c r="G425" i="1"/>
  <c r="F425" i="1" a="1"/>
  <c r="F425" i="1" s="1"/>
  <c r="G424" i="1"/>
  <c r="F424" i="1" a="1"/>
  <c r="F424" i="1" s="1"/>
  <c r="G423" i="1"/>
  <c r="F423" i="1" a="1"/>
  <c r="F423" i="1" s="1"/>
  <c r="G422" i="1"/>
  <c r="F422" i="1" a="1"/>
  <c r="F422" i="1" s="1"/>
  <c r="G421" i="1"/>
  <c r="F421" i="1" a="1"/>
  <c r="F421" i="1" s="1"/>
  <c r="G420" i="1"/>
  <c r="F420" i="1" a="1"/>
  <c r="F420" i="1" s="1"/>
  <c r="G419" i="1"/>
  <c r="F419" i="1" a="1"/>
  <c r="F419" i="1" s="1"/>
  <c r="G418" i="1"/>
  <c r="F418" i="1" a="1"/>
  <c r="F418" i="1" s="1"/>
  <c r="G417" i="1"/>
  <c r="F417" i="1" a="1"/>
  <c r="F417" i="1" s="1"/>
  <c r="G416" i="1"/>
  <c r="F416" i="1" a="1"/>
  <c r="F416" i="1" s="1"/>
  <c r="G415" i="1"/>
  <c r="F415" i="1" a="1"/>
  <c r="F415" i="1" s="1"/>
  <c r="G414" i="1"/>
  <c r="F414" i="1" a="1"/>
  <c r="F414" i="1" s="1"/>
  <c r="G413" i="1"/>
  <c r="F413" i="1" a="1"/>
  <c r="F413" i="1" s="1"/>
  <c r="G412" i="1"/>
  <c r="F412" i="1"/>
  <c r="F412" i="1" a="1"/>
  <c r="G411" i="1"/>
  <c r="F411" i="1"/>
  <c r="F411" i="1" a="1"/>
  <c r="G410" i="1"/>
  <c r="F410" i="1" a="1"/>
  <c r="F410" i="1" s="1"/>
  <c r="G409" i="1"/>
  <c r="F409" i="1" a="1"/>
  <c r="F409" i="1" s="1"/>
  <c r="G408" i="1"/>
  <c r="F408" i="1"/>
  <c r="F408" i="1" a="1"/>
  <c r="G407" i="1"/>
  <c r="F407" i="1" a="1"/>
  <c r="F407" i="1" s="1"/>
  <c r="G406" i="1"/>
  <c r="F406" i="1"/>
  <c r="F406" i="1" a="1"/>
  <c r="G405" i="1"/>
  <c r="F405" i="1"/>
  <c r="F405" i="1" a="1"/>
  <c r="G404" i="1"/>
  <c r="F404" i="1" a="1"/>
  <c r="F404" i="1" s="1"/>
  <c r="G403" i="1"/>
  <c r="F403" i="1" a="1"/>
  <c r="F403" i="1" s="1"/>
  <c r="G402" i="1"/>
  <c r="F402" i="1" a="1"/>
  <c r="F402" i="1" s="1"/>
  <c r="G401" i="1"/>
  <c r="F401" i="1" a="1"/>
  <c r="F401" i="1" s="1"/>
  <c r="G400" i="1"/>
  <c r="F400" i="1" a="1"/>
  <c r="F400" i="1" s="1"/>
  <c r="G399" i="1"/>
  <c r="F399" i="1"/>
  <c r="F399" i="1" a="1"/>
  <c r="G398" i="1"/>
  <c r="F398" i="1"/>
  <c r="F398" i="1" a="1"/>
  <c r="G397" i="1"/>
  <c r="F397" i="1" a="1"/>
  <c r="F397" i="1" s="1"/>
  <c r="G396" i="1"/>
  <c r="F396" i="1" a="1"/>
  <c r="F396" i="1" s="1"/>
  <c r="G395" i="1"/>
  <c r="F395" i="1"/>
  <c r="F395" i="1" a="1"/>
  <c r="G394" i="1"/>
  <c r="F394" i="1" a="1"/>
  <c r="F394" i="1" s="1"/>
  <c r="G393" i="1"/>
  <c r="F393" i="1" a="1"/>
  <c r="F393" i="1" s="1"/>
  <c r="G392" i="1"/>
  <c r="F392" i="1"/>
  <c r="F392" i="1" a="1"/>
  <c r="G391" i="1"/>
  <c r="F391" i="1" a="1"/>
  <c r="F391" i="1" s="1"/>
  <c r="G390" i="1"/>
  <c r="F390" i="1"/>
  <c r="F390" i="1" a="1"/>
  <c r="G389" i="1"/>
  <c r="F389" i="1"/>
  <c r="F389" i="1" a="1"/>
  <c r="G388" i="1"/>
  <c r="F388" i="1" a="1"/>
  <c r="F388" i="1" s="1"/>
  <c r="G387" i="1"/>
  <c r="F387" i="1" a="1"/>
  <c r="F387" i="1" s="1"/>
  <c r="G386" i="1"/>
  <c r="F386" i="1" a="1"/>
  <c r="F386" i="1" s="1"/>
  <c r="G385" i="1"/>
  <c r="F385" i="1" a="1"/>
  <c r="F385" i="1" s="1"/>
  <c r="G384" i="1"/>
  <c r="F384" i="1" a="1"/>
  <c r="F384" i="1" s="1"/>
  <c r="G383" i="1"/>
  <c r="F383" i="1"/>
  <c r="F383" i="1" a="1"/>
  <c r="G382" i="1"/>
  <c r="F382" i="1"/>
  <c r="F382" i="1" a="1"/>
  <c r="G381" i="1"/>
  <c r="F381" i="1" a="1"/>
  <c r="F381" i="1" s="1"/>
  <c r="G380" i="1"/>
  <c r="F380" i="1"/>
  <c r="F380" i="1" a="1"/>
  <c r="G379" i="1"/>
  <c r="F379" i="1" a="1"/>
  <c r="F379" i="1" s="1"/>
  <c r="G378" i="1"/>
  <c r="F378" i="1" a="1"/>
  <c r="F378" i="1" s="1"/>
  <c r="G377" i="1"/>
  <c r="F377" i="1" a="1"/>
  <c r="F377" i="1" s="1"/>
  <c r="G376" i="1"/>
  <c r="F376" i="1" a="1"/>
  <c r="F376" i="1" s="1"/>
  <c r="G375" i="1"/>
  <c r="F375" i="1" a="1"/>
  <c r="F375" i="1" s="1"/>
  <c r="G374" i="1"/>
  <c r="F374" i="1"/>
  <c r="F374" i="1" a="1"/>
  <c r="G373" i="1"/>
  <c r="F373" i="1" a="1"/>
  <c r="F373" i="1" s="1"/>
  <c r="G372" i="1"/>
  <c r="F372" i="1" a="1"/>
  <c r="F372" i="1" s="1"/>
  <c r="G371" i="1"/>
  <c r="F371" i="1" a="1"/>
  <c r="F371" i="1" s="1"/>
  <c r="G370" i="1"/>
  <c r="F370" i="1" a="1"/>
  <c r="F370" i="1" s="1"/>
  <c r="G369" i="1"/>
  <c r="F369" i="1" a="1"/>
  <c r="F369" i="1" s="1"/>
  <c r="G368" i="1"/>
  <c r="F368" i="1" a="1"/>
  <c r="F368" i="1" s="1"/>
  <c r="G367" i="1"/>
  <c r="F367" i="1"/>
  <c r="F367" i="1" a="1"/>
  <c r="G366" i="1"/>
  <c r="F366" i="1" a="1"/>
  <c r="F366" i="1" s="1"/>
  <c r="G365" i="1"/>
  <c r="F365" i="1" a="1"/>
  <c r="F365" i="1" s="1"/>
  <c r="G364" i="1"/>
  <c r="F364" i="1" a="1"/>
  <c r="F364" i="1" s="1"/>
  <c r="G363" i="1"/>
  <c r="F363" i="1" a="1"/>
  <c r="F363" i="1" s="1"/>
  <c r="G362" i="1"/>
  <c r="F362" i="1" a="1"/>
  <c r="F362" i="1" s="1"/>
  <c r="G361" i="1"/>
  <c r="F361" i="1" a="1"/>
  <c r="F361" i="1" s="1"/>
  <c r="G360" i="1"/>
  <c r="F360" i="1" a="1"/>
  <c r="F360" i="1" s="1"/>
  <c r="G359" i="1"/>
  <c r="F359" i="1" a="1"/>
  <c r="F359" i="1" s="1"/>
  <c r="G358" i="1"/>
  <c r="F358" i="1" a="1"/>
  <c r="F358" i="1" s="1"/>
  <c r="G357" i="1"/>
  <c r="F357" i="1" a="1"/>
  <c r="F357" i="1" s="1"/>
  <c r="G356" i="1"/>
  <c r="F356" i="1" a="1"/>
  <c r="F356" i="1" s="1"/>
  <c r="G355" i="1"/>
  <c r="F355" i="1" a="1"/>
  <c r="F355" i="1" s="1"/>
  <c r="G354" i="1"/>
  <c r="F354" i="1" a="1"/>
  <c r="F354" i="1" s="1"/>
  <c r="G353" i="1"/>
  <c r="F353" i="1" a="1"/>
  <c r="F353" i="1" s="1"/>
  <c r="G352" i="1"/>
  <c r="F352" i="1" a="1"/>
  <c r="F352" i="1" s="1"/>
  <c r="G351" i="1"/>
  <c r="F351" i="1"/>
  <c r="F351" i="1" a="1"/>
  <c r="G350" i="1"/>
  <c r="F350" i="1"/>
  <c r="F350" i="1" a="1"/>
  <c r="G349" i="1"/>
  <c r="F349" i="1" a="1"/>
  <c r="F349" i="1" s="1"/>
  <c r="G348" i="1"/>
  <c r="F348" i="1"/>
  <c r="F348" i="1" a="1"/>
  <c r="G347" i="1"/>
  <c r="F347" i="1" a="1"/>
  <c r="F347" i="1" s="1"/>
  <c r="G346" i="1"/>
  <c r="F346" i="1" a="1"/>
  <c r="F346" i="1" s="1"/>
  <c r="G345" i="1"/>
  <c r="F345" i="1" a="1"/>
  <c r="F345" i="1" s="1"/>
  <c r="G344" i="1"/>
  <c r="F344" i="1" a="1"/>
  <c r="F344" i="1" s="1"/>
  <c r="G343" i="1"/>
  <c r="F343" i="1" a="1"/>
  <c r="F343" i="1" s="1"/>
  <c r="G342" i="1"/>
  <c r="F342" i="1" a="1"/>
  <c r="F342" i="1" s="1"/>
  <c r="G341" i="1"/>
  <c r="F341" i="1" a="1"/>
  <c r="F341" i="1" s="1"/>
  <c r="G340" i="1"/>
  <c r="F340" i="1" a="1"/>
  <c r="F340" i="1" s="1"/>
  <c r="G339" i="1"/>
  <c r="F339" i="1" a="1"/>
  <c r="F339" i="1" s="1"/>
  <c r="G338" i="1"/>
  <c r="F338" i="1"/>
  <c r="F338" i="1" a="1"/>
  <c r="G337" i="1"/>
  <c r="F337" i="1" a="1"/>
  <c r="F337" i="1" s="1"/>
  <c r="G336" i="1"/>
  <c r="F336" i="1" a="1"/>
  <c r="F336" i="1" s="1"/>
  <c r="G335" i="1"/>
  <c r="F335" i="1"/>
  <c r="F335" i="1" a="1"/>
  <c r="G334" i="1"/>
  <c r="F334" i="1" a="1"/>
  <c r="F334" i="1" s="1"/>
  <c r="G333" i="1"/>
  <c r="F333" i="1" a="1"/>
  <c r="F333" i="1" s="1"/>
  <c r="G332" i="1"/>
  <c r="F332" i="1" a="1"/>
  <c r="F332" i="1" s="1"/>
  <c r="G331" i="1"/>
  <c r="F331" i="1" a="1"/>
  <c r="F331" i="1" s="1"/>
  <c r="G330" i="1"/>
  <c r="F330" i="1" a="1"/>
  <c r="F330" i="1" s="1"/>
  <c r="G329" i="1"/>
  <c r="F329" i="1" a="1"/>
  <c r="F329" i="1" s="1"/>
  <c r="G328" i="1"/>
  <c r="F328" i="1" a="1"/>
  <c r="F328" i="1" s="1"/>
  <c r="G327" i="1"/>
  <c r="F327" i="1" a="1"/>
  <c r="F327" i="1" s="1"/>
  <c r="G326" i="1"/>
  <c r="F326" i="1"/>
  <c r="F326" i="1" a="1"/>
  <c r="G325" i="1"/>
  <c r="F325" i="1" a="1"/>
  <c r="F325" i="1" s="1"/>
  <c r="G324" i="1"/>
  <c r="F324" i="1" a="1"/>
  <c r="F324" i="1" s="1"/>
  <c r="G323" i="1"/>
  <c r="F323" i="1" a="1"/>
  <c r="F323" i="1" s="1"/>
  <c r="G322" i="1"/>
  <c r="F322" i="1" a="1"/>
  <c r="F322" i="1" s="1"/>
  <c r="G321" i="1"/>
  <c r="F321" i="1" a="1"/>
  <c r="F321" i="1" s="1"/>
  <c r="G320" i="1"/>
  <c r="F320" i="1" a="1"/>
  <c r="F320" i="1" s="1"/>
  <c r="G319" i="1"/>
  <c r="F319" i="1"/>
  <c r="F319" i="1" a="1"/>
  <c r="G318" i="1"/>
  <c r="F318" i="1" a="1"/>
  <c r="F318" i="1" s="1"/>
  <c r="G317" i="1"/>
  <c r="F317" i="1" a="1"/>
  <c r="F317" i="1" s="1"/>
  <c r="G316" i="1"/>
  <c r="F316" i="1" a="1"/>
  <c r="F316" i="1" s="1"/>
  <c r="G315" i="1"/>
  <c r="F315" i="1" a="1"/>
  <c r="F315" i="1" s="1"/>
  <c r="G314" i="1"/>
  <c r="F314" i="1" a="1"/>
  <c r="F314" i="1" s="1"/>
  <c r="G313" i="1"/>
  <c r="F313" i="1" a="1"/>
  <c r="F313" i="1" s="1"/>
  <c r="G312" i="1"/>
  <c r="F312" i="1" a="1"/>
  <c r="F312" i="1" s="1"/>
  <c r="G311" i="1"/>
  <c r="F311" i="1" a="1"/>
  <c r="F311" i="1" s="1"/>
  <c r="G310" i="1"/>
  <c r="F310" i="1"/>
  <c r="F310" i="1" a="1"/>
  <c r="G309" i="1"/>
  <c r="F309" i="1"/>
  <c r="F309" i="1" a="1"/>
  <c r="G308" i="1"/>
  <c r="F308" i="1" a="1"/>
  <c r="F308" i="1" s="1"/>
  <c r="G307" i="1"/>
  <c r="F307" i="1" a="1"/>
  <c r="F307" i="1" s="1"/>
  <c r="G306" i="1"/>
  <c r="F306" i="1"/>
  <c r="F306" i="1" a="1"/>
  <c r="G305" i="1"/>
  <c r="F305" i="1" a="1"/>
  <c r="F305" i="1" s="1"/>
  <c r="G304" i="1"/>
  <c r="F304" i="1" a="1"/>
  <c r="F304" i="1" s="1"/>
  <c r="G303" i="1"/>
  <c r="F303" i="1" a="1"/>
  <c r="F303" i="1" s="1"/>
  <c r="G302" i="1"/>
  <c r="F302" i="1"/>
  <c r="F302" i="1" a="1"/>
  <c r="G301" i="1"/>
  <c r="F301" i="1" a="1"/>
  <c r="F301" i="1" s="1"/>
  <c r="G300" i="1"/>
  <c r="F300" i="1" a="1"/>
  <c r="F300" i="1" s="1"/>
  <c r="G299" i="1"/>
  <c r="F299" i="1" a="1"/>
  <c r="F299" i="1" s="1"/>
  <c r="G298" i="1"/>
  <c r="F298" i="1" a="1"/>
  <c r="F298" i="1" s="1"/>
  <c r="G297" i="1"/>
  <c r="F297" i="1" a="1"/>
  <c r="F297" i="1" s="1"/>
  <c r="G296" i="1"/>
  <c r="F296" i="1" a="1"/>
  <c r="F296" i="1" s="1"/>
  <c r="G295" i="1"/>
  <c r="F295" i="1" a="1"/>
  <c r="F295" i="1" s="1"/>
  <c r="G294" i="1"/>
  <c r="F294" i="1" a="1"/>
  <c r="F294" i="1" s="1"/>
  <c r="G293" i="1"/>
  <c r="F293" i="1" a="1"/>
  <c r="F293" i="1" s="1"/>
  <c r="G292" i="1"/>
  <c r="F292" i="1" a="1"/>
  <c r="F292" i="1" s="1"/>
  <c r="G291" i="1"/>
  <c r="F291" i="1" a="1"/>
  <c r="F291" i="1" s="1"/>
  <c r="G290" i="1"/>
  <c r="F290" i="1"/>
  <c r="F290" i="1" a="1"/>
  <c r="G289" i="1"/>
  <c r="F289" i="1" a="1"/>
  <c r="F289" i="1" s="1"/>
  <c r="G288" i="1"/>
  <c r="F288" i="1" a="1"/>
  <c r="F288" i="1" s="1"/>
  <c r="G287" i="1"/>
  <c r="F287" i="1"/>
  <c r="F287" i="1" a="1"/>
  <c r="G286" i="1"/>
  <c r="F286" i="1"/>
  <c r="F286" i="1" a="1"/>
  <c r="G285" i="1"/>
  <c r="F285" i="1" a="1"/>
  <c r="F285" i="1" s="1"/>
  <c r="G284" i="1"/>
  <c r="F284" i="1"/>
  <c r="F284" i="1" a="1"/>
  <c r="G283" i="1"/>
  <c r="F283" i="1" a="1"/>
  <c r="F283" i="1" s="1"/>
  <c r="G282" i="1"/>
  <c r="F282" i="1" a="1"/>
  <c r="F282" i="1" s="1"/>
  <c r="G281" i="1"/>
  <c r="F281" i="1" a="1"/>
  <c r="F281" i="1" s="1"/>
  <c r="G280" i="1"/>
  <c r="F280" i="1" a="1"/>
  <c r="F280" i="1" s="1"/>
  <c r="G279" i="1"/>
  <c r="F279" i="1" a="1"/>
  <c r="F279" i="1" s="1"/>
  <c r="G278" i="1"/>
  <c r="F278" i="1"/>
  <c r="F278" i="1" a="1"/>
  <c r="G277" i="1"/>
  <c r="F277" i="1"/>
  <c r="F277" i="1" a="1"/>
  <c r="G276" i="1"/>
  <c r="F276" i="1" a="1"/>
  <c r="F276" i="1" s="1"/>
  <c r="G275" i="1"/>
  <c r="F275" i="1" a="1"/>
  <c r="F275" i="1" s="1"/>
  <c r="G274" i="1"/>
  <c r="F274" i="1" a="1"/>
  <c r="F274" i="1" s="1"/>
  <c r="G273" i="1"/>
  <c r="F273" i="1" a="1"/>
  <c r="F273" i="1" s="1"/>
  <c r="G272" i="1"/>
  <c r="F272" i="1" a="1"/>
  <c r="F272" i="1" s="1"/>
  <c r="G271" i="1"/>
  <c r="F271" i="1"/>
  <c r="F271" i="1" a="1"/>
  <c r="G270" i="1"/>
  <c r="F270" i="1"/>
  <c r="F270" i="1" a="1"/>
  <c r="G269" i="1"/>
  <c r="F269" i="1" a="1"/>
  <c r="F269" i="1" s="1"/>
  <c r="G268" i="1"/>
  <c r="F268" i="1"/>
  <c r="F268" i="1" a="1"/>
  <c r="G267" i="1"/>
  <c r="F267" i="1" a="1"/>
  <c r="F267" i="1" s="1"/>
  <c r="G266" i="1"/>
  <c r="F266" i="1" a="1"/>
  <c r="F266" i="1" s="1"/>
  <c r="G265" i="1"/>
  <c r="F265" i="1" a="1"/>
  <c r="F265" i="1" s="1"/>
  <c r="G264" i="1"/>
  <c r="F264" i="1" a="1"/>
  <c r="F264" i="1" s="1"/>
  <c r="G263" i="1"/>
  <c r="F263" i="1" a="1"/>
  <c r="F263" i="1" s="1"/>
  <c r="G262" i="1"/>
  <c r="F262" i="1" a="1"/>
  <c r="F262" i="1" s="1"/>
  <c r="G261" i="1"/>
  <c r="F261" i="1"/>
  <c r="F261" i="1" a="1"/>
  <c r="G260" i="1"/>
  <c r="F260" i="1" a="1"/>
  <c r="F260" i="1" s="1"/>
  <c r="G259" i="1"/>
  <c r="F259" i="1" a="1"/>
  <c r="F259" i="1" s="1"/>
  <c r="G258" i="1"/>
  <c r="F258" i="1" a="1"/>
  <c r="F258" i="1" s="1"/>
  <c r="G257" i="1"/>
  <c r="F257" i="1" a="1"/>
  <c r="F257" i="1" s="1"/>
  <c r="G256" i="1"/>
  <c r="F256" i="1" a="1"/>
  <c r="F256" i="1" s="1"/>
  <c r="G255" i="1"/>
  <c r="F255" i="1" a="1"/>
  <c r="F255" i="1" s="1"/>
  <c r="G254" i="1"/>
  <c r="F254" i="1"/>
  <c r="F254" i="1" a="1"/>
  <c r="G253" i="1"/>
  <c r="F253" i="1" a="1"/>
  <c r="F253" i="1" s="1"/>
  <c r="G252" i="1"/>
  <c r="F252" i="1" a="1"/>
  <c r="F252" i="1" s="1"/>
  <c r="G251" i="1"/>
  <c r="F251" i="1" a="1"/>
  <c r="F251" i="1" s="1"/>
  <c r="G250" i="1"/>
  <c r="F250" i="1" a="1"/>
  <c r="F250" i="1" s="1"/>
  <c r="G249" i="1"/>
  <c r="F249" i="1" a="1"/>
  <c r="F249" i="1" s="1"/>
  <c r="G248" i="1"/>
  <c r="F248" i="1" a="1"/>
  <c r="F248" i="1" s="1"/>
  <c r="G247" i="1"/>
  <c r="F247" i="1" a="1"/>
  <c r="F247" i="1" s="1"/>
  <c r="G246" i="1"/>
  <c r="F246" i="1" a="1"/>
  <c r="F246" i="1" s="1"/>
  <c r="G245" i="1"/>
  <c r="F245" i="1" a="1"/>
  <c r="F245" i="1" s="1"/>
  <c r="G244" i="1"/>
  <c r="F244" i="1" a="1"/>
  <c r="F244" i="1" s="1"/>
  <c r="G243" i="1"/>
  <c r="F243" i="1" a="1"/>
  <c r="F243" i="1" s="1"/>
  <c r="G242" i="1"/>
  <c r="F242" i="1"/>
  <c r="F242" i="1" a="1"/>
  <c r="G241" i="1"/>
  <c r="F241" i="1" a="1"/>
  <c r="F241" i="1" s="1"/>
  <c r="G240" i="1"/>
  <c r="F240" i="1" a="1"/>
  <c r="F240" i="1" s="1"/>
  <c r="G239" i="1"/>
  <c r="F239" i="1"/>
  <c r="F239" i="1" a="1"/>
  <c r="G238" i="1"/>
  <c r="F238" i="1" a="1"/>
  <c r="F238" i="1" s="1"/>
  <c r="G237" i="1"/>
  <c r="F237" i="1" a="1"/>
  <c r="F237" i="1" s="1"/>
  <c r="G236" i="1"/>
  <c r="F236" i="1"/>
  <c r="F236" i="1" a="1"/>
  <c r="G235" i="1"/>
  <c r="F235" i="1" a="1"/>
  <c r="F235" i="1" s="1"/>
  <c r="G234" i="1"/>
  <c r="F234" i="1" a="1"/>
  <c r="F234" i="1" s="1"/>
  <c r="G233" i="1"/>
  <c r="F233" i="1" a="1"/>
  <c r="F233" i="1" s="1"/>
  <c r="G232" i="1"/>
  <c r="F232" i="1" a="1"/>
  <c r="F232" i="1" s="1"/>
  <c r="G231" i="1"/>
  <c r="F231" i="1" a="1"/>
  <c r="F231" i="1" s="1"/>
  <c r="G230" i="1"/>
  <c r="F230" i="1" a="1"/>
  <c r="F230" i="1" s="1"/>
  <c r="G229" i="1"/>
  <c r="F229" i="1"/>
  <c r="F229" i="1" a="1"/>
  <c r="G228" i="1"/>
  <c r="F228" i="1" a="1"/>
  <c r="F228" i="1" s="1"/>
  <c r="G227" i="1"/>
  <c r="F227" i="1" a="1"/>
  <c r="F227" i="1" s="1"/>
  <c r="G226" i="1"/>
  <c r="F226" i="1"/>
  <c r="F226" i="1" a="1"/>
  <c r="G225" i="1"/>
  <c r="F225" i="1" a="1"/>
  <c r="F225" i="1" s="1"/>
  <c r="G224" i="1"/>
  <c r="F224" i="1"/>
  <c r="F224" i="1" a="1"/>
  <c r="G223" i="1"/>
  <c r="F223" i="1"/>
  <c r="F223" i="1" a="1"/>
  <c r="G222" i="1"/>
  <c r="F222" i="1" a="1"/>
  <c r="F222" i="1" s="1"/>
  <c r="G221" i="1"/>
  <c r="F221" i="1" a="1"/>
  <c r="F221" i="1" s="1"/>
  <c r="G220" i="1"/>
  <c r="F220" i="1"/>
  <c r="F220" i="1" a="1"/>
  <c r="G219" i="1"/>
  <c r="F219" i="1" a="1"/>
  <c r="F219" i="1" s="1"/>
  <c r="G218" i="1"/>
  <c r="F218" i="1" a="1"/>
  <c r="F218" i="1" s="1"/>
  <c r="G217" i="1"/>
  <c r="F217" i="1" a="1"/>
  <c r="F217" i="1" s="1"/>
  <c r="G216" i="1"/>
  <c r="F216" i="1" a="1"/>
  <c r="F216" i="1" s="1"/>
  <c r="G215" i="1"/>
  <c r="F215" i="1" a="1"/>
  <c r="F215" i="1" s="1"/>
  <c r="G214" i="1"/>
  <c r="F214" i="1"/>
  <c r="F214" i="1" a="1"/>
  <c r="G213" i="1"/>
  <c r="F213" i="1"/>
  <c r="F213" i="1" a="1"/>
  <c r="G212" i="1"/>
  <c r="F212" i="1" a="1"/>
  <c r="F212" i="1" s="1"/>
  <c r="G211" i="1"/>
  <c r="F211" i="1" a="1"/>
  <c r="F211" i="1" s="1"/>
  <c r="G210" i="1"/>
  <c r="F210" i="1" a="1"/>
  <c r="F210" i="1" s="1"/>
  <c r="G209" i="1"/>
  <c r="F209" i="1" a="1"/>
  <c r="F209" i="1" s="1"/>
  <c r="G208" i="1"/>
  <c r="F208" i="1"/>
  <c r="F208" i="1" a="1"/>
  <c r="G207" i="1"/>
  <c r="F207" i="1" a="1"/>
  <c r="F207" i="1" s="1"/>
  <c r="G206" i="1"/>
  <c r="F206" i="1" a="1"/>
  <c r="F206" i="1" s="1"/>
  <c r="G205" i="1"/>
  <c r="F205" i="1" a="1"/>
  <c r="F205" i="1" s="1"/>
  <c r="G204" i="1"/>
  <c r="F204" i="1" a="1"/>
  <c r="F204" i="1" s="1"/>
  <c r="G203" i="1"/>
  <c r="F203" i="1" a="1"/>
  <c r="F203" i="1" s="1"/>
  <c r="G202" i="1"/>
  <c r="F202" i="1" a="1"/>
  <c r="F202" i="1" s="1"/>
  <c r="G201" i="1"/>
  <c r="F201" i="1" a="1"/>
  <c r="F201" i="1" s="1"/>
  <c r="G200" i="1"/>
  <c r="F200" i="1" a="1"/>
  <c r="F200" i="1" s="1"/>
  <c r="G199" i="1"/>
  <c r="F199" i="1" a="1"/>
  <c r="F199" i="1" s="1"/>
  <c r="G198" i="1"/>
  <c r="F198" i="1" a="1"/>
  <c r="F198" i="1" s="1"/>
  <c r="G197" i="1"/>
  <c r="F197" i="1" a="1"/>
  <c r="F197" i="1" s="1"/>
  <c r="G196" i="1"/>
  <c r="F196" i="1" a="1"/>
  <c r="F196" i="1" s="1"/>
  <c r="G195" i="1"/>
  <c r="F195" i="1" a="1"/>
  <c r="F195" i="1" s="1"/>
  <c r="G194" i="1"/>
  <c r="F194" i="1"/>
  <c r="F194" i="1" a="1"/>
  <c r="G193" i="1"/>
  <c r="F193" i="1" a="1"/>
  <c r="F193" i="1" s="1"/>
  <c r="G192" i="1"/>
  <c r="F192" i="1"/>
  <c r="F192" i="1" a="1"/>
  <c r="G191" i="1"/>
  <c r="F191" i="1" a="1"/>
  <c r="F191" i="1" s="1"/>
  <c r="G190" i="1"/>
  <c r="F190" i="1"/>
  <c r="F190" i="1" a="1"/>
  <c r="G189" i="1"/>
  <c r="F189" i="1" a="1"/>
  <c r="F189" i="1" s="1"/>
  <c r="G188" i="1"/>
  <c r="F188" i="1"/>
  <c r="F188" i="1" a="1"/>
  <c r="G187" i="1"/>
  <c r="F187" i="1" a="1"/>
  <c r="F187" i="1" s="1"/>
  <c r="G186" i="1"/>
  <c r="F186" i="1" a="1"/>
  <c r="F186" i="1" s="1"/>
  <c r="G185" i="1"/>
  <c r="F185" i="1" a="1"/>
  <c r="F185" i="1" s="1"/>
  <c r="G184" i="1"/>
  <c r="F184" i="1" a="1"/>
  <c r="F184" i="1" s="1"/>
  <c r="G183" i="1"/>
  <c r="F183" i="1" a="1"/>
  <c r="F183" i="1" s="1"/>
  <c r="G182" i="1"/>
  <c r="F182" i="1" a="1"/>
  <c r="F182" i="1" s="1"/>
  <c r="G181" i="1"/>
  <c r="F181" i="1"/>
  <c r="F181" i="1" a="1"/>
  <c r="G180" i="1"/>
  <c r="F180" i="1" a="1"/>
  <c r="F180" i="1" s="1"/>
  <c r="G179" i="1"/>
  <c r="F179" i="1" a="1"/>
  <c r="F179" i="1" s="1"/>
  <c r="G178" i="1"/>
  <c r="F178" i="1"/>
  <c r="F178" i="1" a="1"/>
  <c r="G177" i="1"/>
  <c r="F177" i="1" a="1"/>
  <c r="F177" i="1" s="1"/>
  <c r="G176" i="1"/>
  <c r="F176" i="1" a="1"/>
  <c r="F176" i="1" s="1"/>
  <c r="G175" i="1"/>
  <c r="F175" i="1" a="1"/>
  <c r="F175" i="1" s="1"/>
  <c r="G174" i="1"/>
  <c r="F174" i="1"/>
  <c r="F174" i="1" a="1"/>
  <c r="G173" i="1"/>
  <c r="F173" i="1" a="1"/>
  <c r="F173" i="1" s="1"/>
  <c r="G172" i="1"/>
  <c r="F172" i="1"/>
  <c r="F172" i="1" a="1"/>
  <c r="G171" i="1"/>
  <c r="F171" i="1" a="1"/>
  <c r="F171" i="1" s="1"/>
  <c r="G170" i="1"/>
  <c r="F170" i="1" a="1"/>
  <c r="F170" i="1" s="1"/>
  <c r="G169" i="1"/>
  <c r="F169" i="1" a="1"/>
  <c r="F169" i="1" s="1"/>
  <c r="G168" i="1"/>
  <c r="F168" i="1" a="1"/>
  <c r="F168" i="1" s="1"/>
  <c r="G167" i="1"/>
  <c r="F167" i="1" a="1"/>
  <c r="F167" i="1" s="1"/>
  <c r="G166" i="1"/>
  <c r="F166" i="1" a="1"/>
  <c r="F166" i="1" s="1"/>
  <c r="G165" i="1"/>
  <c r="F165" i="1" a="1"/>
  <c r="F165" i="1" s="1"/>
  <c r="G164" i="1"/>
  <c r="F164" i="1" a="1"/>
  <c r="F164" i="1" s="1"/>
  <c r="G163" i="1"/>
  <c r="F163" i="1" a="1"/>
  <c r="F163" i="1" s="1"/>
  <c r="G162" i="1"/>
  <c r="F162" i="1" a="1"/>
  <c r="F162" i="1" s="1"/>
  <c r="G161" i="1"/>
  <c r="F161" i="1" a="1"/>
  <c r="F161" i="1" s="1"/>
  <c r="G160" i="1"/>
  <c r="F160" i="1"/>
  <c r="F160" i="1" a="1"/>
  <c r="G159" i="1"/>
  <c r="F159" i="1"/>
  <c r="F159" i="1" a="1"/>
  <c r="G158" i="1"/>
  <c r="F158" i="1" a="1"/>
  <c r="F158" i="1" s="1"/>
  <c r="G157" i="1"/>
  <c r="F157" i="1" a="1"/>
  <c r="F157" i="1" s="1"/>
  <c r="G156" i="1"/>
  <c r="F156" i="1" a="1"/>
  <c r="F156" i="1" s="1"/>
  <c r="G155" i="1"/>
  <c r="F155" i="1" a="1"/>
  <c r="F155" i="1" s="1"/>
  <c r="G154" i="1"/>
  <c r="F154" i="1" a="1"/>
  <c r="F154" i="1" s="1"/>
  <c r="G153" i="1"/>
  <c r="F153" i="1" a="1"/>
  <c r="F153" i="1" s="1"/>
  <c r="G152" i="1"/>
  <c r="F152" i="1" a="1"/>
  <c r="F152" i="1" s="1"/>
  <c r="G151" i="1"/>
  <c r="F151" i="1" a="1"/>
  <c r="F151" i="1" s="1"/>
  <c r="G150" i="1"/>
  <c r="F150" i="1"/>
  <c r="F150" i="1" a="1"/>
  <c r="G149" i="1"/>
  <c r="F149" i="1" a="1"/>
  <c r="F149" i="1" s="1"/>
  <c r="G148" i="1"/>
  <c r="F148" i="1" a="1"/>
  <c r="F148" i="1" s="1"/>
  <c r="G147" i="1"/>
  <c r="F147" i="1" a="1"/>
  <c r="F147" i="1" s="1"/>
  <c r="G146" i="1"/>
  <c r="F146" i="1"/>
  <c r="F146" i="1" a="1"/>
  <c r="G145" i="1"/>
  <c r="F145" i="1" a="1"/>
  <c r="F145" i="1" s="1"/>
  <c r="G144" i="1"/>
  <c r="F144" i="1" a="1"/>
  <c r="F144" i="1" s="1"/>
  <c r="G143" i="1"/>
  <c r="F143" i="1"/>
  <c r="F143" i="1" a="1"/>
  <c r="G142" i="1"/>
  <c r="F142" i="1"/>
  <c r="F142" i="1" a="1"/>
  <c r="G141" i="1"/>
  <c r="F141" i="1" a="1"/>
  <c r="F141" i="1" s="1"/>
  <c r="G140" i="1"/>
  <c r="F140" i="1"/>
  <c r="F140" i="1" a="1"/>
  <c r="G139" i="1"/>
  <c r="F139" i="1" a="1"/>
  <c r="F139" i="1" s="1"/>
  <c r="G138" i="1"/>
  <c r="F138" i="1" a="1"/>
  <c r="F138" i="1" s="1"/>
  <c r="G137" i="1"/>
  <c r="F137" i="1" a="1"/>
  <c r="F137" i="1" s="1"/>
  <c r="G136" i="1"/>
  <c r="F136" i="1" a="1"/>
  <c r="F136" i="1" s="1"/>
  <c r="G135" i="1"/>
  <c r="F135" i="1" a="1"/>
  <c r="F135" i="1" s="1"/>
  <c r="G134" i="1"/>
  <c r="F134" i="1"/>
  <c r="F134" i="1" a="1"/>
  <c r="G133" i="1"/>
  <c r="F133" i="1"/>
  <c r="F133" i="1" a="1"/>
  <c r="G132" i="1"/>
  <c r="F132" i="1" a="1"/>
  <c r="F132" i="1" s="1"/>
  <c r="G131" i="1"/>
  <c r="F131" i="1" a="1"/>
  <c r="F131" i="1" s="1"/>
  <c r="G130" i="1"/>
  <c r="F130" i="1"/>
  <c r="F130" i="1" a="1"/>
  <c r="G129" i="1"/>
  <c r="F129" i="1" a="1"/>
  <c r="F129" i="1" s="1"/>
  <c r="G128" i="1"/>
  <c r="F128" i="1" a="1"/>
  <c r="F128" i="1" s="1"/>
  <c r="G127" i="1"/>
  <c r="F127" i="1"/>
  <c r="F127" i="1" a="1"/>
  <c r="G126" i="1"/>
  <c r="F126" i="1"/>
  <c r="F126" i="1" a="1"/>
  <c r="G125" i="1"/>
  <c r="F125" i="1" a="1"/>
  <c r="F125" i="1" s="1"/>
  <c r="G124" i="1"/>
  <c r="F124" i="1"/>
  <c r="F124" i="1" a="1"/>
  <c r="G123" i="1"/>
  <c r="F123" i="1" a="1"/>
  <c r="F123" i="1" s="1"/>
  <c r="G122" i="1"/>
  <c r="F122" i="1" a="1"/>
  <c r="F122" i="1" s="1"/>
  <c r="G121" i="1"/>
  <c r="F121" i="1" a="1"/>
  <c r="F121" i="1" s="1"/>
  <c r="G120" i="1"/>
  <c r="F120" i="1" a="1"/>
  <c r="F120" i="1" s="1"/>
  <c r="G119" i="1"/>
  <c r="F119" i="1" a="1"/>
  <c r="F119" i="1" s="1"/>
  <c r="G118" i="1"/>
  <c r="F118" i="1"/>
  <c r="F118" i="1" a="1"/>
  <c r="G117" i="1"/>
  <c r="F117" i="1" a="1"/>
  <c r="F117" i="1" s="1"/>
  <c r="G116" i="1"/>
  <c r="F116" i="1" a="1"/>
  <c r="F116" i="1" s="1"/>
  <c r="G115" i="1"/>
  <c r="F115" i="1" a="1"/>
  <c r="F115" i="1" s="1"/>
  <c r="G114" i="1"/>
  <c r="F114" i="1" a="1"/>
  <c r="F114" i="1" s="1"/>
  <c r="G113" i="1"/>
  <c r="F113" i="1" a="1"/>
  <c r="F113" i="1" s="1"/>
  <c r="G112" i="1"/>
  <c r="F112" i="1" a="1"/>
  <c r="F112" i="1" s="1"/>
  <c r="G111" i="1"/>
  <c r="F111" i="1" a="1"/>
  <c r="F111" i="1" s="1"/>
  <c r="G110" i="1"/>
  <c r="F110" i="1" a="1"/>
  <c r="F110" i="1" s="1"/>
  <c r="G109" i="1"/>
  <c r="F109" i="1" a="1"/>
  <c r="F109" i="1" s="1"/>
  <c r="G108" i="1"/>
  <c r="F108" i="1" a="1"/>
  <c r="F108" i="1" s="1"/>
  <c r="G107" i="1"/>
  <c r="F107" i="1" a="1"/>
  <c r="F107" i="1" s="1"/>
  <c r="G106" i="1"/>
  <c r="F106" i="1" a="1"/>
  <c r="F106" i="1" s="1"/>
  <c r="G105" i="1"/>
  <c r="F105" i="1" a="1"/>
  <c r="F105" i="1" s="1"/>
  <c r="G104" i="1"/>
  <c r="F104" i="1" a="1"/>
  <c r="F104" i="1" s="1"/>
  <c r="G103" i="1"/>
  <c r="F103" i="1" a="1"/>
  <c r="F103" i="1" s="1"/>
  <c r="G102" i="1"/>
  <c r="F102" i="1"/>
  <c r="F102" i="1" a="1"/>
  <c r="G101" i="1"/>
  <c r="F101" i="1"/>
  <c r="F101" i="1" a="1"/>
  <c r="G100" i="1"/>
  <c r="F100" i="1" a="1"/>
  <c r="F100" i="1" s="1"/>
  <c r="G99" i="1"/>
  <c r="F99" i="1" a="1"/>
  <c r="F99" i="1" s="1"/>
  <c r="G98" i="1"/>
  <c r="F98" i="1" a="1"/>
  <c r="F98" i="1" s="1"/>
  <c r="G97" i="1"/>
  <c r="F97" i="1" a="1"/>
  <c r="F97" i="1" s="1"/>
  <c r="G96" i="1"/>
  <c r="F96" i="1"/>
  <c r="F96" i="1" a="1"/>
  <c r="G95" i="1"/>
  <c r="F95" i="1" a="1"/>
  <c r="F95" i="1" s="1"/>
  <c r="G94" i="1"/>
  <c r="F94" i="1" a="1"/>
  <c r="F94" i="1" s="1"/>
  <c r="G93" i="1"/>
  <c r="F93" i="1" a="1"/>
  <c r="F93" i="1" s="1"/>
  <c r="G92" i="1"/>
  <c r="F92" i="1" a="1"/>
  <c r="F92" i="1" s="1"/>
  <c r="G91" i="1"/>
  <c r="F91" i="1" a="1"/>
  <c r="F91" i="1" s="1"/>
  <c r="G90" i="1"/>
  <c r="F90" i="1" a="1"/>
  <c r="F90" i="1" s="1"/>
  <c r="G89" i="1"/>
  <c r="F89" i="1" a="1"/>
  <c r="F89" i="1" s="1"/>
  <c r="G88" i="1"/>
  <c r="F88" i="1" a="1"/>
  <c r="F88" i="1" s="1"/>
  <c r="G87" i="1"/>
  <c r="F87" i="1" a="1"/>
  <c r="F87" i="1" s="1"/>
  <c r="G86" i="1"/>
  <c r="F86" i="1"/>
  <c r="F86" i="1" a="1"/>
  <c r="G85" i="1"/>
  <c r="F85" i="1" a="1"/>
  <c r="F85" i="1" s="1"/>
  <c r="G84" i="1"/>
  <c r="F84" i="1" a="1"/>
  <c r="F84" i="1" s="1"/>
  <c r="G83" i="1"/>
  <c r="F83" i="1" a="1"/>
  <c r="F83" i="1" s="1"/>
  <c r="G82" i="1"/>
  <c r="F82" i="1"/>
  <c r="F82" i="1" a="1"/>
  <c r="G81" i="1"/>
  <c r="F81" i="1" a="1"/>
  <c r="F81" i="1" s="1"/>
  <c r="G80" i="1"/>
  <c r="F80" i="1" a="1"/>
  <c r="F80" i="1" s="1"/>
  <c r="G79" i="1"/>
  <c r="F79" i="1"/>
  <c r="F79" i="1" a="1"/>
  <c r="G78" i="1"/>
  <c r="F78" i="1" a="1"/>
  <c r="F78" i="1" s="1"/>
  <c r="G77" i="1"/>
  <c r="F77" i="1" a="1"/>
  <c r="F77" i="1" s="1"/>
  <c r="G76" i="1"/>
  <c r="F76" i="1" a="1"/>
  <c r="F76" i="1" s="1"/>
  <c r="G75" i="1"/>
  <c r="F75" i="1" a="1"/>
  <c r="F75" i="1" s="1"/>
  <c r="G74" i="1"/>
  <c r="F74" i="1" a="1"/>
  <c r="F74" i="1" s="1"/>
  <c r="G73" i="1"/>
  <c r="F73" i="1" a="1"/>
  <c r="F73" i="1" s="1"/>
  <c r="G72" i="1"/>
  <c r="F72" i="1" a="1"/>
  <c r="F72" i="1" s="1"/>
  <c r="G71" i="1"/>
  <c r="F71" i="1" a="1"/>
  <c r="F71" i="1" s="1"/>
  <c r="G70" i="1"/>
  <c r="F70" i="1"/>
  <c r="F70" i="1" a="1"/>
  <c r="G69" i="1"/>
  <c r="F69" i="1"/>
  <c r="F69" i="1" a="1"/>
  <c r="G68" i="1"/>
  <c r="F68" i="1" a="1"/>
  <c r="F68" i="1" s="1"/>
  <c r="G67" i="1"/>
  <c r="F67" i="1" a="1"/>
  <c r="F67" i="1" s="1"/>
  <c r="G66" i="1"/>
  <c r="F66" i="1"/>
  <c r="F66" i="1" a="1"/>
  <c r="G65" i="1"/>
  <c r="F65" i="1" a="1"/>
  <c r="F65" i="1" s="1"/>
  <c r="G64" i="1"/>
  <c r="F64" i="1" a="1"/>
  <c r="F64" i="1" s="1"/>
  <c r="G63" i="1"/>
  <c r="F63" i="1" a="1"/>
  <c r="F63" i="1" s="1"/>
  <c r="G62" i="1"/>
  <c r="F62" i="1" a="1"/>
  <c r="F62" i="1" s="1"/>
  <c r="G61" i="1"/>
  <c r="F61" i="1" a="1"/>
  <c r="F61" i="1" s="1"/>
  <c r="G60" i="1"/>
  <c r="F60" i="1" a="1"/>
  <c r="F60" i="1" s="1"/>
  <c r="G59" i="1"/>
  <c r="F59" i="1" a="1"/>
  <c r="F59" i="1" s="1"/>
  <c r="G58" i="1"/>
  <c r="F58" i="1" a="1"/>
  <c r="F58" i="1" s="1"/>
  <c r="G57" i="1"/>
  <c r="F57" i="1" a="1"/>
  <c r="F57" i="1" s="1"/>
  <c r="G56" i="1"/>
  <c r="F56" i="1" a="1"/>
  <c r="F56" i="1" s="1"/>
  <c r="G55" i="1"/>
  <c r="F55" i="1" a="1"/>
  <c r="F55" i="1" s="1"/>
  <c r="G54" i="1"/>
  <c r="F54" i="1"/>
  <c r="F54" i="1" a="1"/>
  <c r="G53" i="1"/>
  <c r="F53" i="1"/>
  <c r="F53" i="1" a="1"/>
  <c r="G52" i="1"/>
  <c r="F52" i="1" a="1"/>
  <c r="F52" i="1" s="1"/>
  <c r="G51" i="1"/>
  <c r="F51" i="1" a="1"/>
  <c r="F51" i="1" s="1"/>
  <c r="G50" i="1"/>
  <c r="F50" i="1" a="1"/>
  <c r="F50" i="1" s="1"/>
  <c r="G49" i="1"/>
  <c r="F49" i="1" a="1"/>
  <c r="F49" i="1" s="1"/>
  <c r="G48" i="1"/>
  <c r="F48" i="1"/>
  <c r="F48" i="1" a="1"/>
  <c r="G47" i="1"/>
  <c r="F47" i="1" a="1"/>
  <c r="F47" i="1" s="1"/>
  <c r="G46" i="1"/>
  <c r="F46" i="1" a="1"/>
  <c r="F46" i="1" s="1"/>
  <c r="G45" i="1"/>
  <c r="F45" i="1" a="1"/>
  <c r="F45" i="1" s="1"/>
  <c r="G44" i="1"/>
  <c r="F44" i="1" a="1"/>
  <c r="F44" i="1" s="1"/>
  <c r="G43" i="1"/>
  <c r="F43" i="1" a="1"/>
  <c r="F43" i="1" s="1"/>
  <c r="G42" i="1"/>
  <c r="F42" i="1" a="1"/>
  <c r="F42" i="1" s="1"/>
  <c r="G41" i="1"/>
  <c r="F41" i="1" a="1"/>
  <c r="F41" i="1" s="1"/>
  <c r="G40" i="1"/>
  <c r="F40" i="1" a="1"/>
  <c r="F40" i="1" s="1"/>
  <c r="G39" i="1"/>
  <c r="F39" i="1" a="1"/>
  <c r="F39" i="1" s="1"/>
  <c r="G38" i="1"/>
  <c r="F38" i="1" a="1"/>
  <c r="F38" i="1" s="1"/>
  <c r="G37" i="1"/>
  <c r="F37" i="1" a="1"/>
  <c r="F37" i="1" s="1"/>
  <c r="G36" i="1"/>
  <c r="F36" i="1" a="1"/>
  <c r="F36" i="1" s="1"/>
  <c r="G35" i="1"/>
  <c r="F35" i="1" a="1"/>
  <c r="F35" i="1" s="1"/>
  <c r="G34" i="1"/>
  <c r="F34" i="1" a="1"/>
  <c r="F34" i="1" s="1"/>
  <c r="G33" i="1"/>
  <c r="F33" i="1" a="1"/>
  <c r="F33" i="1" s="1"/>
  <c r="G32" i="1"/>
  <c r="F32" i="1" a="1"/>
  <c r="F32" i="1" s="1"/>
  <c r="G31" i="1"/>
  <c r="F31" i="1" a="1"/>
  <c r="F31" i="1" s="1"/>
  <c r="G30" i="1"/>
  <c r="F30" i="1" a="1"/>
  <c r="F30" i="1" s="1"/>
  <c r="G29" i="1"/>
  <c r="F29" i="1" a="1"/>
  <c r="F29" i="1" s="1"/>
  <c r="G28" i="1"/>
  <c r="F28" i="1" a="1"/>
  <c r="F28" i="1" s="1"/>
  <c r="G27" i="1"/>
  <c r="F27" i="1" a="1"/>
  <c r="F27" i="1" s="1"/>
  <c r="G26" i="1"/>
  <c r="F26" i="1" a="1"/>
  <c r="F26" i="1" s="1"/>
  <c r="G25" i="1"/>
  <c r="F25" i="1" a="1"/>
  <c r="F25" i="1" s="1"/>
  <c r="G24" i="1"/>
  <c r="F24" i="1" a="1"/>
  <c r="F24" i="1" s="1"/>
  <c r="G23" i="1"/>
  <c r="F23" i="1" a="1"/>
  <c r="F23" i="1" s="1"/>
  <c r="G22" i="1"/>
  <c r="F22" i="1" a="1"/>
  <c r="F22" i="1" s="1"/>
  <c r="G21" i="1"/>
  <c r="F21" i="1" a="1"/>
  <c r="F21" i="1" s="1"/>
  <c r="G20" i="1"/>
  <c r="F20" i="1" a="1"/>
  <c r="F20" i="1" s="1"/>
  <c r="G19" i="1"/>
  <c r="F19" i="1" a="1"/>
  <c r="F19" i="1" s="1"/>
  <c r="G18" i="1"/>
  <c r="F18" i="1" a="1"/>
  <c r="F18" i="1" s="1"/>
  <c r="G17" i="1"/>
  <c r="F17" i="1" a="1"/>
  <c r="F17" i="1" s="1"/>
  <c r="G16" i="1"/>
  <c r="F16" i="1" a="1"/>
  <c r="F16" i="1" s="1"/>
  <c r="G15" i="1"/>
  <c r="F15" i="1" a="1"/>
  <c r="F15" i="1" s="1"/>
  <c r="G14" i="1"/>
  <c r="F14" i="1" a="1"/>
  <c r="F14" i="1" s="1"/>
  <c r="G13" i="1"/>
  <c r="F13" i="1" a="1"/>
  <c r="F13" i="1" s="1"/>
  <c r="G12" i="1"/>
  <c r="F12" i="1" a="1"/>
  <c r="F12" i="1" s="1"/>
  <c r="G11" i="1"/>
  <c r="F11" i="1" a="1"/>
  <c r="F11" i="1" s="1"/>
  <c r="G10" i="1"/>
  <c r="F10" i="1" a="1"/>
  <c r="F10" i="1" s="1"/>
  <c r="G9" i="1"/>
  <c r="F9" i="1" a="1"/>
  <c r="F9" i="1" s="1"/>
  <c r="G8" i="1"/>
  <c r="F8" i="1" a="1"/>
  <c r="F8" i="1" s="1"/>
  <c r="G7" i="1"/>
  <c r="F7" i="1" a="1"/>
  <c r="F7" i="1" s="1"/>
  <c r="G6" i="1"/>
  <c r="F6" i="1" a="1"/>
  <c r="F6" i="1" s="1"/>
  <c r="G5" i="1"/>
  <c r="F5" i="1" a="1"/>
  <c r="F5" i="1" s="1"/>
  <c r="G4" i="1"/>
  <c r="F4" i="1" a="1"/>
  <c r="F4" i="1" s="1"/>
  <c r="G3" i="1"/>
  <c r="F3" i="1" a="1"/>
  <c r="F3" i="1" s="1"/>
  <c r="G2" i="1"/>
  <c r="F2" i="1" a="1"/>
  <c r="F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<sst xmlns="http://schemas.openxmlformats.org/spreadsheetml/2006/main" count="3417" uniqueCount="656">
  <si>
    <t>Ref</t>
  </si>
  <si>
    <t>Date of Update</t>
  </si>
  <si>
    <t>Stage</t>
  </si>
  <si>
    <t>Who With</t>
  </si>
  <si>
    <t>Comments</t>
  </si>
  <si>
    <t>Days with</t>
  </si>
  <si>
    <t>Total Cycle Time</t>
  </si>
  <si>
    <t>Cornerstone - Service Agreement</t>
  </si>
  <si>
    <t>Received/Under Review</t>
  </si>
  <si>
    <t>Legal</t>
  </si>
  <si>
    <t>KPMG - Engagement Letter 1</t>
  </si>
  <si>
    <t>AMCO CPM Solutions Limited - Service Agreement</t>
  </si>
  <si>
    <t>Cornerstone - Data Processing Agreement</t>
  </si>
  <si>
    <t>NVS - Extension to Supply Agreement</t>
  </si>
  <si>
    <t>No response from GS following initial questions</t>
  </si>
  <si>
    <t>Pet Cremation Services - Services Agreement</t>
  </si>
  <si>
    <t>No response from CW following initial questions</t>
  </si>
  <si>
    <t>Closed</t>
  </si>
  <si>
    <t>KPMG - Engagement Letter 2</t>
  </si>
  <si>
    <t>KPMG - Engagement Letter 3</t>
  </si>
  <si>
    <t>ezofficesystems - Software License and Support Agreement 1</t>
  </si>
  <si>
    <t>Assumed Closed - Out for signing</t>
  </si>
  <si>
    <t>KPMG - Engagement Letter 4</t>
  </si>
  <si>
    <t>ezofficesystems - Consent Agreement 1</t>
  </si>
  <si>
    <t>ezofficesystems - Termination Letter 1</t>
  </si>
  <si>
    <t>Fincloud Accountancy - Engagement Letter</t>
  </si>
  <si>
    <t>Vet IT - IT Services Agreement</t>
  </si>
  <si>
    <t>IDEXX - Novation Agreement</t>
  </si>
  <si>
    <t>Business Integration Partners SpA - Service Agreement</t>
  </si>
  <si>
    <t>Peugeot Fleet - Fleet Support Agreement</t>
  </si>
  <si>
    <t>ALP - Data Processing Agreement</t>
  </si>
  <si>
    <t>Signal Pet X Ray - Services Agreement</t>
  </si>
  <si>
    <t>Grant Thornton - Engagement Letter</t>
  </si>
  <si>
    <t>KPMG - Secondment Letter</t>
  </si>
  <si>
    <t>Inrehearsal - License Agreement</t>
  </si>
  <si>
    <t>HR put this project on hold.</t>
  </si>
  <si>
    <t>Vet Expo - Sponsorship Agreement</t>
  </si>
  <si>
    <t>Signed</t>
  </si>
  <si>
    <t>4Com - Novation of Rental Agreement</t>
  </si>
  <si>
    <t>Assumed Closed - AN followed up with Michael on 17 June</t>
  </si>
  <si>
    <t>Grenke - Hire Agreement 1</t>
  </si>
  <si>
    <t>Civvals - Engagement Letter</t>
  </si>
  <si>
    <t>PWC - Engagement Letters x 3</t>
  </si>
  <si>
    <t>Copthorne Vets - Referral Agreement</t>
  </si>
  <si>
    <t>Vets Now - License Agreement</t>
  </si>
  <si>
    <t xml:space="preserve">Assumed Closed - </t>
  </si>
  <si>
    <t>Grenke - Hire Agreement 2</t>
  </si>
  <si>
    <t>Assumed Closed - Comments with Kelly</t>
  </si>
  <si>
    <t>Grenke - Hire Agreement 3</t>
  </si>
  <si>
    <t>Grenke - Hire Agreement 4</t>
  </si>
  <si>
    <t>Assumed Closed - AN followed with Michael on 17 June</t>
  </si>
  <si>
    <t>ezofficesystems - Consent Agreement</t>
  </si>
  <si>
    <t>ezofficesystems - Software License and Support Agreement</t>
  </si>
  <si>
    <t>ezofficesystems - Termination Letter</t>
  </si>
  <si>
    <t>Vets4Pets East Sheen - OOH Agreement</t>
  </si>
  <si>
    <t>CVS - OOH Agreement</t>
  </si>
  <si>
    <t>Improve - NDA</t>
  </si>
  <si>
    <t>Supreme Animal Foods - Referral Agreement</t>
  </si>
  <si>
    <t>AN followed up on 12 Sept.</t>
  </si>
  <si>
    <t>RSPCA - Services Agreement</t>
  </si>
  <si>
    <t>Simon Jersey - NDA</t>
  </si>
  <si>
    <t>Aldwych - Engagement letter: CMA</t>
  </si>
  <si>
    <t>F Lex - Recruitment Agreement</t>
  </si>
  <si>
    <t>Hazlewoods - Engagement Letter: Artemis DD</t>
  </si>
  <si>
    <t>BNP Leasing  - Novation Agreement 1</t>
  </si>
  <si>
    <t>Gallagher - NDA</t>
  </si>
  <si>
    <t>Hazlewoods - NDA</t>
  </si>
  <si>
    <t>Tower Leasing Limited - Novation Agreement</t>
  </si>
  <si>
    <t>BNP Leasing  - Novation Agreement</t>
  </si>
  <si>
    <t>BNP Leasing (4Com) - Novation Agreement</t>
  </si>
  <si>
    <t>Vets Now - OOH Agreement 1</t>
  </si>
  <si>
    <t>Vets Now - OOH Agreement 2</t>
  </si>
  <si>
    <t>VPIS - Services Agreement</t>
  </si>
  <si>
    <t>Elanco - Pharma Supply Rebate Agreement</t>
  </si>
  <si>
    <t>Chris to send counterparty updated draft 14.9.22</t>
  </si>
  <si>
    <t>Hills  - Supply Agreement</t>
  </si>
  <si>
    <t xml:space="preserve">MSD  - Pharma Supply Agreement </t>
  </si>
  <si>
    <t>Execution Version circulated</t>
  </si>
  <si>
    <t xml:space="preserve">Royal Canin  - Supply Agreement </t>
  </si>
  <si>
    <t>Filter Digital - Website Support Agreement</t>
  </si>
  <si>
    <t>Completed</t>
  </si>
  <si>
    <t>Joncon Ltd - the 'consultancy agreement'/Variation</t>
  </si>
  <si>
    <t>Pee Gee Ltd - Hire Agreement (washing machine) 1</t>
  </si>
  <si>
    <t>Pee Gee Ltd - Termination Letter 1</t>
  </si>
  <si>
    <t>Assumed Closed - Sent for signing</t>
  </si>
  <si>
    <t>Wear refferals Ltd - OOH Agreement</t>
  </si>
  <si>
    <t>Zen - Novation Agreement</t>
  </si>
  <si>
    <t>Hive Digital Media LTD - Consultancy Agreement</t>
  </si>
  <si>
    <t>Connectr - SaaS</t>
  </si>
  <si>
    <t>Adaptix  - X Ray Loan Agreement</t>
  </si>
  <si>
    <t>Medivet not entering into financings</t>
  </si>
  <si>
    <t>Bee Safe - Supply Agreement</t>
  </si>
  <si>
    <t>ISVPS - NDA</t>
  </si>
  <si>
    <t>Red Cross - Training Services Agreement</t>
  </si>
  <si>
    <t>Simon Jersey - Minimum Order Agreement</t>
  </si>
  <si>
    <t>HOT in negotiations 01/11/22</t>
  </si>
  <si>
    <t>Turner Duckworth - Naming Services Agreement</t>
  </si>
  <si>
    <t>Vets4Pets Shrewsbury - OOH Agreement</t>
  </si>
  <si>
    <t>Pee Gee Ltd - Hire Agreement (washing machine)</t>
  </si>
  <si>
    <t>Pee Gee Ltd - Termination Letter</t>
  </si>
  <si>
    <t>RSA  - NDA</t>
  </si>
  <si>
    <t>Be-Safe Technologies - Terms &amp; Conditions</t>
  </si>
  <si>
    <t>Chris to confirm if anything outstanding.</t>
  </si>
  <si>
    <t>GoCardless - NDA</t>
  </si>
  <si>
    <t>Indigo Lighthouse GA - NDA</t>
  </si>
  <si>
    <t>Air Liquide - Supply Agreement</t>
  </si>
  <si>
    <t>Completed.</t>
  </si>
  <si>
    <t>BSI - ISO Assessment Services</t>
  </si>
  <si>
    <t>Lintbells - Rebate Agreement 1</t>
  </si>
  <si>
    <t>Nextmune - Rebate Agreement</t>
  </si>
  <si>
    <t>Signed by Bart.  Waiting for completed copy.</t>
  </si>
  <si>
    <t>TVM - Rebate Agreement</t>
  </si>
  <si>
    <t>Execution version with CW. AN followed up on 12 September</t>
  </si>
  <si>
    <t>Vetoquinol  - Rebate Agreement 1</t>
  </si>
  <si>
    <t>Virbac - Rebate Agreement</t>
  </si>
  <si>
    <t>Abzorb - Service Agreement</t>
  </si>
  <si>
    <t>IDEXX - IDEX 360 Agreement 1</t>
  </si>
  <si>
    <t xml:space="preserve">IDEXX - IDEX 360 Agreement </t>
  </si>
  <si>
    <t>IDEXX - Novation Letter 1</t>
  </si>
  <si>
    <t>IDEXX - Novation Letter</t>
  </si>
  <si>
    <t>Nottingham Student Union - Sponsorship Agreement</t>
  </si>
  <si>
    <t>Boxclever - Rental Agreement</t>
  </si>
  <si>
    <t>Boxclever - Termination Letter</t>
  </si>
  <si>
    <t>JLA - Hire Agreement</t>
  </si>
  <si>
    <t>JLA - Termination Letter</t>
  </si>
  <si>
    <t>PEAC Ltd - Novation Agreement</t>
  </si>
  <si>
    <t>Redline Tele - Order form</t>
  </si>
  <si>
    <t xml:space="preserve">BNP Paribas Leasing Soloutions Limited - Novation agreement </t>
  </si>
  <si>
    <t>Malthouse Vets - OOH Agreement</t>
  </si>
  <si>
    <t>Redline Tele - Order form 1</t>
  </si>
  <si>
    <t>4Com - Deed of Novation</t>
  </si>
  <si>
    <t xml:space="preserve">Quadient - Neofunds Franking Machine Agreement </t>
  </si>
  <si>
    <t>Rapier Communications - Consultancy Agreement</t>
  </si>
  <si>
    <t>Dr Farid Rahman - Deed of Adherence to Partnership</t>
  </si>
  <si>
    <t>Currently under review cross-orgranisation</t>
  </si>
  <si>
    <t>Dr Mitev - Deed of Retirement</t>
  </si>
  <si>
    <t>Sent to counterparty 11.8.22, Eran chased 21.9.22</t>
  </si>
  <si>
    <t>Marcel Mulholland - BPA</t>
  </si>
  <si>
    <t>Prima Vets - OOH Agreement</t>
  </si>
  <si>
    <t>agreement executed 7.9.22</t>
  </si>
  <si>
    <t xml:space="preserve">EY - Letter of Engagement </t>
  </si>
  <si>
    <t>Lois Wilkie - BPA</t>
  </si>
  <si>
    <t>with Jose 18.8.22, Eran chased 21.9.22</t>
  </si>
  <si>
    <t>Alexander Mann Solutions Limited (AMS) - Services Agreement</t>
  </si>
  <si>
    <t>Ellie still budgeting and will revert when there are any instructions.  To chase HR.</t>
  </si>
  <si>
    <t>PTL Voice and Data - Services Agreement</t>
  </si>
  <si>
    <t>draft still in negotiations</t>
  </si>
  <si>
    <t>IDEXX - Termination Letter</t>
  </si>
  <si>
    <t>Siemens Financial Services Limited - Deed of Novation 1</t>
  </si>
  <si>
    <t>Closed 03/03/2023 after no updates. Sent to Linda for other side signing</t>
  </si>
  <si>
    <t>Siemens Financial Services Limited - Deed of Novation 2</t>
  </si>
  <si>
    <t xml:space="preserve">Quadient - Novation Agreement </t>
  </si>
  <si>
    <t xml:space="preserve">Closed 03/03/2023 after no updates. </t>
  </si>
  <si>
    <t>Solution IP Communications - Service Agreement</t>
  </si>
  <si>
    <t>Closed 03/03/2023 after no updates. Bart Signed sent back for cross signing</t>
  </si>
  <si>
    <t>Siemens Financial Services Limited - Deed of Novation 3</t>
  </si>
  <si>
    <t>Closed 03/03/2023 after no updates. Sent to Bart for signing</t>
  </si>
  <si>
    <t>Egencia UK Limited - Services Agreement</t>
  </si>
  <si>
    <t>draft in negotiations</t>
  </si>
  <si>
    <t>Hastee - Services Agreement</t>
  </si>
  <si>
    <t>novation of existing agreement</t>
  </si>
  <si>
    <t>Baris Tarcan - Services Agreement</t>
  </si>
  <si>
    <t>Ellie to provide instructions To chase HR.</t>
  </si>
  <si>
    <t>Reliance - Services Agreement</t>
  </si>
  <si>
    <t>Norbrook - Rebate Agreement 1</t>
  </si>
  <si>
    <t>Zen - Deed of Novation</t>
  </si>
  <si>
    <t>Transfer of Broadband</t>
  </si>
  <si>
    <t>Access/Ezipay - Services Agreement</t>
  </si>
  <si>
    <t>Blakemere Vets has been acquired by Medivet and the contracts either need novating or ending and a new agreement in place. Access/Ezipay has contacted us to complete this.
Awaiting new trading agreement draft.
Send to Integrations for review before signing.</t>
  </si>
  <si>
    <t>Parkside Veterinary Centre Ltd - OOH Agreement</t>
  </si>
  <si>
    <t xml:space="preserve">Parkside want to utilise Sutton Clinic for OOH. </t>
  </si>
  <si>
    <t>Absorb - Services Agreement</t>
  </si>
  <si>
    <t>Migration of Medivet Brighouse's broadband from Torrignton Orthapaoedics. Due to the time since the original contract signing, Abzorb are not willing to novate the existing agreement.</t>
  </si>
  <si>
    <t>FP - Deed of Novation</t>
  </si>
  <si>
    <t>Blakemere are purchasing their existing franking machine rather than novating the contract with FP. Sophie advised that Medivet don’t usually use franking machines, but Blakemere’s substantial use (and issues with the supply of stamps) means that there is actually a cost benefit to the purchase. 
Gemma Passant and Michael Hunt have both agreed that this can proceed.
Perform a contracts review and revert to AN.
Waiting on Cain to provide supporting documents.</t>
  </si>
  <si>
    <t>Grant Thornton (tax consultants) - Services Agreement</t>
  </si>
  <si>
    <t>signed 4/11/22</t>
  </si>
  <si>
    <t>PEAC Ltd - Services Agreement</t>
  </si>
  <si>
    <t>Novation of telephony as branch not ready to transfer to preferred supplier. Current supplier will not change the name on the invoices without novating the contract.</t>
  </si>
  <si>
    <t>Pioneer - Supply Agreement</t>
  </si>
  <si>
    <t>TBC - OOH Agreement</t>
  </si>
  <si>
    <t>Closed after no response - External party wishing to use Leomington 24hr for OOH. Asked for details before snding out draft.</t>
  </si>
  <si>
    <t>Animalcare/Ecuphar  - Supply Agreement</t>
  </si>
  <si>
    <t>Dechra - Sponsorship Agreement</t>
  </si>
  <si>
    <t>CC organising signature</t>
  </si>
  <si>
    <t>Quest Software - Software License and Support Agreement</t>
  </si>
  <si>
    <t>signed on 31/10/22</t>
  </si>
  <si>
    <t>Vet Plus - Sponsorship Agreement</t>
  </si>
  <si>
    <t>Vidivet - Services Agreement</t>
  </si>
  <si>
    <t>BDO - Services Agreement</t>
  </si>
  <si>
    <t>TBC - Southport Vet clinic - OOH Agreement</t>
  </si>
  <si>
    <t>We have been approached by another Veterinary company to use our OOH services at Alder 24. CC - asked for details of company.</t>
  </si>
  <si>
    <t>redcentric - Services Agreement</t>
  </si>
  <si>
    <t>VVS - Services Agreement</t>
  </si>
  <si>
    <t>Claire advised letter no longer required as information provided.</t>
  </si>
  <si>
    <t>Maysor LLP - Lease</t>
  </si>
  <si>
    <t>Provided advice on alterations clause and that structural alterations may be allowed with consent.</t>
  </si>
  <si>
    <t>Alphatax - Software License and Support Agreement</t>
  </si>
  <si>
    <t>Chris Hunter - NDA Agreement</t>
  </si>
  <si>
    <t>8Advisory - Engagement Letter</t>
  </si>
  <si>
    <t>Advice and KYC details provided.</t>
  </si>
  <si>
    <t>Dechra Veterinary Products Limited - Rebate Agreement</t>
  </si>
  <si>
    <t>Waiting for execution copies.</t>
  </si>
  <si>
    <t>MSD  - Supply Agreement</t>
  </si>
  <si>
    <t xml:space="preserve"> - Sale and purchase of Partnership share</t>
  </si>
  <si>
    <t>Companion Care (Bicester) Limited - OOH Agreement</t>
  </si>
  <si>
    <t>MSD  - Sponsorship Agreement</t>
  </si>
  <si>
    <t>Schouwstra - BPA</t>
  </si>
  <si>
    <t>To push back on requests to agreement.  Waiting for clarifications on working hours and visa issues.</t>
  </si>
  <si>
    <t>Simon Jersey - Services Agreement</t>
  </si>
  <si>
    <t>Viking - Supply Agreement</t>
  </si>
  <si>
    <t>Animalcare - Sponsorship Agreement</t>
  </si>
  <si>
    <t>Comments provided</t>
  </si>
  <si>
    <t>Contingency Recovery Associates Limited - Services Agreement</t>
  </si>
  <si>
    <t>Intervet International B.V.  - Services Agreement</t>
  </si>
  <si>
    <t>MSD  - Services Agreement</t>
  </si>
  <si>
    <t xml:space="preserve">Contracts reviewed and comments made </t>
  </si>
  <si>
    <t>Zenoffice - Termination Letter</t>
  </si>
  <si>
    <t>Advice provided.  Waiting for resolution of increased fees.</t>
  </si>
  <si>
    <t xml:space="preserve"> - OOH Agreement</t>
  </si>
  <si>
    <t>Requested Ops director to look into obtaining OOH for the Richmond branch.</t>
  </si>
  <si>
    <t xml:space="preserve"> - Query</t>
  </si>
  <si>
    <t>Provided advice and waiting for instructions</t>
  </si>
  <si>
    <t>PDSA - Services Agreement</t>
  </si>
  <si>
    <t>CC to complete</t>
  </si>
  <si>
    <t>Vets Now - OOH Agreement 3</t>
  </si>
  <si>
    <t>Rent Review documents completed</t>
  </si>
  <si>
    <t>Vets Now - OOH Agreement 4</t>
  </si>
  <si>
    <t>Termination letter signed.</t>
  </si>
  <si>
    <t>Vets Now - OOH Agreement 5</t>
  </si>
  <si>
    <t>Boehringer Ingelheim Animal Health - NDA</t>
  </si>
  <si>
    <t>Advice provided</t>
  </si>
  <si>
    <t>CACI  - Services Agreement</t>
  </si>
  <si>
    <t>Ernst &amp; Young LLP - SaaS contract</t>
  </si>
  <si>
    <t>Waiting for Jason to confirm final documents agreed.</t>
  </si>
  <si>
    <t xml:space="preserve"> - Suspension and investigation </t>
  </si>
  <si>
    <t>Advised that immediate suspension not required and that full investigation undertaken before suspension</t>
  </si>
  <si>
    <t>Darwin Cooper - Agency fee query</t>
  </si>
  <si>
    <t>Advice provided that standard Medivet fee could be provided.</t>
  </si>
  <si>
    <t>Bremner - Query</t>
  </si>
  <si>
    <t xml:space="preserve">Drafted email response </t>
  </si>
  <si>
    <t>Braid Lewis - Lease Query</t>
  </si>
  <si>
    <t xml:space="preserve">Provided advise and waiting for follow up queries.  </t>
  </si>
  <si>
    <t>Forest Vet Vendors - Settlement Agreement</t>
  </si>
  <si>
    <t>Settlement of the reserved funds after acquisition.</t>
  </si>
  <si>
    <t>Grove Vets Vendors - Settlement Agreement</t>
  </si>
  <si>
    <t>Monument Vendors - Settlement Agreement</t>
  </si>
  <si>
    <t>4Com - Services Agreement</t>
  </si>
  <si>
    <t>BlueVenn - Services Contract (renewal)</t>
  </si>
  <si>
    <t>Labserve - Services contract</t>
  </si>
  <si>
    <t>To seek signature.</t>
  </si>
  <si>
    <t>Scott Millar - SPA</t>
  </si>
  <si>
    <t>Deed of variation provided</t>
  </si>
  <si>
    <t>Linneaus - OOH Agreement 1</t>
  </si>
  <si>
    <t>Clane and Lyneham require OOH services and there are no Mediet 24 hr cnetres nearby. Linneaus wish to use their standard terms, which have been reviewed and sent for signing.</t>
  </si>
  <si>
    <t>Credit Safe - Financial and compliance check</t>
  </si>
  <si>
    <t>Provided comments.</t>
  </si>
  <si>
    <t>Laurels Vendors - Settlement Agreement</t>
  </si>
  <si>
    <t>Mews Vendors - Settlement Agreement</t>
  </si>
  <si>
    <t>Pentex Property - Lease</t>
  </si>
  <si>
    <t>Rethink - Client review software contract</t>
  </si>
  <si>
    <t>RSPCA - Vet Services Contract</t>
  </si>
  <si>
    <t>Advised no longer required</t>
  </si>
  <si>
    <t>Safenames - Domain agreement</t>
  </si>
  <si>
    <t>For signature.</t>
  </si>
  <si>
    <t>VOGT Vendors - Settlement Agreement</t>
  </si>
  <si>
    <t>Blagreaves Vendors - Settlement Agreement</t>
  </si>
  <si>
    <t>Graduate Gala Agreemenrs - Sponsorship Agreement</t>
  </si>
  <si>
    <t>Withy Grove Veterinary Clinic Vendors - Settlement Agreement</t>
  </si>
  <si>
    <t>Kebir House Vendors - Settlement Agreement</t>
  </si>
  <si>
    <t xml:space="preserve"> - Advice</t>
  </si>
  <si>
    <t>advice no longer needed as accounts provided.</t>
  </si>
  <si>
    <t>Frontier Economics - Engagement Letter</t>
  </si>
  <si>
    <t>To review ancillary documents</t>
  </si>
  <si>
    <t>PMS - providers - Advice</t>
  </si>
  <si>
    <t>Provided draft termination notice.</t>
  </si>
  <si>
    <t>2 Vets Vendors - Settlement Agreement</t>
  </si>
  <si>
    <t>Fitzalan Vendors - Settlement Agreement</t>
  </si>
  <si>
    <t>Scottish Power - Dispute</t>
  </si>
  <si>
    <t>CC to follow up.</t>
  </si>
  <si>
    <t>Welsh - Disciplinary actions</t>
  </si>
  <si>
    <t>Drafted letter advising BP that he can work with restrictions pending the external investigations.</t>
  </si>
  <si>
    <t>Suez - Services Agreement</t>
  </si>
  <si>
    <t>Life Technologies Limited - Services Agreement</t>
  </si>
  <si>
    <t>Sysmex - Services Agreement</t>
  </si>
  <si>
    <t>TVCC Vendors - Settlement Agreement</t>
  </si>
  <si>
    <t>Graduate Gala Agreements - Event Contract</t>
  </si>
  <si>
    <t>Holiday Inn - Terms &amp; Conditions</t>
  </si>
  <si>
    <t>Medical Physics Services - Provision of Radiopharmaceuticals Contract</t>
  </si>
  <si>
    <t>Validium - EAP Contract</t>
  </si>
  <si>
    <t>Waiting for signature.</t>
  </si>
  <si>
    <t>Chess - OOH Agreement</t>
  </si>
  <si>
    <t>Watford are trying to set up contracts with other vets who use Watford's OOH services. Template sent for completion and advice given RE costs.</t>
  </si>
  <si>
    <t>Ecoserve - Cleaning Contract</t>
  </si>
  <si>
    <t>Advised Alan that contract does not need to be renewed.</t>
  </si>
  <si>
    <t xml:space="preserve"> - Employment and Earn Out dispute</t>
  </si>
  <si>
    <t>Silva to obtain commercial instructions as to how to progress settlement.</t>
  </si>
  <si>
    <t xml:space="preserve"> - SPA</t>
  </si>
  <si>
    <t>Provided advice to Ben and waiting for follow up queries.</t>
  </si>
  <si>
    <t>Anita James - Maintenance dispute</t>
  </si>
  <si>
    <t>Steven Holley dealing.</t>
  </si>
  <si>
    <t>Pets Relaxed - OOH Agreement</t>
  </si>
  <si>
    <t>OOH with Pets relaxed. Reviewed and passed back to Pets relaxed for signature. No response. Assumed closed</t>
  </si>
  <si>
    <t>GL Hearn - Business Rates Contract</t>
  </si>
  <si>
    <t>completed</t>
  </si>
  <si>
    <t>Vet Value LLP Vendors - Settlement Agreement</t>
  </si>
  <si>
    <t>Improve International Limited - Wet Lab services contract</t>
  </si>
  <si>
    <t>To review comments.</t>
  </si>
  <si>
    <t>Thermo Fisher Scientific - Equipment renewal contract</t>
  </si>
  <si>
    <t>Shire Leasing - Services Agreement</t>
  </si>
  <si>
    <t>Corpaul - Branch Partnership Agreement</t>
  </si>
  <si>
    <t>Aston Clinton Vendors - Settlement Agreement</t>
  </si>
  <si>
    <t>Emergency Vetcare Vendors - Settlement Agreement</t>
  </si>
  <si>
    <t>NEC  - Services Agreement</t>
  </si>
  <si>
    <t>Valley Vets Vendors - Settlement Agreement</t>
  </si>
  <si>
    <t>I T Kalogera Vendors - Settlement Agreement</t>
  </si>
  <si>
    <t>Arigon &amp; Florido - Employment and Earn Out dispute</t>
  </si>
  <si>
    <t>Waiting for employment claim to be heard.</t>
  </si>
  <si>
    <t>Vu - Consultancy Agreement 1</t>
  </si>
  <si>
    <t>advice provided.</t>
  </si>
  <si>
    <t>MykindaCrowd - Ambassor recruitment contract</t>
  </si>
  <si>
    <t>Provided advice that we can retain ambassadors after contract expiry.</t>
  </si>
  <si>
    <t>Tollbarn Vets - OOH Agreement</t>
  </si>
  <si>
    <t>Universiry of Surrey - Student training contract</t>
  </si>
  <si>
    <t>Marches Vets Vendors - Settlement Agreement</t>
  </si>
  <si>
    <t>Walton Lodge Vendors - Settlement Agreement</t>
  </si>
  <si>
    <t>Blythewood - OOH Agreement</t>
  </si>
  <si>
    <t>College of Animal Welfare Limited - Payment of invoice query</t>
  </si>
  <si>
    <t>Drafted letter disputing liability.</t>
  </si>
  <si>
    <t>Hillcrest Vendors - Settlement Agreement</t>
  </si>
  <si>
    <t>UKAS - Accreditation Customer agreement</t>
  </si>
  <si>
    <t>Woodley Equipment Company Ltd - Service Contract</t>
  </si>
  <si>
    <t xml:space="preserve"> - Intra-group loan agreement</t>
  </si>
  <si>
    <t>CC to obtain signed documents.</t>
  </si>
  <si>
    <t>Brookmans Park - OOH Agreement</t>
  </si>
  <si>
    <t>Drafted termination agreement.  Waiting for confirmation to send.</t>
  </si>
  <si>
    <t>BVA - Sponsorship Agreement</t>
  </si>
  <si>
    <t>Provided advice on cancellation costs.</t>
  </si>
  <si>
    <t>Beckerlegge and Waibel  - Deed of Variation</t>
  </si>
  <si>
    <t>Oldham - Consultancy Agreement 1</t>
  </si>
  <si>
    <t>Contract completed.</t>
  </si>
  <si>
    <t>Stephen Putnam - Partnership Agreement</t>
  </si>
  <si>
    <t>Provided comments and suggested wording regarding settlement.</t>
  </si>
  <si>
    <t>Inspired Energy - Letter of Authority and Terms of Business</t>
  </si>
  <si>
    <t>Champken - Branch Parternship Agreement</t>
  </si>
  <si>
    <t>Partner withdrew from matter but may have meeting to convince him to proceed.</t>
  </si>
  <si>
    <t>UCLan - Sponsorship Agreement</t>
  </si>
  <si>
    <t>Vet Station Vendors - Settlement Agreement</t>
  </si>
  <si>
    <t>Assisi Vets Vendors - Settlement Agreement</t>
  </si>
  <si>
    <t>Easy Direct Debit - Indemnity</t>
  </si>
  <si>
    <t>To review documents regarding requirement to provide indemnity.</t>
  </si>
  <si>
    <t xml:space="preserve"> - Rebate Agreement</t>
  </si>
  <si>
    <t>Bytes - Variation Agreement</t>
  </si>
  <si>
    <t>Delaware - MSA and SOW</t>
  </si>
  <si>
    <t>No further instructions</t>
  </si>
  <si>
    <t>Viking - Variation Agreement</t>
  </si>
  <si>
    <t>Waiting for signature.  Bart advised budget not available for this.</t>
  </si>
  <si>
    <t>Lintbells - Rebate Agreement 2</t>
  </si>
  <si>
    <t>Cardiff Cat Clinic Vendors - Settlement Agreement</t>
  </si>
  <si>
    <t>Chertsey Vets Vendors - Settlement Agreement</t>
  </si>
  <si>
    <t>MSDAH intervet  - Rebate Agreement</t>
  </si>
  <si>
    <t>Band Vets - Settlement Agreement</t>
  </si>
  <si>
    <t>Betavet - Settlement Agreement</t>
  </si>
  <si>
    <t>Blakemere - Settlement Agreement</t>
  </si>
  <si>
    <t>Workday - SaaS contract</t>
  </si>
  <si>
    <t>Waiting for Kainos scope.</t>
  </si>
  <si>
    <t>Alex Llorens - Branch Partnership Agreement</t>
  </si>
  <si>
    <t>OOH referral no longer going ahead</t>
  </si>
  <si>
    <t>Andy McVee - Employment contract</t>
  </si>
  <si>
    <t>Waiting for signatories from BPs.</t>
  </si>
  <si>
    <t>Ines Serrao - Branch Partnership Agreement</t>
  </si>
  <si>
    <t>BP not proceeding.</t>
  </si>
  <si>
    <t>Pink Squid - Onboarding contract</t>
  </si>
  <si>
    <t>Woodley Equipment Company Ltd - Services contract</t>
  </si>
  <si>
    <t>E-bate Limited - SaaS contract</t>
  </si>
  <si>
    <t>Provided amended contract.</t>
  </si>
  <si>
    <t>Elanco UK AH Limited   - Rebate Extension</t>
  </si>
  <si>
    <t>Rebate extension letter for checking</t>
  </si>
  <si>
    <t>G9 Chemicals Ltd - Rebate Extension</t>
  </si>
  <si>
    <t>KPMG - Engagement letter 5</t>
  </si>
  <si>
    <t>EDF - Energy Meter contract</t>
  </si>
  <si>
    <t>To prepare for signing after details received.</t>
  </si>
  <si>
    <t>Orcom Civvals Limited - Engagement Letter</t>
  </si>
  <si>
    <t>Requested instructions from Bart.</t>
  </si>
  <si>
    <t>PJS Services - Services Agreement</t>
  </si>
  <si>
    <t xml:space="preserve">PJS are hosting Lab Services new website and the T&amp;Cs need to be reviewed. T&amp;Cs reviewed and amends agreed with PJS. Waiting on start date from Laura. </t>
  </si>
  <si>
    <t>SAP Concur - SAP Concur Data Processing Agreement</t>
  </si>
  <si>
    <t xml:space="preserve">SAP Concur are amending their contracts to include the amended SCCs. </t>
  </si>
  <si>
    <t>Animalcare - Rebate Extension</t>
  </si>
  <si>
    <t>Dechra - Rebate Extension</t>
  </si>
  <si>
    <t>Connectr - HR mentoring Sass contract</t>
  </si>
  <si>
    <t>Waiting for service credit instructions.</t>
  </si>
  <si>
    <t>Duggan Veterinary Supplies   - Rebate Agreement</t>
  </si>
  <si>
    <t>Rebate agreement for checking - should be standard template. Sent for signing.</t>
  </si>
  <si>
    <t>Merkle - MarTech contract</t>
  </si>
  <si>
    <t>Varian - Branch Partnership Agreement</t>
  </si>
  <si>
    <t>St Leonards - Settlement Agreement</t>
  </si>
  <si>
    <t>Ferring Street - Settlement Agreement</t>
  </si>
  <si>
    <t>Edenbridge - Settlement Agreement</t>
  </si>
  <si>
    <t>Tyldesley and Standish - Settlement Agreement</t>
  </si>
  <si>
    <t>Pype Hayes - Settlement Agreement</t>
  </si>
  <si>
    <t>Zoetis - Rebate Extension</t>
  </si>
  <si>
    <t>Lintbells - Rebate Variation</t>
  </si>
  <si>
    <t>Rebate variation provided by Lintbells. Review completed and comments sent to Lintbells</t>
  </si>
  <si>
    <t>Norbrook - Rebate Extension</t>
  </si>
  <si>
    <t>TVM - Rebate Extension</t>
  </si>
  <si>
    <t>Rebate Agreement</t>
  </si>
  <si>
    <t>Vetoquinol  - Rebate Extension</t>
  </si>
  <si>
    <t>Hansa - NDA</t>
  </si>
  <si>
    <t>Negotiating NDA</t>
  </si>
  <si>
    <t>Jurox - Rebate Extension</t>
  </si>
  <si>
    <t>Patel - Branch Partnership Agreement</t>
  </si>
  <si>
    <t>Various - Branch Partnership Agreement</t>
  </si>
  <si>
    <t>Mayo - Variation Agreement</t>
  </si>
  <si>
    <t>Provided advice on fifth year earnout.  Waiting for instructions.</t>
  </si>
  <si>
    <t>Oxford Cat Clinic - Settlement Agreement</t>
  </si>
  <si>
    <t>Village Hotels - Meeting and Beds Contract</t>
  </si>
  <si>
    <t>Contract for hotel booking for graduate gala 2024.</t>
  </si>
  <si>
    <t>Virbac - Rebate Extension</t>
  </si>
  <si>
    <t>Prosper - Rebate Agreement 1</t>
  </si>
  <si>
    <t>Rebate Agreement. Comments sent to Lynda.</t>
  </si>
  <si>
    <t>Life Technologies Limited - Agreement Addendum</t>
  </si>
  <si>
    <t>Contract for the extension of using two machines/sample storers/testers in the lab. Life Technologies would not alter their standard terms. Negotiated a change in payment terms.</t>
  </si>
  <si>
    <t>MSD - Sponsorship Agreement</t>
  </si>
  <si>
    <t>Document signed</t>
  </si>
  <si>
    <t>Whisker and Woof - OOH Agreement</t>
  </si>
  <si>
    <t>Incoming OOH agreement</t>
  </si>
  <si>
    <t>Croner-i - Engagement Letter</t>
  </si>
  <si>
    <t>Dotdigital - Services Contract</t>
  </si>
  <si>
    <t>Waiting for signed documents</t>
  </si>
  <si>
    <t>GRG Executive Search - Engagement Letter</t>
  </si>
  <si>
    <t>MSD - Rebate Agreement</t>
  </si>
  <si>
    <t>Boroughbridge Vets Ltd - OOH Agreement</t>
  </si>
  <si>
    <t>Standard OOH agreement - Thirsk providing. Boroughbridge altered the terms to state referral, however, we require the terms to state OOH. Signed contract received on 27-07 and sent for countersignature from Andy Cresswell 27-07.</t>
  </si>
  <si>
    <t>Bond Globat - Recruitment Agreement</t>
  </si>
  <si>
    <t>Pets Naturally - Settlement Agreement</t>
  </si>
  <si>
    <t>Ritico and Duarte - BPA</t>
  </si>
  <si>
    <t>Chanelle Pharma - Rebate Extension</t>
  </si>
  <si>
    <t>Vetark - Rebate Extension</t>
  </si>
  <si>
    <t>Dean - Variation Agreement</t>
  </si>
  <si>
    <t>EDF - Utility contract 1</t>
  </si>
  <si>
    <t>Not required.</t>
  </si>
  <si>
    <t>ERM - Services Agreement</t>
  </si>
  <si>
    <t>Document provided to CVC for signature as they will pay costs.</t>
  </si>
  <si>
    <t>Reputation - Services Renewal Agreement</t>
  </si>
  <si>
    <t>Vethub - SaaS contract</t>
  </si>
  <si>
    <t>No longer required.</t>
  </si>
  <si>
    <t>Worldpay - Services Agreement</t>
  </si>
  <si>
    <t>Matter resolved.</t>
  </si>
  <si>
    <t>Biogal - Exclusive supplier agreement</t>
  </si>
  <si>
    <t>Eight Advisory - Engagement Letter</t>
  </si>
  <si>
    <t>To review.</t>
  </si>
  <si>
    <t>Spectrum - Termination Advice</t>
  </si>
  <si>
    <t>Provided advice</t>
  </si>
  <si>
    <t>Hackney - Settlement Agreement</t>
  </si>
  <si>
    <t>Advance PM Ltd - Construction Contract 1</t>
  </si>
  <si>
    <t>Provided comments</t>
  </si>
  <si>
    <t>MML - Services Contract 1</t>
  </si>
  <si>
    <t>Morar - Deed of Adherence to Partnership</t>
  </si>
  <si>
    <t>Woodley Equipment Company Ltd - Equipment Hire</t>
  </si>
  <si>
    <t>This is a low-value contract (£30 per month) for the hire of some in-house testing equipment for Medivet Northam.The supplier, Woodley Equipment Company Ltd, have agreed 45 day payment terms through invoicing, rather than a direct debit. However, the term is fixed for three years and early termination results in payment of the full fees for the 3 years.
We have been assured that branches have similar agreements and that the equipment is essential for the branch. Bart has approved so sent for signing.</t>
  </si>
  <si>
    <t>Evans - Clinical Breach letter</t>
  </si>
  <si>
    <t>Drafted letter.</t>
  </si>
  <si>
    <t>Evans Partnership - NDA</t>
  </si>
  <si>
    <t>Obtaining signature</t>
  </si>
  <si>
    <t>PDSA - Termination advice</t>
  </si>
  <si>
    <t>Provided comments and requested further information</t>
  </si>
  <si>
    <t>Vet CT - Services Agreement 1</t>
  </si>
  <si>
    <t>Prosper - Rebate Agreement</t>
  </si>
  <si>
    <t>Millpleadge - Rebate Agreement</t>
  </si>
  <si>
    <t>TriVantage - Consultancy Agreement</t>
  </si>
  <si>
    <t>Requested consultant use our standard form contract.</t>
  </si>
  <si>
    <t>Vet Exchange - Rebate Agreement</t>
  </si>
  <si>
    <t>Forte - Rebate Agreement</t>
  </si>
  <si>
    <t>GL Hearn - Business Rates Contract addendum</t>
  </si>
  <si>
    <t xml:space="preserve">Provided comments </t>
  </si>
  <si>
    <t>Hillside - Settlement Agreement</t>
  </si>
  <si>
    <t>Lintbells - Rebate Agreement 3</t>
  </si>
  <si>
    <t>Vet Empowered Limited - Coaching contract</t>
  </si>
  <si>
    <t>Central CPD - Training Services Agreement</t>
  </si>
  <si>
    <t>Ecovardis - Services Agreement</t>
  </si>
  <si>
    <t>Geoff Potts - Variation Agreement</t>
  </si>
  <si>
    <t>Optimisely - Services Agreement 1</t>
  </si>
  <si>
    <t>Pet Vaccination Centre - Settlement Agreement</t>
  </si>
  <si>
    <t>CVC Nottingham - Settlement Agreement</t>
  </si>
  <si>
    <t>AQ Cardiology Ltd - Consultancy Agreement</t>
  </si>
  <si>
    <t>Waiting for comments.</t>
  </si>
  <si>
    <t>NVS - Termination Advice</t>
  </si>
  <si>
    <t>Advised support no longer required</t>
  </si>
  <si>
    <t>DNA Vets - OOH Agreement 1</t>
  </si>
  <si>
    <t>OOH Agreement between the two former clinics now owned by DNA vets. Cancelled.</t>
  </si>
  <si>
    <t>MML - Services Contract</t>
  </si>
  <si>
    <t>Story Tellers - Master Services Agreement</t>
  </si>
  <si>
    <t>BIOMERIEUX - Service Contract Renewal</t>
  </si>
  <si>
    <t>Contract for servicing of equipment at the lab. Auto-renews each year</t>
  </si>
  <si>
    <t>Assured Thought - Services Agreement</t>
  </si>
  <si>
    <t>Reviewing contract</t>
  </si>
  <si>
    <t>Safe4 - Rebate Agreement</t>
  </si>
  <si>
    <t>Spectrum - Break Advice</t>
  </si>
  <si>
    <t>Notice drafted and circulated.</t>
  </si>
  <si>
    <t>Vets Now - Termination Letter</t>
  </si>
  <si>
    <t>Oldham - Consultancy Agreement</t>
  </si>
  <si>
    <t>DAC - Services Agreement 1</t>
  </si>
  <si>
    <t>Flexible - Saas benefits contract</t>
  </si>
  <si>
    <t>Delaware - Services Contract</t>
  </si>
  <si>
    <t>Farmcare - Termination letter</t>
  </si>
  <si>
    <t>Letter provided.</t>
  </si>
  <si>
    <t>Dechra Veterinary Solutions Limited - Rebate Extension</t>
  </si>
  <si>
    <t>Rebate Extension on medivet standard letter. Sent for signing 17/10/2023</t>
  </si>
  <si>
    <t>Vet Plus - Rebate Extension</t>
  </si>
  <si>
    <t>Star Storycrafters Ltd. - Consultancy Agreement</t>
  </si>
  <si>
    <t>New agreement for a HR contractor on our standard terms. Checked and signed.</t>
  </si>
  <si>
    <t>DNA Vets - OOH Agreement</t>
  </si>
  <si>
    <t>Vets2YourPets - Services Agreement</t>
  </si>
  <si>
    <t>Agreement with Vets2YourPets for them to provide promotion of Medivet to their clients. In return, Medivet will be available as a daytime premises for any referrals. Final version sent to JOB on 24/01/2024 for their comments</t>
  </si>
  <si>
    <t>BUPA - Services Contract</t>
  </si>
  <si>
    <t>Boehringer Ingelheim Animal Health - Sponsorship Agreement</t>
  </si>
  <si>
    <t>Real World - Consultancy Agreement</t>
  </si>
  <si>
    <t>Stormtech - Services Contract</t>
  </si>
  <si>
    <t>Johnson and Johnson - Rebate Agreement</t>
  </si>
  <si>
    <t>New agreement with J&amp;J on their terms. Commercially agreed by Chris. Needed to update contact address and bank details etc. so returned. 01/02 received updated copy - checked and sent for signature.</t>
  </si>
  <si>
    <t>Comtract Ltd - Consultancy Agreement</t>
  </si>
  <si>
    <t>New consultancy agreement with Chris Macdonald of Comtract.</t>
  </si>
  <si>
    <t>Virbac - Sponsorship Agreement</t>
  </si>
  <si>
    <t>Sponsorship agreement with Virbac for a Medivet event. Template completed by Clare and sent to CC to review on 16/11</t>
  </si>
  <si>
    <t xml:space="preserve">Experian - Services Contract </t>
  </si>
  <si>
    <t>Allstar - Collateral Contract</t>
  </si>
  <si>
    <t xml:space="preserve">B &amp; J Properties (Harrogate) LimitedHarrogate - Surrender </t>
  </si>
  <si>
    <t>BlueVenn - Services Contract</t>
  </si>
  <si>
    <t>Chant - Settlement Agreement</t>
  </si>
  <si>
    <t>Stark Connect Limited - Services Contract</t>
  </si>
  <si>
    <t xml:space="preserve">Suntera Trustees (Jersey) Limited - Surrender </t>
  </si>
  <si>
    <t>Linneaus - OOH Agreement</t>
  </si>
  <si>
    <t>Standard contract on Linnaeus terms. Responded to Claire on 08/12 to say that only exec can sign and we need a write-enabled format to provide comments and add our branch details etc. 16/01 update - no reply from Claire yet. 19/01 word doc provided. 22/01 comments sent back to Linnaeus.</t>
  </si>
  <si>
    <t>Hilton Garden Inn - Event Venue Hire Contract</t>
  </si>
  <si>
    <t>Contract for venue hire in Feb 2024. Met with Halayne 11/12 to clarify what we require to enable a review. This contract was forward along with another contract for venue hire. 04/01 Helen Joslin chased. 18-01 comments sent back to Halayne but advised this can be signed. Closed as not heard anything further.</t>
  </si>
  <si>
    <t>Holiday Inn Garforth - Event Venue Hire Contract</t>
  </si>
  <si>
    <t>Contract for venue hire in Feb 2024. Met with Halayne 11/12 to clarify what we require to enable a review. This contract was forward along with another contract for venue hire. 04/01 Helen Joslin chased. 18/01 comments sent back to Halayne. Closed as not heard anything further.</t>
  </si>
  <si>
    <t>Top Employer - Services Contract</t>
  </si>
  <si>
    <t>Advised contract no longer required.</t>
  </si>
  <si>
    <t>Dogs Trust - Veterinary Services Agreement</t>
  </si>
  <si>
    <t xml:space="preserve">Agreement with Dogs Trust on their terms for provision of standard veterinary services. Dogs Trust are approaching multiple clinics (not just Medivet) to enter into new terms to continue providing services to dogs at Dogs Trust. Deadline is 01/02/2024. Clinic sent price list to be added into contract on 19/01. </t>
  </si>
  <si>
    <t>Npower - Utility contract</t>
  </si>
  <si>
    <t>Adaptix  - Services Contract</t>
  </si>
  <si>
    <t>Hilton - Forum booking contract</t>
  </si>
  <si>
    <t>Ladbrokes Betting &amp; Gaming Ltd - Services Agreement</t>
  </si>
  <si>
    <t xml:space="preserve">New contract to draft for services agreement between Edenbridge and Crayford Stadium to provide vet services to the dogs. Existing informal agreement. </t>
  </si>
  <si>
    <t>Inspired Energy - Services Agreement 1</t>
  </si>
  <si>
    <t>New agreement for the utility brokers. Comments provided 01/02. Returned for final review 12/02. Confirmed for signing 12/02.</t>
  </si>
  <si>
    <t>Internal Stakeholder</t>
  </si>
  <si>
    <t xml:space="preserve">New contract to draft for services agreement between Edenbridge and Crayford Stadium to provide vet services to the dogs. Existing informal agreement. On HOLD until confirmed that this was commercially desired. </t>
  </si>
  <si>
    <t>Pet Blook Bank - Asset Purchase Agreement</t>
  </si>
  <si>
    <t>BlueVenn - Services Agreement</t>
  </si>
  <si>
    <t>DAC - Services Agreement</t>
  </si>
  <si>
    <t>Ernst Young - Confidentiality Agreement</t>
  </si>
  <si>
    <t xml:space="preserve">Confidentiality agreement with EY for providing analytical services to HR. </t>
  </si>
  <si>
    <t>Marshalls Vehicles - Trial Agreement</t>
  </si>
  <si>
    <t>Trial agreement for vehicles trackers. Comments sent back on 01/02. Need them to confirm how the installation fee is invoiced and change signatory to Helen C-S.</t>
  </si>
  <si>
    <t>Engage - Data Processing Agreement</t>
  </si>
  <si>
    <t xml:space="preserve">Engage are providing broker services for health insurance for employees. Their standard contract does not contain sufifcient DP provisions, so a separate DPA is required. </t>
  </si>
  <si>
    <t>Vu - Consultancy Agreement</t>
  </si>
  <si>
    <t>Advance PM Ltd - Construction Contract</t>
  </si>
  <si>
    <t>Cats Protection - DPA</t>
  </si>
  <si>
    <t>DPA for review as a side to new informal agreement to provide services. 12/02 advised that it needed to be group level, not clinic level, and that only exec can sign. 29/02 Gio returned with amended terms for review. 01/03 I provided comments on DPA. 21/05 no update.</t>
  </si>
  <si>
    <t>Drafted/Comments Sent</t>
  </si>
  <si>
    <t xml:space="preserve">DPA for review as a side to new informal agreement to provide services. 12/02 advised that it needed to be group level, not clinic level, and that only exec can sign. </t>
  </si>
  <si>
    <t>Samuel Lippiatt - Clawback Agreement</t>
  </si>
  <si>
    <t>16/02 request for clawback agreement to pay new vets training contract from his old employer - standard template sent. Query returned as to whether template would work as they want to pay the old clinic. Advised this is not possible. James to query how we can pay the new vet and avoid tax issues. 22/03 Jason agreed Benefit in Kind can be paid by Medivet. James to complete usual template and returned to edit terms. 22/03 no longer required.</t>
  </si>
  <si>
    <t>Summit - Supply Agreement</t>
  </si>
  <si>
    <t>16/02 (Fri) contract for new drugs supplier for review 19/02 (Mon) sent comments back to Lynda</t>
  </si>
  <si>
    <t xml:space="preserve">New contract to draft for services agreement between Edenbridge and Crayford Stadium to provide vet services to the dogs. Existing informal agreement. On HOLD until confirmed that this was commercially desired. 19/02 requested company details to start draft. </t>
  </si>
  <si>
    <t>Siemens Financial Services Limited - Novation Agreement</t>
  </si>
  <si>
    <t xml:space="preserve">19/02 Michael Hunt provided comments on the reason for a novation agreement </t>
  </si>
  <si>
    <t>Stripe - DPA</t>
  </si>
  <si>
    <t>19/02 TST requested review of the DP provisions in the stripe agreement. 21/02 comments sent back.</t>
  </si>
  <si>
    <t>Otherside</t>
  </si>
  <si>
    <t>19/02 Michael Hunt provided comments on the reason for a novation agreement 20/02 response to query other available options - Michael confirmed this is with the supplier to see if we can buy the equipment. 21/05 no update.</t>
  </si>
  <si>
    <t>Graham Oliver - Consultancy Agreement</t>
  </si>
  <si>
    <t xml:space="preserve">New consultancy agreement with GO. Amendments to template needed as he will be paid as a % of his revenue that he brings to the clinic. </t>
  </si>
  <si>
    <t xml:space="preserve">New consultancy agreement with GO. Amendments to template needed as he will be paid as a % of his revenue that he brings to the clinic. With Kurt to calculate the formula for payment to write into agreement. </t>
  </si>
  <si>
    <t>Further/Final Review</t>
  </si>
  <si>
    <t xml:space="preserve">New consultancy agreement with GO. Amendments to template needed as he will be paid as a % of his revenue that he brings to the clinic. With Kurt to calculate the formula for payment to write into agreement. 26/02 initial draft and comments sent back to Andrea. </t>
  </si>
  <si>
    <t>Grace and Co - Services Agreement</t>
  </si>
  <si>
    <t>To mark up contract</t>
  </si>
  <si>
    <t>Rapp consultancy - Services Agreement</t>
  </si>
  <si>
    <t>Reassure Limited - Car Parking Licence</t>
  </si>
  <si>
    <t>No further legal assistance required.</t>
  </si>
  <si>
    <t>redcentric - Services Agreement 1</t>
  </si>
  <si>
    <t>Fencovis - Rebate Amendment</t>
  </si>
  <si>
    <t>28/02 additional sku to be added to rebate amendment, updated T&amp;Cs. 05/03 reviewed and requested completion of missing details eg bank account. 18/03 completed doc returned and sent for signing. 18/03 signed</t>
  </si>
  <si>
    <t xml:space="preserve">DPA for review as a side to new informal agreement to provide services. 12/02 advised that it needed to be group level, not clinic level, and that only exec can sign. 29/02 Gio returned with amended terms for review. </t>
  </si>
  <si>
    <t xml:space="preserve">New contract to draft for services agreement between Edenbridge and Crayford Stadium to provide vet services to the dogs. Existing informal agreement. On HOLD until confirmed that this was commercially desired. 19/02 requested company details to start draft. 01/03 details recieved. </t>
  </si>
  <si>
    <t>Sussex Police - Services Agreement</t>
  </si>
  <si>
    <t xml:space="preserve">Contract sent to us - advised to complete the review form and amend any terms that don't meet our standard rules of engagement. Once completed, we can complete our review. </t>
  </si>
  <si>
    <t xml:space="preserve">New contract to draft for services agreement between Edenbridge and Crayford Stadium to provide vet services to the dogs. Existing informal agreement. On HOLD until confirmed that this was commercially desired. 19/02 requested company details to start draft. 01/03 details recieved. 06/03 updated draft sent back. </t>
  </si>
  <si>
    <t>North Yorkshire Police - Services Agreement</t>
  </si>
  <si>
    <t>06/03/2024 Contract came in to review 07/03 intial comments/questions sent 14/03 comments returned (during annual leave) 18/03 (returned from leave) further comments sent back to internal stakeholder. Advised that comments passed to otherside for review. 27/03 clinic advised that the police were told the terms were agreed during the bidding process, we advised that this was a miscommunication, and only specific information had been requested. Contract presents specific risks to the company so these needed to be approved by Andy C if we were to proceed. Sent to Andy C 11/04. 19/04 clinic chased, I chased Andy C. 25/04 Andy C replied. 30/04 further responses provided and approval requested. 07/05 and 08/05 clinic/ROD chased. 09/05 Rebecca Thorne returned with further questions for Andy C (which were responded to) but then went on annual leave. 15/05 chased. 20/05 chased - Rebecca confirmed that Andy C would need board approval due to the contract length and followed up on a response she had missed. I confirmed that Gio had approved the fixed prices for 4 years.</t>
  </si>
  <si>
    <t>Dotdigital - Services Agreement</t>
  </si>
  <si>
    <t>xDesign - Services Agreement</t>
  </si>
  <si>
    <t>Counterparty Signature</t>
  </si>
  <si>
    <t xml:space="preserve">New contract to draft for services agreement between Edenbridge and Crayford Stadium to provide vet services to the dogs. Existing informal agreement. On HOLD until confirmed that this was commercially desired. 19/02 requested company details to start draft. 01/03 details recieved. 06/03 updated draft sent back. 12/03 Gem sent to other side for signing. </t>
  </si>
  <si>
    <t>Pageone - Novation Agreement</t>
  </si>
  <si>
    <t xml:space="preserve">14/03 request to assist novate contract. AN advised that we could not novate as company struck off, but we could enter a short form agreement to state that we are taking over the work. In the first instance, the business needs to confirm from procurement and IT that this is the preferred option. </t>
  </si>
  <si>
    <t>Health Shield - Services Agreement</t>
  </si>
  <si>
    <t>Contract for the supply of health benefits to all employees. Due to go live 01 June. Advised Tony that this may need to wait until TST's return due to the contract value. Tu Sen provide CC with comments on 08/04. CC sent comments (and DP comments) back to Tony on 16/04. 22/04 Health Shield returned with comments - we agreed. 08/05 Health SHield provided updated terms.</t>
  </si>
  <si>
    <t>14/03 request to assist novate contract. AN advised that we could not novate as company struck off, but we could enter a short form agreement to state that we are taking over the work. In the first instance, the business needs to confirm from procurement and IT that this is the preferred option. 18/03 Charlotte sent further clarification to Roule. 21/05 no update.</t>
  </si>
  <si>
    <t>Independent Vetcare Limited - OOH Agreement 1</t>
  </si>
  <si>
    <t>Independent Vetcare are updating their terms and have sent new agreements through to review. 20/03 I asked for clarification on these new terms and a copy of the old agreements so that I could compare the changes. 14/04 Old agreements provided.</t>
  </si>
  <si>
    <t>Independent Vetcare Limited - OOH Agreement 2</t>
  </si>
  <si>
    <t>Independent Vetcare Limited - OOH Agreement 3</t>
  </si>
  <si>
    <t>Independent Vetcare Limited - OOH Agreement 4</t>
  </si>
  <si>
    <t>EY - Engagement Letter</t>
  </si>
  <si>
    <t>Provided Comments</t>
  </si>
  <si>
    <t xml:space="preserve">New consultancy agreement with GO. Amendments to template needed as he will be paid as a % of his revenue that he brings to the clinic. With Kurt to calculate the formula for payment to write into agreement. 26/02 initial draft and comments sent back to Andrea. 17/04 sent to GO for comments/signing. </t>
  </si>
  <si>
    <t>MSD Animal Health - Sponsorship Agreement</t>
  </si>
  <si>
    <t xml:space="preserve">03/05 contract received for review. 10/05 comments returned, queried payment schedule. Lynda confirmed this was agreeable. 15/05 Lynda sent for signature. 16/05 Bart flagged address was incorrect. Corrected version sent. </t>
  </si>
  <si>
    <t>G4S - Cash Services</t>
  </si>
  <si>
    <t xml:space="preserve">13/05 sent to TST to review, passed to Charlotte. 21/05 comments provided. </t>
  </si>
  <si>
    <t>Speakers Corner - Services Contract</t>
  </si>
  <si>
    <t xml:space="preserve">Contract sent to us - advised to complete the review form and amend any terms that don't meet our standard rules of engagement. Once completed, we can complete our review. 18/05 BP chased. I advised we had not received the request form. BP cannot complete request form. ROD advised to support and negotiate on commercial terms. </t>
  </si>
  <si>
    <t xml:space="preserve">New consultancy agreement with GO. Amendments to template needed as he will be paid as a % of his revenue that he brings to the clinic. With Kurt to calculate the formula for payment to write into agreement. 26/02 initial draft and comments sent back to Andrea. 17/04 sent to GO for comments/signing. 21/05 GO returned with comments. Reviewed and saught instruction. </t>
  </si>
  <si>
    <t>Optimisely - Services Agreement</t>
  </si>
  <si>
    <t>Provided comments.  Tara to provide instructions.</t>
  </si>
  <si>
    <t>Contract sent to us - advised to complete the review form and amend any terms that don't meet our standard rules of engagement. Once completed, we can complete our review. 18/05 BP chased. I advised we had not received the request form. BP cannot complete request form. ROD advised to support and negotiate on commercial terms. ROD sent comments back to me to review.</t>
  </si>
  <si>
    <t>Cantelo - Consultancy Agreement</t>
  </si>
  <si>
    <t>Drafted documents.</t>
  </si>
  <si>
    <t>Efficio - SLA and T&amp;Cs</t>
  </si>
  <si>
    <t xml:space="preserve">Contract for Efficio services to review MGL and find efficiencies across finance/procurement. AN sent to CC on 09/06 to review. </t>
  </si>
  <si>
    <t xml:space="preserve">Contract for Efficio services to review MGL and find efficiencies across finance/procurement. AN sent to CC on 09/06 to review. Comments sent to AN 12-06. </t>
  </si>
  <si>
    <t>New consultancy agreement with GO. Amendments to template needed as he will be paid as a % of his revenue that he brings to the clinic. With Kurt to calculate the formula for payment to write into agreement. 26/02 initial draft and comments sent back to Andrea. 17/04 sent to GO for comments/signing. 21/05 GO returned with comments. Reviewed and saught instruction. Final instructions provided on 12/06 so comments sent back to GO's solicitors.</t>
  </si>
  <si>
    <t>EY - Statement of Work</t>
  </si>
  <si>
    <t>Hallmarq - CT Contract</t>
  </si>
  <si>
    <t>Contract for Efficio services to review MGL and find efficiencies across finance/procurement. AN sent to CC on 09/06 to review. Comments sent to AN 12-06. Comments sent to BB 20/06.</t>
  </si>
  <si>
    <t xml:space="preserve">Contract sent to us - advised to complete the review form and amend any terms that don't meet our standard rules of engagement. Once completed, we can complete our review. 18/05 BP chased. I advised we had not received the request form. BP cannot complete request form. ROD advised to support and negotiate on commercial terms. ROD sent comments back to me to review. Comments sent to otherside. </t>
  </si>
  <si>
    <t>Streetvet - Pro-bono Servuces Agreement</t>
  </si>
  <si>
    <t>Streetvet is a charity providing vet services to the animals of homeless people. This doucment is formalising an existing agreement.</t>
  </si>
  <si>
    <t xml:space="preserve">New consultancy agreement with GO. Amendments to template needed as he will be paid as a % of his revenue that he brings to the clinic. With Kurt to calculate the formula for payment to write into agreement. 26/02 initial draft and comments sent back to Andrea. 17/04 sent to GO for comments/signing. 21/05 GO returned with comments. Reviewed and saught instruction. Final instructions provided on 12/06 so comments sent back to GO's solicitors. 04/07 comments returned from solicitors. </t>
  </si>
  <si>
    <t>New consultancy agreement with GO. Amendments to template needed as he will be paid as a % of his revenue that he brings to the clinic. With Kurt to calculate the formula for payment to write into agreement. 26/02 initial draft and comments sent back to Andrea. 17/04 sent to GO for comments/signing. 21/05 GO returned with comments. Reviewed and saught instruction. Final instructions provided on 12/06 so comments sent back to GO's solicitors. 04/07 comments returned from solicitors. Awaiting instruction.</t>
  </si>
  <si>
    <t>Internal Signature</t>
  </si>
  <si>
    <t>Contract sent to us - advised to complete the review form and amend any terms that don't meet our standard rules of engagement. Once completed, we can complete our review. 18/05 BP chased. I advised we had not received the request form. BP cannot complete request form. ROD advised to support and negotiate on commercial terms. ROD sent comments back to me to review. Comments sent to otherside. Comments agreed and sent for internal signing.</t>
  </si>
  <si>
    <t>Animalcare - Rebate Agreement</t>
  </si>
  <si>
    <t>Lynda shared a folder with 6 contracts to review where the otherside amended our standard terms.</t>
  </si>
  <si>
    <t>Elanco UK AH Limited   - Rebate Agreement</t>
  </si>
  <si>
    <t>Lintbells - Rebate Agreement 4</t>
  </si>
  <si>
    <t>MSD - Supply Agreement</t>
  </si>
  <si>
    <t>Norbrook - Rebate Agreement</t>
  </si>
  <si>
    <t>Veolia - NDA</t>
  </si>
  <si>
    <t>Veolia made amendments to our standard NDA template. Dana asked for it to be reviewed and approved.</t>
  </si>
  <si>
    <t>Vetoquinol  - Rebate Agreement</t>
  </si>
  <si>
    <t>MSD - Test Contract</t>
  </si>
  <si>
    <t>Insert some comments here</t>
  </si>
  <si>
    <t>MSD Animal Health - Rebate Agreement New</t>
  </si>
  <si>
    <t>Contract to review.</t>
  </si>
  <si>
    <t>PPL PRS - Terms and Conditions</t>
  </si>
  <si>
    <t xml:space="preserve">New contract with PPL PRS to create one group contract that covers all clinics, and removes the historical licenses from acquisitions. </t>
  </si>
  <si>
    <t>Lynda shared a folder with 6 contracts to review where the otherside amended our standard terms. Comments sent back to Lynda.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</si>
</sst>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theme="1"/>
      <name val="Aptos Narrow"/>
      <family val="2"/>
      <scheme val="minor"/>
    </font>
    <font>
      <sz val="10"/>
      <name val="Aptos Narrow"/>
      <family val="2"/>
      <scheme val="minor"/>
    </font>
  </fonts>
  <fills count="2">
    <fill>
      <patternFill patternType="none"/>
    </fill>
    <fill>
      <patternFill patternType="gray125"/>
    </fill>
  </fills>
  <borders count="10">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2">
    <xf numFmtId="0" fontId="0" fillId="0" borderId="0" xfId="0"/>
    <xf numFmtId="0" fontId="1" fillId="0" borderId="1" xfId="0" applyFont="1" applyBorder="1" applyAlignment="1">
      <alignment wrapText="1"/>
    </xf>
    <xf numFmtId="0" fontId="1" fillId="0" borderId="2" xfId="0" applyFont="1" applyBorder="1" applyAlignment="1">
      <alignment wrapText="1"/>
    </xf>
    <xf numFmtId="0" fontId="1" fillId="0" borderId="3" xfId="0" applyFont="1" applyBorder="1" applyAlignment="1">
      <alignment wrapText="1"/>
    </xf>
    <xf numFmtId="0" fontId="1" fillId="0" borderId="4" xfId="0" applyFont="1" applyBorder="1"/>
    <xf numFmtId="14" fontId="1" fillId="0" borderId="5" xfId="0" applyNumberFormat="1" applyFont="1" applyBorder="1"/>
    <xf numFmtId="0" fontId="1" fillId="0" borderId="5" xfId="0" applyFont="1" applyBorder="1"/>
    <xf numFmtId="1" fontId="1" fillId="0" borderId="6" xfId="0" applyNumberFormat="1" applyFont="1" applyBorder="1"/>
    <xf numFmtId="0" fontId="1" fillId="0" borderId="7" xfId="0" applyFont="1" applyBorder="1"/>
    <xf numFmtId="14" fontId="1" fillId="0" borderId="8" xfId="0" applyNumberFormat="1" applyFont="1" applyBorder="1"/>
    <xf numFmtId="0" fontId="1" fillId="0" borderId="8" xfId="0" applyFont="1" applyBorder="1"/>
    <xf numFmtId="1" fontId="1" fillId="0" borderId="9" xfId="0" applyNumberFormat="1" applyFont="1" applyBorder="1"/>
  </cellXfs>
  <cellStyles count="1">
    <cellStyle name="Normal" xfId="0" builtinId="0"/>
  </cellStyles>
  <dxfs count="12">
    <dxf>
      <font>
        <strike val="0"/>
        <outline val="0"/>
        <shadow val="0"/>
        <u val="none"/>
        <vertAlign val="baseline"/>
        <sz val="10"/>
        <color auto="1"/>
        <name val="Aptos Narrow"/>
        <family val="2"/>
        <scheme val="minor"/>
      </font>
      <numFmt numFmtId="1" formatCode="0"/>
      <fill>
        <patternFill patternType="none">
          <fgColor indexed="64"/>
          <bgColor auto="1"/>
        </patternFill>
      </fill>
      <border diagonalUp="0" diagonalDown="0" outline="0">
        <left style="thin">
          <color indexed="64"/>
        </left>
        <right/>
        <top style="thin">
          <color indexed="64"/>
        </top>
        <bottom style="thin">
          <color indexed="64"/>
        </bottom>
      </border>
    </dxf>
    <dxf>
      <font>
        <strike val="0"/>
        <outline val="0"/>
        <shadow val="0"/>
        <u val="none"/>
        <vertAlign val="baseline"/>
        <sz val="10"/>
        <color auto="1"/>
        <name val="Aptos Narrow"/>
        <family val="2"/>
        <scheme val="minor"/>
      </font>
      <numFmt numFmtId="0" formatCode="General"/>
      <fill>
        <patternFill patternType="none">
          <fgColor indexed="64"/>
          <bgColor auto="1"/>
        </patternFill>
      </fill>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auto="1"/>
        <name val="Aptos Narrow"/>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Aptos Narrow"/>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Aptos Narrow"/>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Aptos Narrow"/>
        <family val="2"/>
        <scheme val="minor"/>
      </font>
      <numFmt numFmtId="19" formatCode="dd/mm/yyyy"/>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Aptos Narrow"/>
        <family val="2"/>
        <scheme val="minor"/>
      </font>
      <numFmt numFmtId="0" formatCode="General"/>
      <fill>
        <patternFill patternType="none">
          <fgColor indexed="64"/>
          <bgColor auto="1"/>
        </patternFill>
      </fill>
      <border diagonalUp="0" diagonalDown="0" outline="0">
        <left/>
        <right style="thin">
          <color indexed="64"/>
        </right>
        <top style="thin">
          <color indexed="64"/>
        </top>
        <bottom style="thin">
          <color indexed="64"/>
        </bottom>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auto="1"/>
        <name val="Aptos Narrow"/>
        <family val="2"/>
        <scheme val="minor"/>
      </font>
      <fill>
        <patternFill patternType="none">
          <fgColor indexed="64"/>
          <bgColor auto="1"/>
        </patternFill>
      </fill>
    </dxf>
    <dxf>
      <font>
        <strike val="0"/>
        <outline val="0"/>
        <shadow val="0"/>
        <u val="none"/>
        <vertAlign val="baseline"/>
        <sz val="10"/>
        <color auto="1"/>
        <name val="Aptos Narrow"/>
        <family val="2"/>
        <scheme val="minor"/>
      </font>
      <alignment horizontal="general" vertical="bottom"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0340F0-30FA-49A4-B490-CB268B51F15D}" name="Table3" displayName="Table3" ref="A1:G887" totalsRowShown="0" headerRowDxfId="11" dataDxfId="10" headerRowBorderDxfId="8" tableBorderDxfId="9" totalsRowBorderDxfId="7">
  <autoFilter ref="A1:G887" xr:uid="{2E0340F0-30FA-49A4-B490-CB268B51F15D}"/>
  <tableColumns count="7">
    <tableColumn id="1" xr3:uid="{4BD72F0A-FAE1-4572-8E4A-680CFA7904B2}" name="Ref" dataDxfId="6"/>
    <tableColumn id="2" xr3:uid="{80046584-16A8-4C85-AF14-53C65059CF27}" name="Date of Update" dataDxfId="5"/>
    <tableColumn id="3" xr3:uid="{0529CD5D-4944-42D0-9C64-738484C7E794}" name="Stage" dataDxfId="4"/>
    <tableColumn id="4" xr3:uid="{C70D4041-CBF1-4D5E-9DAD-50CCC8D81270}" name="Who With" dataDxfId="3"/>
    <tableColumn id="5" xr3:uid="{EEC25F1F-2D7D-4AD3-AC6B-781FC89F171B}" name="Comments" dataDxfId="2"/>
    <tableColumn id="14" xr3:uid="{67C69976-691E-4BE4-85F3-CD9F18E06334}" name="Days with" dataDxfId="1">
      <calculatedColumnFormula array="1">IF(Table3[[#This Row],[Stage]]="Closed",0,IF(IFERROR(
  IF(
    COUNTIF(A$2:A$1997, A2) &gt; 1,
    MIN(IF(A$2:A$1997=A2, IF(B$2:B$1997&gt;B2, B$2:B$1997))) - B2,
    TODAY() - Table3[[#This Row],[Date of Update]]
  ),
  TODAY()-Table3[[#This Row],[Date of Update]]
)&lt;=0,
TODAY()-Table3[[#This Row],[Date of Update]],
IFERROR(
  IF(
    COUNTIF(A$2:A$1997, A2) &gt; 1,
    MIN(IF(A$2:A$1997=A2, IF(B$2:B$1997&gt;B2, B$2:B$1997))) - B2,
    TODAY() - Table3[[#This Row],[Date of Update]]
  ),
  TODAY()-Table3[[#This Row],[Date of Update]]
)))</calculatedColumnFormula>
    </tableColumn>
    <tableColumn id="16" xr3:uid="{69A1C79F-89A9-4715-ABA0-B3AD8720C1D3}" name="Total Cycle Time" dataDxfId="0">
      <calculatedColumnFormula>IF(Table3[[#This Row],[Stage]]="Closed",Table3[[#This Row],[Date of Update]]-(_xlfn.MINIFS(Table3[Date of Update],Table3[Ref], Table3[[#This Row],[Ref]])),"")</calculatedColumnFormula>
    </tableColumn>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97F06-9BDD-408F-872F-0090A804190A}">
  <dimension ref="A1:G887"/>
  <sheetViews>
    <sheetView tabSelected="1" workbookViewId="0">
      <selection sqref="A1:G887"/>
    </sheetView>
  </sheetViews>
  <sheetFormatPr defaultRowHeight="13.5" x14ac:dyDescent="0.25"/>
  <sheetData>
    <row r="1" spans="1:7" ht="27" x14ac:dyDescent="0.25">
      <c r="A1" s="1" t="s">
        <v>0</v>
      </c>
      <c r="B1" s="2" t="s">
        <v>1</v>
      </c>
      <c r="C1" s="2" t="s">
        <v>2</v>
      </c>
      <c r="D1" s="2" t="s">
        <v>3</v>
      </c>
      <c r="E1" s="2" t="s">
        <v>4</v>
      </c>
      <c r="F1" s="2" t="s">
        <v>5</v>
      </c>
      <c r="G1" s="3" t="s">
        <v>6</v>
      </c>
    </row>
    <row r="2" spans="1:7" x14ac:dyDescent="0.25">
      <c r="A2" s="4" t="s">
        <v>7</v>
      </c>
      <c r="B2" s="5">
        <v>44616</v>
      </c>
      <c r="C2" s="6" t="s">
        <v>8</v>
      </c>
      <c r="D2" s="6" t="s">
        <v>9</v>
      </c>
      <c r="E2" s="6"/>
      <c r="F2" s="6" cm="1">
        <f t="array" aca="1" ref="F2" ca="1">IF(Table3[[#This Row],[Stage]]="Closed",0,IF(IFERROR(
  IF(
    COUNTIF(A$2:A$1997, A2) &gt; 1,
    MIN(IF(A$2:A$1997=A2, IF(B$2:B$1997&gt;B2, B$2:B$1997))) - B2,
    TODAY() - Table3[[#This Row],[Date of Update]]
  ),
  TODAY()-Table3[[#This Row],[Date of Update]]
)&lt;=0,
TODAY()-Table3[[#This Row],[Date of Update]],
IFERROR(
  IF(
    COUNTIF(A$2:A$1997, A2) &gt; 1,
    MIN(IF(A$2:A$1997=A2, IF(B$2:B$1997&gt;B2, B$2:B$1997))) - B2,
    TODAY() - Table3[[#This Row],[Date of Update]]
  ),
  TODAY()-Table3[[#This Row],[Date of Update]]
)))</f>
        <v>18</v>
      </c>
      <c r="G2" s="7" t="str">
        <f>IF(Table3[[#This Row],[Stage]]="Closed",Table3[[#This Row],[Date of Update]]-(_xlfn.MINIFS(Table3[Date of Update],Table3[Ref], Table3[[#This Row],[Ref]])),"")</f>
        <v/>
      </c>
    </row>
    <row r="3" spans="1:7" x14ac:dyDescent="0.25">
      <c r="A3" s="4" t="s">
        <v>10</v>
      </c>
      <c r="B3" s="5">
        <v>44616</v>
      </c>
      <c r="C3" s="6" t="s">
        <v>8</v>
      </c>
      <c r="D3" s="6" t="s">
        <v>9</v>
      </c>
      <c r="E3" s="6"/>
      <c r="F3" s="6" cm="1">
        <f t="array" aca="1" ref="F3" ca="1">IF(Table3[[#This Row],[Stage]]="Closed",0,IF(IFERROR(
  IF(
    COUNTIF(A$2:A$1997, A3) &gt; 1,
    MIN(IF(A$2:A$1997=A3, IF(B$2:B$1997&gt;B3, B$2:B$1997))) - B3,
    TODAY() - Table3[[#This Row],[Date of Update]]
  ),
  TODAY()-Table3[[#This Row],[Date of Update]]
)&lt;=0,
TODAY()-Table3[[#This Row],[Date of Update]],
IFERROR(
  IF(
    COUNTIF(A$2:A$1997, A3) &gt; 1,
    MIN(IF(A$2:A$1997=A3, IF(B$2:B$1997&gt;B3, B$2:B$1997))) - B3,
    TODAY() - Table3[[#This Row],[Date of Update]]
  ),
  TODAY()-Table3[[#This Row],[Date of Update]]
)))</f>
        <v>6</v>
      </c>
      <c r="G3" s="7" t="str">
        <f>IF(Table3[[#This Row],[Stage]]="Closed",Table3[[#This Row],[Date of Update]]-(_xlfn.MINIFS(Table3[Date of Update],Table3[Ref], Table3[[#This Row],[Ref]])),"")</f>
        <v/>
      </c>
    </row>
    <row r="4" spans="1:7" x14ac:dyDescent="0.25">
      <c r="A4" s="4" t="s">
        <v>11</v>
      </c>
      <c r="B4" s="5">
        <v>44617</v>
      </c>
      <c r="C4" s="6" t="s">
        <v>8</v>
      </c>
      <c r="D4" s="6" t="s">
        <v>9</v>
      </c>
      <c r="E4" s="6"/>
      <c r="F4" s="6" cm="1">
        <f t="array" aca="1" ref="F4" ca="1">IF(Table3[[#This Row],[Stage]]="Closed",0,IF(IFERROR(
  IF(
    COUNTIF(A$2:A$1997, A4) &gt; 1,
    MIN(IF(A$2:A$1997=A4, IF(B$2:B$1997&gt;B4, B$2:B$1997))) - B4,
    TODAY() - Table3[[#This Row],[Date of Update]]
  ),
  TODAY()-Table3[[#This Row],[Date of Update]]
)&lt;=0,
TODAY()-Table3[[#This Row],[Date of Update]],
IFERROR(
  IF(
    COUNTIF(A$2:A$1997, A4) &gt; 1,
    MIN(IF(A$2:A$1997=A4, IF(B$2:B$1997&gt;B4, B$2:B$1997))) - B4,
    TODAY() - Table3[[#This Row],[Date of Update]]
  ),
  TODAY()-Table3[[#This Row],[Date of Update]]
)))</f>
        <v>7</v>
      </c>
      <c r="G4" s="7" t="str">
        <f>IF(Table3[[#This Row],[Stage]]="Closed",Table3[[#This Row],[Date of Update]]-(_xlfn.MINIFS(Table3[Date of Update],Table3[Ref], Table3[[#This Row],[Ref]])),"")</f>
        <v/>
      </c>
    </row>
    <row r="5" spans="1:7" x14ac:dyDescent="0.25">
      <c r="A5" s="4" t="s">
        <v>12</v>
      </c>
      <c r="B5" s="5">
        <v>44617</v>
      </c>
      <c r="C5" s="6" t="s">
        <v>8</v>
      </c>
      <c r="D5" s="6" t="s">
        <v>9</v>
      </c>
      <c r="E5" s="6"/>
      <c r="F5" s="6" cm="1">
        <f t="array" aca="1" ref="F5" ca="1">IF(Table3[[#This Row],[Stage]]="Closed",0,IF(IFERROR(
  IF(
    COUNTIF(A$2:A$1997, A5) &gt; 1,
    MIN(IF(A$2:A$1997=A5, IF(B$2:B$1997&gt;B5, B$2:B$1997))) - B5,
    TODAY() - Table3[[#This Row],[Date of Update]]
  ),
  TODAY()-Table3[[#This Row],[Date of Update]]
)&lt;=0,
TODAY()-Table3[[#This Row],[Date of Update]],
IFERROR(
  IF(
    COUNTIF(A$2:A$1997, A5) &gt; 1,
    MIN(IF(A$2:A$1997=A5, IF(B$2:B$1997&gt;B5, B$2:B$1997))) - B5,
    TODAY() - Table3[[#This Row],[Date of Update]]
  ),
  TODAY()-Table3[[#This Row],[Date of Update]]
)))</f>
        <v>17</v>
      </c>
      <c r="G5" s="7" t="str">
        <f>IF(Table3[[#This Row],[Stage]]="Closed",Table3[[#This Row],[Date of Update]]-(_xlfn.MINIFS(Table3[Date of Update],Table3[Ref], Table3[[#This Row],[Ref]])),"")</f>
        <v/>
      </c>
    </row>
    <row r="6" spans="1:7" x14ac:dyDescent="0.25">
      <c r="A6" s="4" t="s">
        <v>13</v>
      </c>
      <c r="B6" s="5">
        <v>44617</v>
      </c>
      <c r="C6" s="6" t="s">
        <v>8</v>
      </c>
      <c r="D6" s="6" t="s">
        <v>9</v>
      </c>
      <c r="E6" s="6" t="s">
        <v>14</v>
      </c>
      <c r="F6" s="6" cm="1">
        <f t="array" aca="1" ref="F6" ca="1">IF(Table3[[#This Row],[Stage]]="Closed",0,IF(IFERROR(
  IF(
    COUNTIF(A$2:A$1997, A6) &gt; 1,
    MIN(IF(A$2:A$1997=A6, IF(B$2:B$1997&gt;B6, B$2:B$1997))) - B6,
    TODAY() - Table3[[#This Row],[Date of Update]]
  ),
  TODAY()-Table3[[#This Row],[Date of Update]]
)&lt;=0,
TODAY()-Table3[[#This Row],[Date of Update]],
IFERROR(
  IF(
    COUNTIF(A$2:A$1997, A6) &gt; 1,
    MIN(IF(A$2:A$1997=A6, IF(B$2:B$1997&gt;B6, B$2:B$1997))) - B6,
    TODAY() - Table3[[#This Row],[Date of Update]]
  ),
  TODAY()-Table3[[#This Row],[Date of Update]]
)))</f>
        <v>30</v>
      </c>
      <c r="G6" s="7" t="str">
        <f>IF(Table3[[#This Row],[Stage]]="Closed",Table3[[#This Row],[Date of Update]]-(_xlfn.MINIFS(Table3[Date of Update],Table3[Ref], Table3[[#This Row],[Ref]])),"")</f>
        <v/>
      </c>
    </row>
    <row r="7" spans="1:7" x14ac:dyDescent="0.25">
      <c r="A7" s="4" t="s">
        <v>15</v>
      </c>
      <c r="B7" s="5">
        <v>44620</v>
      </c>
      <c r="C7" s="6" t="s">
        <v>8</v>
      </c>
      <c r="D7" s="6" t="s">
        <v>9</v>
      </c>
      <c r="E7" s="6" t="s">
        <v>16</v>
      </c>
      <c r="F7" s="6" cm="1">
        <f t="array" aca="1" ref="F7" ca="1">IF(Table3[[#This Row],[Stage]]="Closed",0,IF(IFERROR(
  IF(
    COUNTIF(A$2:A$1997, A7) &gt; 1,
    MIN(IF(A$2:A$1997=A7, IF(B$2:B$1997&gt;B7, B$2:B$1997))) - B7,
    TODAY() - Table3[[#This Row],[Date of Update]]
  ),
  TODAY()-Table3[[#This Row],[Date of Update]]
)&lt;=0,
TODAY()-Table3[[#This Row],[Date of Update]],
IFERROR(
  IF(
    COUNTIF(A$2:A$1997, A7) &gt; 1,
    MIN(IF(A$2:A$1997=A7, IF(B$2:B$1997&gt;B7, B$2:B$1997))) - B7,
    TODAY() - Table3[[#This Row],[Date of Update]]
  ),
  TODAY()-Table3[[#This Row],[Date of Update]]
)))</f>
        <v>30</v>
      </c>
      <c r="G7" s="7" t="str">
        <f>IF(Table3[[#This Row],[Stage]]="Closed",Table3[[#This Row],[Date of Update]]-(_xlfn.MINIFS(Table3[Date of Update],Table3[Ref], Table3[[#This Row],[Ref]])),"")</f>
        <v/>
      </c>
    </row>
    <row r="8" spans="1:7" x14ac:dyDescent="0.25">
      <c r="A8" s="4" t="s">
        <v>10</v>
      </c>
      <c r="B8" s="5">
        <v>44622</v>
      </c>
      <c r="C8" s="6" t="s">
        <v>17</v>
      </c>
      <c r="D8" s="6" t="s">
        <v>9</v>
      </c>
      <c r="E8" s="6"/>
      <c r="F8" s="6" cm="1">
        <f t="array" aca="1" ref="F8" ca="1">IF(Table3[[#This Row],[Stage]]="Closed",0,IF(IFERROR(
  IF(
    COUNTIF(A$2:A$1997, A8) &gt; 1,
    MIN(IF(A$2:A$1997=A8, IF(B$2:B$1997&gt;B8, B$2:B$1997))) - B8,
    TODAY() - Table3[[#This Row],[Date of Update]]
  ),
  TODAY()-Table3[[#This Row],[Date of Update]]
)&lt;=0,
TODAY()-Table3[[#This Row],[Date of Update]],
IFERROR(
  IF(
    COUNTIF(A$2:A$1997, A8) &gt; 1,
    MIN(IF(A$2:A$1997=A8, IF(B$2:B$1997&gt;B8, B$2:B$1997))) - B8,
    TODAY() - Table3[[#This Row],[Date of Update]]
  ),
  TODAY()-Table3[[#This Row],[Date of Update]]
)))</f>
        <v>0</v>
      </c>
      <c r="G8" s="7">
        <f>IF(Table3[[#This Row],[Stage]]="Closed",Table3[[#This Row],[Date of Update]]-(_xlfn.MINIFS(Table3[Date of Update],Table3[Ref], Table3[[#This Row],[Ref]])),"")</f>
        <v>6</v>
      </c>
    </row>
    <row r="9" spans="1:7" x14ac:dyDescent="0.25">
      <c r="A9" s="4" t="s">
        <v>11</v>
      </c>
      <c r="B9" s="5">
        <v>44624</v>
      </c>
      <c r="C9" s="6" t="s">
        <v>17</v>
      </c>
      <c r="D9" s="6" t="s">
        <v>9</v>
      </c>
      <c r="E9" s="6"/>
      <c r="F9" s="6" cm="1">
        <f t="array" aca="1" ref="F9" ca="1">IF(Table3[[#This Row],[Stage]]="Closed",0,IF(IFERROR(
  IF(
    COUNTIF(A$2:A$1997, A9) &gt; 1,
    MIN(IF(A$2:A$1997=A9, IF(B$2:B$1997&gt;B9, B$2:B$1997))) - B9,
    TODAY() - Table3[[#This Row],[Date of Update]]
  ),
  TODAY()-Table3[[#This Row],[Date of Update]]
)&lt;=0,
TODAY()-Table3[[#This Row],[Date of Update]],
IFERROR(
  IF(
    COUNTIF(A$2:A$1997, A9) &gt; 1,
    MIN(IF(A$2:A$1997=A9, IF(B$2:B$1997&gt;B9, B$2:B$1997))) - B9,
    TODAY() - Table3[[#This Row],[Date of Update]]
  ),
  TODAY()-Table3[[#This Row],[Date of Update]]
)))</f>
        <v>0</v>
      </c>
      <c r="G9" s="7">
        <f>IF(Table3[[#This Row],[Stage]]="Closed",Table3[[#This Row],[Date of Update]]-(_xlfn.MINIFS(Table3[Date of Update],Table3[Ref], Table3[[#This Row],[Ref]])),"")</f>
        <v>7</v>
      </c>
    </row>
    <row r="10" spans="1:7" x14ac:dyDescent="0.25">
      <c r="A10" s="4" t="s">
        <v>18</v>
      </c>
      <c r="B10" s="5">
        <v>44627</v>
      </c>
      <c r="C10" s="6" t="s">
        <v>8</v>
      </c>
      <c r="D10" s="6" t="s">
        <v>9</v>
      </c>
      <c r="E10" s="6"/>
      <c r="F10" s="6" cm="1">
        <f t="array" aca="1" ref="F10" ca="1">IF(Table3[[#This Row],[Stage]]="Closed",0,IF(IFERROR(
  IF(
    COUNTIF(A$2:A$1997, A10) &gt; 1,
    MIN(IF(A$2:A$1997=A10, IF(B$2:B$1997&gt;B10, B$2:B$1997))) - B10,
    TODAY() - Table3[[#This Row],[Date of Update]]
  ),
  TODAY()-Table3[[#This Row],[Date of Update]]
)&lt;=0,
TODAY()-Table3[[#This Row],[Date of Update]],
IFERROR(
  IF(
    COUNTIF(A$2:A$1997, A10) &gt; 1,
    MIN(IF(A$2:A$1997=A10, IF(B$2:B$1997&gt;B10, B$2:B$1997))) - B10,
    TODAY() - Table3[[#This Row],[Date of Update]]
  ),
  TODAY()-Table3[[#This Row],[Date of Update]]
)))</f>
        <v>4</v>
      </c>
      <c r="G10" s="7" t="str">
        <f>IF(Table3[[#This Row],[Stage]]="Closed",Table3[[#This Row],[Date of Update]]-(_xlfn.MINIFS(Table3[Date of Update],Table3[Ref], Table3[[#This Row],[Ref]])),"")</f>
        <v/>
      </c>
    </row>
    <row r="11" spans="1:7" x14ac:dyDescent="0.25">
      <c r="A11" s="4" t="s">
        <v>19</v>
      </c>
      <c r="B11" s="5">
        <v>44629</v>
      </c>
      <c r="C11" s="6" t="s">
        <v>8</v>
      </c>
      <c r="D11" s="6" t="s">
        <v>9</v>
      </c>
      <c r="E11" s="6"/>
      <c r="F11" s="6" cm="1">
        <f t="array" aca="1" ref="F11" ca="1">IF(Table3[[#This Row],[Stage]]="Closed",0,IF(IFERROR(
  IF(
    COUNTIF(A$2:A$1997, A11) &gt; 1,
    MIN(IF(A$2:A$1997=A11, IF(B$2:B$1997&gt;B11, B$2:B$1997))) - B11,
    TODAY() - Table3[[#This Row],[Date of Update]]
  ),
  TODAY()-Table3[[#This Row],[Date of Update]]
)&lt;=0,
TODAY()-Table3[[#This Row],[Date of Update]],
IFERROR(
  IF(
    COUNTIF(A$2:A$1997, A11) &gt; 1,
    MIN(IF(A$2:A$1997=A11, IF(B$2:B$1997&gt;B11, B$2:B$1997))) - B11,
    TODAY() - Table3[[#This Row],[Date of Update]]
  ),
  TODAY()-Table3[[#This Row],[Date of Update]]
)))</f>
        <v>12</v>
      </c>
      <c r="G11" s="7" t="str">
        <f>IF(Table3[[#This Row],[Stage]]="Closed",Table3[[#This Row],[Date of Update]]-(_xlfn.MINIFS(Table3[Date of Update],Table3[Ref], Table3[[#This Row],[Ref]])),"")</f>
        <v/>
      </c>
    </row>
    <row r="12" spans="1:7" x14ac:dyDescent="0.25">
      <c r="A12" s="4" t="s">
        <v>20</v>
      </c>
      <c r="B12" s="5">
        <v>44630</v>
      </c>
      <c r="C12" s="6" t="s">
        <v>8</v>
      </c>
      <c r="D12" s="6" t="s">
        <v>9</v>
      </c>
      <c r="E12" s="6" t="s">
        <v>21</v>
      </c>
      <c r="F12" s="6" cm="1">
        <f t="array" aca="1" ref="F12" ca="1">IF(Table3[[#This Row],[Stage]]="Closed",0,IF(IFERROR(
  IF(
    COUNTIF(A$2:A$1997, A12) &gt; 1,
    MIN(IF(A$2:A$1997=A12, IF(B$2:B$1997&gt;B12, B$2:B$1997))) - B12,
    TODAY() - Table3[[#This Row],[Date of Update]]
  ),
  TODAY()-Table3[[#This Row],[Date of Update]]
)&lt;=0,
TODAY()-Table3[[#This Row],[Date of Update]],
IFERROR(
  IF(
    COUNTIF(A$2:A$1997, A12) &gt; 1,
    MIN(IF(A$2:A$1997=A12, IF(B$2:B$1997&gt;B12, B$2:B$1997))) - B12,
    TODAY() - Table3[[#This Row],[Date of Update]]
  ),
  TODAY()-Table3[[#This Row],[Date of Update]]
)))</f>
        <v>31</v>
      </c>
      <c r="G12" s="7" t="str">
        <f>IF(Table3[[#This Row],[Stage]]="Closed",Table3[[#This Row],[Date of Update]]-(_xlfn.MINIFS(Table3[Date of Update],Table3[Ref], Table3[[#This Row],[Ref]])),"")</f>
        <v/>
      </c>
    </row>
    <row r="13" spans="1:7" x14ac:dyDescent="0.25">
      <c r="A13" s="4" t="s">
        <v>22</v>
      </c>
      <c r="B13" s="5">
        <v>44630</v>
      </c>
      <c r="C13" s="6" t="s">
        <v>8</v>
      </c>
      <c r="D13" s="6" t="s">
        <v>9</v>
      </c>
      <c r="E13" s="6"/>
      <c r="F13" s="6" cm="1">
        <f t="array" aca="1" ref="F13" ca="1">IF(Table3[[#This Row],[Stage]]="Closed",0,IF(IFERROR(
  IF(
    COUNTIF(A$2:A$1997, A13) &gt; 1,
    MIN(IF(A$2:A$1997=A13, IF(B$2:B$1997&gt;B13, B$2:B$1997))) - B13,
    TODAY() - Table3[[#This Row],[Date of Update]]
  ),
  TODAY()-Table3[[#This Row],[Date of Update]]
)&lt;=0,
TODAY()-Table3[[#This Row],[Date of Update]],
IFERROR(
  IF(
    COUNTIF(A$2:A$1997, A13) &gt; 1,
    MIN(IF(A$2:A$1997=A13, IF(B$2:B$1997&gt;B13, B$2:B$1997))) - B13,
    TODAY() - Table3[[#This Row],[Date of Update]]
  ),
  TODAY()-Table3[[#This Row],[Date of Update]]
)))</f>
        <v>27</v>
      </c>
      <c r="G13" s="7" t="str">
        <f>IF(Table3[[#This Row],[Stage]]="Closed",Table3[[#This Row],[Date of Update]]-(_xlfn.MINIFS(Table3[Date of Update],Table3[Ref], Table3[[#This Row],[Ref]])),"")</f>
        <v/>
      </c>
    </row>
    <row r="14" spans="1:7" x14ac:dyDescent="0.25">
      <c r="A14" s="4" t="s">
        <v>23</v>
      </c>
      <c r="B14" s="5">
        <v>44631</v>
      </c>
      <c r="C14" s="6" t="s">
        <v>8</v>
      </c>
      <c r="D14" s="6" t="s">
        <v>9</v>
      </c>
      <c r="E14" s="6" t="s">
        <v>21</v>
      </c>
      <c r="F14" s="6" cm="1">
        <f t="array" aca="1" ref="F14" ca="1">IF(Table3[[#This Row],[Stage]]="Closed",0,IF(IFERROR(
  IF(
    COUNTIF(A$2:A$1997, A14) &gt; 1,
    MIN(IF(A$2:A$1997=A14, IF(B$2:B$1997&gt;B14, B$2:B$1997))) - B14,
    TODAY() - Table3[[#This Row],[Date of Update]]
  ),
  TODAY()-Table3[[#This Row],[Date of Update]]
)&lt;=0,
TODAY()-Table3[[#This Row],[Date of Update]],
IFERROR(
  IF(
    COUNTIF(A$2:A$1997, A14) &gt; 1,
    MIN(IF(A$2:A$1997=A14, IF(B$2:B$1997&gt;B14, B$2:B$1997))) - B14,
    TODAY() - Table3[[#This Row],[Date of Update]]
  ),
  TODAY()-Table3[[#This Row],[Date of Update]]
)))</f>
        <v>1335</v>
      </c>
      <c r="G14" s="7" t="str">
        <f>IF(Table3[[#This Row],[Stage]]="Closed",Table3[[#This Row],[Date of Update]]-(_xlfn.MINIFS(Table3[Date of Update],Table3[Ref], Table3[[#This Row],[Ref]])),"")</f>
        <v/>
      </c>
    </row>
    <row r="15" spans="1:7" x14ac:dyDescent="0.25">
      <c r="A15" s="4" t="s">
        <v>23</v>
      </c>
      <c r="B15" s="5">
        <v>44631</v>
      </c>
      <c r="C15" s="6" t="s">
        <v>17</v>
      </c>
      <c r="D15" s="6" t="s">
        <v>9</v>
      </c>
      <c r="E15" s="6" t="s">
        <v>21</v>
      </c>
      <c r="F15" s="6" cm="1">
        <f t="array" aca="1" ref="F15" ca="1">IF(Table3[[#This Row],[Stage]]="Closed",0,IF(IFERROR(
  IF(
    COUNTIF(A$2:A$1997, A15) &gt; 1,
    MIN(IF(A$2:A$1997=A15, IF(B$2:B$1997&gt;B15, B$2:B$1997))) - B15,
    TODAY() - Table3[[#This Row],[Date of Update]]
  ),
  TODAY()-Table3[[#This Row],[Date of Update]]
)&lt;=0,
TODAY()-Table3[[#This Row],[Date of Update]],
IFERROR(
  IF(
    COUNTIF(A$2:A$1997, A15) &gt; 1,
    MIN(IF(A$2:A$1997=A15, IF(B$2:B$1997&gt;B15, B$2:B$1997))) - B15,
    TODAY() - Table3[[#This Row],[Date of Update]]
  ),
  TODAY()-Table3[[#This Row],[Date of Update]]
)))</f>
        <v>0</v>
      </c>
      <c r="G15" s="7">
        <f>IF(Table3[[#This Row],[Stage]]="Closed",Table3[[#This Row],[Date of Update]]-(_xlfn.MINIFS(Table3[Date of Update],Table3[Ref], Table3[[#This Row],[Ref]])),"")</f>
        <v>0</v>
      </c>
    </row>
    <row r="16" spans="1:7" x14ac:dyDescent="0.25">
      <c r="A16" s="4" t="s">
        <v>24</v>
      </c>
      <c r="B16" s="5">
        <v>44631</v>
      </c>
      <c r="C16" s="6" t="s">
        <v>8</v>
      </c>
      <c r="D16" s="6" t="s">
        <v>9</v>
      </c>
      <c r="E16" s="6" t="s">
        <v>21</v>
      </c>
      <c r="F16" s="6" cm="1">
        <f t="array" aca="1" ref="F16" ca="1">IF(Table3[[#This Row],[Stage]]="Closed",0,IF(IFERROR(
  IF(
    COUNTIF(A$2:A$1997, A16) &gt; 1,
    MIN(IF(A$2:A$1997=A16, IF(B$2:B$1997&gt;B16, B$2:B$1997))) - B16,
    TODAY() - Table3[[#This Row],[Date of Update]]
  ),
  TODAY()-Table3[[#This Row],[Date of Update]]
)&lt;=0,
TODAY()-Table3[[#This Row],[Date of Update]],
IFERROR(
  IF(
    COUNTIF(A$2:A$1997, A16) &gt; 1,
    MIN(IF(A$2:A$1997=A16, IF(B$2:B$1997&gt;B16, B$2:B$1997))) - B16,
    TODAY() - Table3[[#This Row],[Date of Update]]
  ),
  TODAY()-Table3[[#This Row],[Date of Update]]
)))</f>
        <v>30</v>
      </c>
      <c r="G16" s="7" t="str">
        <f>IF(Table3[[#This Row],[Stage]]="Closed",Table3[[#This Row],[Date of Update]]-(_xlfn.MINIFS(Table3[Date of Update],Table3[Ref], Table3[[#This Row],[Ref]])),"")</f>
        <v/>
      </c>
    </row>
    <row r="17" spans="1:7" x14ac:dyDescent="0.25">
      <c r="A17" s="4" t="s">
        <v>25</v>
      </c>
      <c r="B17" s="5">
        <v>44631</v>
      </c>
      <c r="C17" s="6" t="s">
        <v>8</v>
      </c>
      <c r="D17" s="6" t="s">
        <v>9</v>
      </c>
      <c r="E17" s="6"/>
      <c r="F17" s="6" cm="1">
        <f t="array" aca="1" ref="F17" ca="1">IF(Table3[[#This Row],[Stage]]="Closed",0,IF(IFERROR(
  IF(
    COUNTIF(A$2:A$1997, A17) &gt; 1,
    MIN(IF(A$2:A$1997=A17, IF(B$2:B$1997&gt;B17, B$2:B$1997))) - B17,
    TODAY() - Table3[[#This Row],[Date of Update]]
  ),
  TODAY()-Table3[[#This Row],[Date of Update]]
)&lt;=0,
TODAY()-Table3[[#This Row],[Date of Update]],
IFERROR(
  IF(
    COUNTIF(A$2:A$1997, A17) &gt; 1,
    MIN(IF(A$2:A$1997=A17, IF(B$2:B$1997&gt;B17, B$2:B$1997))) - B17,
    TODAY() - Table3[[#This Row],[Date of Update]]
  ),
  TODAY()-Table3[[#This Row],[Date of Update]]
)))</f>
        <v>10</v>
      </c>
      <c r="G17" s="7" t="str">
        <f>IF(Table3[[#This Row],[Stage]]="Closed",Table3[[#This Row],[Date of Update]]-(_xlfn.MINIFS(Table3[Date of Update],Table3[Ref], Table3[[#This Row],[Ref]])),"")</f>
        <v/>
      </c>
    </row>
    <row r="18" spans="1:7" x14ac:dyDescent="0.25">
      <c r="A18" s="4" t="s">
        <v>18</v>
      </c>
      <c r="B18" s="5">
        <v>44631</v>
      </c>
      <c r="C18" s="6" t="s">
        <v>17</v>
      </c>
      <c r="D18" s="6" t="s">
        <v>9</v>
      </c>
      <c r="E18" s="6"/>
      <c r="F18" s="6" cm="1">
        <f t="array" aca="1" ref="F18" ca="1">IF(Table3[[#This Row],[Stage]]="Closed",0,IF(IFERROR(
  IF(
    COUNTIF(A$2:A$1997, A18) &gt; 1,
    MIN(IF(A$2:A$1997=A18, IF(B$2:B$1997&gt;B18, B$2:B$1997))) - B18,
    TODAY() - Table3[[#This Row],[Date of Update]]
  ),
  TODAY()-Table3[[#This Row],[Date of Update]]
)&lt;=0,
TODAY()-Table3[[#This Row],[Date of Update]],
IFERROR(
  IF(
    COUNTIF(A$2:A$1997, A18) &gt; 1,
    MIN(IF(A$2:A$1997=A18, IF(B$2:B$1997&gt;B18, B$2:B$1997))) - B18,
    TODAY() - Table3[[#This Row],[Date of Update]]
  ),
  TODAY()-Table3[[#This Row],[Date of Update]]
)))</f>
        <v>0</v>
      </c>
      <c r="G18" s="7">
        <f>IF(Table3[[#This Row],[Stage]]="Closed",Table3[[#This Row],[Date of Update]]-(_xlfn.MINIFS(Table3[Date of Update],Table3[Ref], Table3[[#This Row],[Ref]])),"")</f>
        <v>4</v>
      </c>
    </row>
    <row r="19" spans="1:7" x14ac:dyDescent="0.25">
      <c r="A19" s="4" t="s">
        <v>26</v>
      </c>
      <c r="B19" s="5">
        <v>44631</v>
      </c>
      <c r="C19" s="6" t="s">
        <v>8</v>
      </c>
      <c r="D19" s="6" t="s">
        <v>9</v>
      </c>
      <c r="E19" s="6"/>
      <c r="F19" s="6" cm="1">
        <f t="array" aca="1" ref="F19" ca="1">IF(Table3[[#This Row],[Stage]]="Closed",0,IF(IFERROR(
  IF(
    COUNTIF(A$2:A$1997, A19) &gt; 1,
    MIN(IF(A$2:A$1997=A19, IF(B$2:B$1997&gt;B19, B$2:B$1997))) - B19,
    TODAY() - Table3[[#This Row],[Date of Update]]
  ),
  TODAY()-Table3[[#This Row],[Date of Update]]
)&lt;=0,
TODAY()-Table3[[#This Row],[Date of Update]],
IFERROR(
  IF(
    COUNTIF(A$2:A$1997, A19) &gt; 1,
    MIN(IF(A$2:A$1997=A19, IF(B$2:B$1997&gt;B19, B$2:B$1997))) - B19,
    TODAY() - Table3[[#This Row],[Date of Update]]
  ),
  TODAY()-Table3[[#This Row],[Date of Update]]
)))</f>
        <v>52</v>
      </c>
      <c r="G19" s="7" t="str">
        <f>IF(Table3[[#This Row],[Stage]]="Closed",Table3[[#This Row],[Date of Update]]-(_xlfn.MINIFS(Table3[Date of Update],Table3[Ref], Table3[[#This Row],[Ref]])),"")</f>
        <v/>
      </c>
    </row>
    <row r="20" spans="1:7" x14ac:dyDescent="0.25">
      <c r="A20" s="4" t="s">
        <v>12</v>
      </c>
      <c r="B20" s="5">
        <v>44634</v>
      </c>
      <c r="C20" s="6" t="s">
        <v>17</v>
      </c>
      <c r="D20" s="6" t="s">
        <v>9</v>
      </c>
      <c r="E20" s="6"/>
      <c r="F20" s="6" cm="1">
        <f t="array" aca="1" ref="F20" ca="1">IF(Table3[[#This Row],[Stage]]="Closed",0,IF(IFERROR(
  IF(
    COUNTIF(A$2:A$1997, A20) &gt; 1,
    MIN(IF(A$2:A$1997=A20, IF(B$2:B$1997&gt;B20, B$2:B$1997))) - B20,
    TODAY() - Table3[[#This Row],[Date of Update]]
  ),
  TODAY()-Table3[[#This Row],[Date of Update]]
)&lt;=0,
TODAY()-Table3[[#This Row],[Date of Update]],
IFERROR(
  IF(
    COUNTIF(A$2:A$1997, A20) &gt; 1,
    MIN(IF(A$2:A$1997=A20, IF(B$2:B$1997&gt;B20, B$2:B$1997))) - B20,
    TODAY() - Table3[[#This Row],[Date of Update]]
  ),
  TODAY()-Table3[[#This Row],[Date of Update]]
)))</f>
        <v>0</v>
      </c>
      <c r="G20" s="7">
        <f>IF(Table3[[#This Row],[Stage]]="Closed",Table3[[#This Row],[Date of Update]]-(_xlfn.MINIFS(Table3[Date of Update],Table3[Ref], Table3[[#This Row],[Ref]])),"")</f>
        <v>17</v>
      </c>
    </row>
    <row r="21" spans="1:7" x14ac:dyDescent="0.25">
      <c r="A21" s="4" t="s">
        <v>7</v>
      </c>
      <c r="B21" s="5">
        <v>44634</v>
      </c>
      <c r="C21" s="6" t="s">
        <v>17</v>
      </c>
      <c r="D21" s="6" t="s">
        <v>9</v>
      </c>
      <c r="E21" s="6"/>
      <c r="F21" s="6" cm="1">
        <f t="array" aca="1" ref="F21" ca="1">IF(Table3[[#This Row],[Stage]]="Closed",0,IF(IFERROR(
  IF(
    COUNTIF(A$2:A$1997, A21) &gt; 1,
    MIN(IF(A$2:A$1997=A21, IF(B$2:B$1997&gt;B21, B$2:B$1997))) - B21,
    TODAY() - Table3[[#This Row],[Date of Update]]
  ),
  TODAY()-Table3[[#This Row],[Date of Update]]
)&lt;=0,
TODAY()-Table3[[#This Row],[Date of Update]],
IFERROR(
  IF(
    COUNTIF(A$2:A$1997, A21) &gt; 1,
    MIN(IF(A$2:A$1997=A21, IF(B$2:B$1997&gt;B21, B$2:B$1997))) - B21,
    TODAY() - Table3[[#This Row],[Date of Update]]
  ),
  TODAY()-Table3[[#This Row],[Date of Update]]
)))</f>
        <v>0</v>
      </c>
      <c r="G21" s="7">
        <f>IF(Table3[[#This Row],[Stage]]="Closed",Table3[[#This Row],[Date of Update]]-(_xlfn.MINIFS(Table3[Date of Update],Table3[Ref], Table3[[#This Row],[Ref]])),"")</f>
        <v>18</v>
      </c>
    </row>
    <row r="22" spans="1:7" x14ac:dyDescent="0.25">
      <c r="A22" s="4" t="s">
        <v>27</v>
      </c>
      <c r="B22" s="5">
        <v>44636</v>
      </c>
      <c r="C22" s="6" t="s">
        <v>8</v>
      </c>
      <c r="D22" s="6" t="s">
        <v>9</v>
      </c>
      <c r="E22" s="6" t="s">
        <v>16</v>
      </c>
      <c r="F22" s="6" cm="1">
        <f t="array" aca="1" ref="F22" ca="1">IF(Table3[[#This Row],[Stage]]="Closed",0,IF(IFERROR(
  IF(
    COUNTIF(A$2:A$1997, A22) &gt; 1,
    MIN(IF(A$2:A$1997=A22, IF(B$2:B$1997&gt;B22, B$2:B$1997))) - B22,
    TODAY() - Table3[[#This Row],[Date of Update]]
  ),
  TODAY()-Table3[[#This Row],[Date of Update]]
)&lt;=0,
TODAY()-Table3[[#This Row],[Date of Update]],
IFERROR(
  IF(
    COUNTIF(A$2:A$1997, A22) &gt; 1,
    MIN(IF(A$2:A$1997=A22, IF(B$2:B$1997&gt;B22, B$2:B$1997))) - B22,
    TODAY() - Table3[[#This Row],[Date of Update]]
  ),
  TODAY()-Table3[[#This Row],[Date of Update]]
)))</f>
        <v>30</v>
      </c>
      <c r="G22" s="7" t="str">
        <f>IF(Table3[[#This Row],[Stage]]="Closed",Table3[[#This Row],[Date of Update]]-(_xlfn.MINIFS(Table3[Date of Update],Table3[Ref], Table3[[#This Row],[Ref]])),"")</f>
        <v/>
      </c>
    </row>
    <row r="23" spans="1:7" x14ac:dyDescent="0.25">
      <c r="A23" s="4" t="s">
        <v>28</v>
      </c>
      <c r="B23" s="5">
        <v>44637</v>
      </c>
      <c r="C23" s="6" t="s">
        <v>8</v>
      </c>
      <c r="D23" s="6" t="s">
        <v>9</v>
      </c>
      <c r="E23" s="6"/>
      <c r="F23" s="6" cm="1">
        <f t="array" aca="1" ref="F23" ca="1">IF(Table3[[#This Row],[Stage]]="Closed",0,IF(IFERROR(
  IF(
    COUNTIF(A$2:A$1997, A23) &gt; 1,
    MIN(IF(A$2:A$1997=A23, IF(B$2:B$1997&gt;B23, B$2:B$1997))) - B23,
    TODAY() - Table3[[#This Row],[Date of Update]]
  ),
  TODAY()-Table3[[#This Row],[Date of Update]]
)&lt;=0,
TODAY()-Table3[[#This Row],[Date of Update]],
IFERROR(
  IF(
    COUNTIF(A$2:A$1997, A23) &gt; 1,
    MIN(IF(A$2:A$1997=A23, IF(B$2:B$1997&gt;B23, B$2:B$1997))) - B23,
    TODAY() - Table3[[#This Row],[Date of Update]]
  ),
  TODAY()-Table3[[#This Row],[Date of Update]]
)))</f>
        <v>47</v>
      </c>
      <c r="G23" s="7" t="str">
        <f>IF(Table3[[#This Row],[Stage]]="Closed",Table3[[#This Row],[Date of Update]]-(_xlfn.MINIFS(Table3[Date of Update],Table3[Ref], Table3[[#This Row],[Ref]])),"")</f>
        <v/>
      </c>
    </row>
    <row r="24" spans="1:7" x14ac:dyDescent="0.25">
      <c r="A24" s="4" t="s">
        <v>29</v>
      </c>
      <c r="B24" s="5">
        <v>44638</v>
      </c>
      <c r="C24" s="6" t="s">
        <v>8</v>
      </c>
      <c r="D24" s="6" t="s">
        <v>9</v>
      </c>
      <c r="E24" s="6"/>
      <c r="F24" s="6" cm="1">
        <f t="array" aca="1" ref="F24" ca="1">IF(Table3[[#This Row],[Stage]]="Closed",0,IF(IFERROR(
  IF(
    COUNTIF(A$2:A$1997, A24) &gt; 1,
    MIN(IF(A$2:A$1997=A24, IF(B$2:B$1997&gt;B24, B$2:B$1997))) - B24,
    TODAY() - Table3[[#This Row],[Date of Update]]
  ),
  TODAY()-Table3[[#This Row],[Date of Update]]
)&lt;=0,
TODAY()-Table3[[#This Row],[Date of Update]],
IFERROR(
  IF(
    COUNTIF(A$2:A$1997, A24) &gt; 1,
    MIN(IF(A$2:A$1997=A24, IF(B$2:B$1997&gt;B24, B$2:B$1997))) - B24,
    TODAY() - Table3[[#This Row],[Date of Update]]
  ),
  TODAY()-Table3[[#This Row],[Date of Update]]
)))</f>
        <v>56</v>
      </c>
      <c r="G24" s="7" t="str">
        <f>IF(Table3[[#This Row],[Stage]]="Closed",Table3[[#This Row],[Date of Update]]-(_xlfn.MINIFS(Table3[Date of Update],Table3[Ref], Table3[[#This Row],[Ref]])),"")</f>
        <v/>
      </c>
    </row>
    <row r="25" spans="1:7" x14ac:dyDescent="0.25">
      <c r="A25" s="4" t="s">
        <v>30</v>
      </c>
      <c r="B25" s="5">
        <v>44641</v>
      </c>
      <c r="C25" s="6" t="s">
        <v>8</v>
      </c>
      <c r="D25" s="6" t="s">
        <v>9</v>
      </c>
      <c r="E25" s="6"/>
      <c r="F25" s="6" cm="1">
        <f t="array" aca="1" ref="F25" ca="1">IF(Table3[[#This Row],[Stage]]="Closed",0,IF(IFERROR(
  IF(
    COUNTIF(A$2:A$1997, A25) &gt; 1,
    MIN(IF(A$2:A$1997=A25, IF(B$2:B$1997&gt;B25, B$2:B$1997))) - B25,
    TODAY() - Table3[[#This Row],[Date of Update]]
  ),
  TODAY()-Table3[[#This Row],[Date of Update]]
)&lt;=0,
TODAY()-Table3[[#This Row],[Date of Update]],
IFERROR(
  IF(
    COUNTIF(A$2:A$1997, A25) &gt; 1,
    MIN(IF(A$2:A$1997=A25, IF(B$2:B$1997&gt;B25, B$2:B$1997))) - B25,
    TODAY() - Table3[[#This Row],[Date of Update]]
  ),
  TODAY()-Table3[[#This Row],[Date of Update]]
)))</f>
        <v>67</v>
      </c>
      <c r="G25" s="7" t="str">
        <f>IF(Table3[[#This Row],[Stage]]="Closed",Table3[[#This Row],[Date of Update]]-(_xlfn.MINIFS(Table3[Date of Update],Table3[Ref], Table3[[#This Row],[Ref]])),"")</f>
        <v/>
      </c>
    </row>
    <row r="26" spans="1:7" x14ac:dyDescent="0.25">
      <c r="A26" s="4" t="s">
        <v>25</v>
      </c>
      <c r="B26" s="5">
        <v>44641</v>
      </c>
      <c r="C26" s="6" t="s">
        <v>17</v>
      </c>
      <c r="D26" s="6" t="s">
        <v>9</v>
      </c>
      <c r="E26" s="6"/>
      <c r="F26" s="6" cm="1">
        <f t="array" aca="1" ref="F26" ca="1">IF(Table3[[#This Row],[Stage]]="Closed",0,IF(IFERROR(
  IF(
    COUNTIF(A$2:A$1997, A26) &gt; 1,
    MIN(IF(A$2:A$1997=A26, IF(B$2:B$1997&gt;B26, B$2:B$1997))) - B26,
    TODAY() - Table3[[#This Row],[Date of Update]]
  ),
  TODAY()-Table3[[#This Row],[Date of Update]]
)&lt;=0,
TODAY()-Table3[[#This Row],[Date of Update]],
IFERROR(
  IF(
    COUNTIF(A$2:A$1997, A26) &gt; 1,
    MIN(IF(A$2:A$1997=A26, IF(B$2:B$1997&gt;B26, B$2:B$1997))) - B26,
    TODAY() - Table3[[#This Row],[Date of Update]]
  ),
  TODAY()-Table3[[#This Row],[Date of Update]]
)))</f>
        <v>0</v>
      </c>
      <c r="G26" s="7">
        <f>IF(Table3[[#This Row],[Stage]]="Closed",Table3[[#This Row],[Date of Update]]-(_xlfn.MINIFS(Table3[Date of Update],Table3[Ref], Table3[[#This Row],[Ref]])),"")</f>
        <v>10</v>
      </c>
    </row>
    <row r="27" spans="1:7" x14ac:dyDescent="0.25">
      <c r="A27" s="4" t="s">
        <v>19</v>
      </c>
      <c r="B27" s="5">
        <v>44641</v>
      </c>
      <c r="C27" s="6" t="s">
        <v>17</v>
      </c>
      <c r="D27" s="6" t="s">
        <v>9</v>
      </c>
      <c r="E27" s="6"/>
      <c r="F27" s="6" cm="1">
        <f t="array" aca="1" ref="F27" ca="1">IF(Table3[[#This Row],[Stage]]="Closed",0,IF(IFERROR(
  IF(
    COUNTIF(A$2:A$1997, A27) &gt; 1,
    MIN(IF(A$2:A$1997=A27, IF(B$2:B$1997&gt;B27, B$2:B$1997))) - B27,
    TODAY() - Table3[[#This Row],[Date of Update]]
  ),
  TODAY()-Table3[[#This Row],[Date of Update]]
)&lt;=0,
TODAY()-Table3[[#This Row],[Date of Update]],
IFERROR(
  IF(
    COUNTIF(A$2:A$1997, A27) &gt; 1,
    MIN(IF(A$2:A$1997=A27, IF(B$2:B$1997&gt;B27, B$2:B$1997))) - B27,
    TODAY() - Table3[[#This Row],[Date of Update]]
  ),
  TODAY()-Table3[[#This Row],[Date of Update]]
)))</f>
        <v>0</v>
      </c>
      <c r="G27" s="7">
        <f>IF(Table3[[#This Row],[Stage]]="Closed",Table3[[#This Row],[Date of Update]]-(_xlfn.MINIFS(Table3[Date of Update],Table3[Ref], Table3[[#This Row],[Ref]])),"")</f>
        <v>12</v>
      </c>
    </row>
    <row r="28" spans="1:7" x14ac:dyDescent="0.25">
      <c r="A28" s="4" t="s">
        <v>31</v>
      </c>
      <c r="B28" s="5">
        <v>44641</v>
      </c>
      <c r="C28" s="6" t="s">
        <v>8</v>
      </c>
      <c r="D28" s="6" t="s">
        <v>9</v>
      </c>
      <c r="E28" s="6"/>
      <c r="F28" s="6" cm="1">
        <f t="array" aca="1" ref="F28" ca="1">IF(Table3[[#This Row],[Stage]]="Closed",0,IF(IFERROR(
  IF(
    COUNTIF(A$2:A$1997, A28) &gt; 1,
    MIN(IF(A$2:A$1997=A28, IF(B$2:B$1997&gt;B28, B$2:B$1997))) - B28,
    TODAY() - Table3[[#This Row],[Date of Update]]
  ),
  TODAY()-Table3[[#This Row],[Date of Update]]
)&lt;=0,
TODAY()-Table3[[#This Row],[Date of Update]],
IFERROR(
  IF(
    COUNTIF(A$2:A$1997, A28) &gt; 1,
    MIN(IF(A$2:A$1997=A28, IF(B$2:B$1997&gt;B28, B$2:B$1997))) - B28,
    TODAY() - Table3[[#This Row],[Date of Update]]
  ),
  TODAY()-Table3[[#This Row],[Date of Update]]
)))</f>
        <v>11</v>
      </c>
      <c r="G28" s="7" t="str">
        <f>IF(Table3[[#This Row],[Stage]]="Closed",Table3[[#This Row],[Date of Update]]-(_xlfn.MINIFS(Table3[Date of Update],Table3[Ref], Table3[[#This Row],[Ref]])),"")</f>
        <v/>
      </c>
    </row>
    <row r="29" spans="1:7" x14ac:dyDescent="0.25">
      <c r="A29" s="4" t="s">
        <v>32</v>
      </c>
      <c r="B29" s="5">
        <v>44643</v>
      </c>
      <c r="C29" s="6" t="s">
        <v>8</v>
      </c>
      <c r="D29" s="6" t="s">
        <v>9</v>
      </c>
      <c r="E29" s="6"/>
      <c r="F29" s="6" cm="1">
        <f t="array" aca="1" ref="F29" ca="1">IF(Table3[[#This Row],[Stage]]="Closed",0,IF(IFERROR(
  IF(
    COUNTIF(A$2:A$1997, A29) &gt; 1,
    MIN(IF(A$2:A$1997=A29, IF(B$2:B$1997&gt;B29, B$2:B$1997))) - B29,
    TODAY() - Table3[[#This Row],[Date of Update]]
  ),
  TODAY()-Table3[[#This Row],[Date of Update]]
)&lt;=0,
TODAY()-Table3[[#This Row],[Date of Update]],
IFERROR(
  IF(
    COUNTIF(A$2:A$1997, A29) &gt; 1,
    MIN(IF(A$2:A$1997=A29, IF(B$2:B$1997&gt;B29, B$2:B$1997))) - B29,
    TODAY() - Table3[[#This Row],[Date of Update]]
  ),
  TODAY()-Table3[[#This Row],[Date of Update]]
)))</f>
        <v>8</v>
      </c>
      <c r="G29" s="7" t="str">
        <f>IF(Table3[[#This Row],[Stage]]="Closed",Table3[[#This Row],[Date of Update]]-(_xlfn.MINIFS(Table3[Date of Update],Table3[Ref], Table3[[#This Row],[Ref]])),"")</f>
        <v/>
      </c>
    </row>
    <row r="30" spans="1:7" x14ac:dyDescent="0.25">
      <c r="A30" s="4" t="s">
        <v>33</v>
      </c>
      <c r="B30" s="5">
        <v>44645</v>
      </c>
      <c r="C30" s="6" t="s">
        <v>8</v>
      </c>
      <c r="D30" s="6" t="s">
        <v>9</v>
      </c>
      <c r="E30" s="6"/>
      <c r="F30" s="6" cm="1">
        <f t="array" aca="1" ref="F30" ca="1">IF(Table3[[#This Row],[Stage]]="Closed",0,IF(IFERROR(
  IF(
    COUNTIF(A$2:A$1997, A30) &gt; 1,
    MIN(IF(A$2:A$1997=A30, IF(B$2:B$1997&gt;B30, B$2:B$1997))) - B30,
    TODAY() - Table3[[#This Row],[Date of Update]]
  ),
  TODAY()-Table3[[#This Row],[Date of Update]]
)&lt;=0,
TODAY()-Table3[[#This Row],[Date of Update]],
IFERROR(
  IF(
    COUNTIF(A$2:A$1997, A30) &gt; 1,
    MIN(IF(A$2:A$1997=A30, IF(B$2:B$1997&gt;B30, B$2:B$1997))) - B30,
    TODAY() - Table3[[#This Row],[Date of Update]]
  ),
  TODAY()-Table3[[#This Row],[Date of Update]]
)))</f>
        <v>30</v>
      </c>
      <c r="G30" s="7" t="str">
        <f>IF(Table3[[#This Row],[Stage]]="Closed",Table3[[#This Row],[Date of Update]]-(_xlfn.MINIFS(Table3[Date of Update],Table3[Ref], Table3[[#This Row],[Ref]])),"")</f>
        <v/>
      </c>
    </row>
    <row r="31" spans="1:7" x14ac:dyDescent="0.25">
      <c r="A31" s="4" t="s">
        <v>13</v>
      </c>
      <c r="B31" s="5">
        <v>44647</v>
      </c>
      <c r="C31" s="6" t="s">
        <v>17</v>
      </c>
      <c r="D31" s="6" t="s">
        <v>9</v>
      </c>
      <c r="E31" s="6" t="s">
        <v>14</v>
      </c>
      <c r="F31" s="6" cm="1">
        <f t="array" aca="1" ref="F31" ca="1">IF(Table3[[#This Row],[Stage]]="Closed",0,IF(IFERROR(
  IF(
    COUNTIF(A$2:A$1997, A31) &gt; 1,
    MIN(IF(A$2:A$1997=A31, IF(B$2:B$1997&gt;B31, B$2:B$1997))) - B31,
    TODAY() - Table3[[#This Row],[Date of Update]]
  ),
  TODAY()-Table3[[#This Row],[Date of Update]]
)&lt;=0,
TODAY()-Table3[[#This Row],[Date of Update]],
IFERROR(
  IF(
    COUNTIF(A$2:A$1997, A31) &gt; 1,
    MIN(IF(A$2:A$1997=A31, IF(B$2:B$1997&gt;B31, B$2:B$1997))) - B31,
    TODAY() - Table3[[#This Row],[Date of Update]]
  ),
  TODAY()-Table3[[#This Row],[Date of Update]]
)))</f>
        <v>0</v>
      </c>
      <c r="G31" s="7">
        <f>IF(Table3[[#This Row],[Stage]]="Closed",Table3[[#This Row],[Date of Update]]-(_xlfn.MINIFS(Table3[Date of Update],Table3[Ref], Table3[[#This Row],[Ref]])),"")</f>
        <v>30</v>
      </c>
    </row>
    <row r="32" spans="1:7" x14ac:dyDescent="0.25">
      <c r="A32" s="4" t="s">
        <v>34</v>
      </c>
      <c r="B32" s="5">
        <v>44649</v>
      </c>
      <c r="C32" s="6" t="s">
        <v>8</v>
      </c>
      <c r="D32" s="6" t="s">
        <v>9</v>
      </c>
      <c r="E32" s="6" t="s">
        <v>35</v>
      </c>
      <c r="F32" s="6" cm="1">
        <f t="array" aca="1" ref="F32" ca="1">IF(Table3[[#This Row],[Stage]]="Closed",0,IF(IFERROR(
  IF(
    COUNTIF(A$2:A$1997, A32) &gt; 1,
    MIN(IF(A$2:A$1997=A32, IF(B$2:B$1997&gt;B32, B$2:B$1997))) - B32,
    TODAY() - Table3[[#This Row],[Date of Update]]
  ),
  TODAY()-Table3[[#This Row],[Date of Update]]
)&lt;=0,
TODAY()-Table3[[#This Row],[Date of Update]],
IFERROR(
  IF(
    COUNTIF(A$2:A$1997, A32) &gt; 1,
    MIN(IF(A$2:A$1997=A32, IF(B$2:B$1997&gt;B32, B$2:B$1997))) - B32,
    TODAY() - Table3[[#This Row],[Date of Update]]
  ),
  TODAY()-Table3[[#This Row],[Date of Update]]
)))</f>
        <v>30</v>
      </c>
      <c r="G32" s="7" t="str">
        <f>IF(Table3[[#This Row],[Stage]]="Closed",Table3[[#This Row],[Date of Update]]-(_xlfn.MINIFS(Table3[Date of Update],Table3[Ref], Table3[[#This Row],[Ref]])),"")</f>
        <v/>
      </c>
    </row>
    <row r="33" spans="1:7" x14ac:dyDescent="0.25">
      <c r="A33" s="4" t="s">
        <v>15</v>
      </c>
      <c r="B33" s="5">
        <v>44650</v>
      </c>
      <c r="C33" s="6" t="s">
        <v>17</v>
      </c>
      <c r="D33" s="6" t="s">
        <v>9</v>
      </c>
      <c r="E33" s="6" t="s">
        <v>16</v>
      </c>
      <c r="F33" s="6" cm="1">
        <f t="array" aca="1" ref="F33" ca="1">IF(Table3[[#This Row],[Stage]]="Closed",0,IF(IFERROR(
  IF(
    COUNTIF(A$2:A$1997, A33) &gt; 1,
    MIN(IF(A$2:A$1997=A33, IF(B$2:B$1997&gt;B33, B$2:B$1997))) - B33,
    TODAY() - Table3[[#This Row],[Date of Update]]
  ),
  TODAY()-Table3[[#This Row],[Date of Update]]
)&lt;=0,
TODAY()-Table3[[#This Row],[Date of Update]],
IFERROR(
  IF(
    COUNTIF(A$2:A$1997, A33) &gt; 1,
    MIN(IF(A$2:A$1997=A33, IF(B$2:B$1997&gt;B33, B$2:B$1997))) - B33,
    TODAY() - Table3[[#This Row],[Date of Update]]
  ),
  TODAY()-Table3[[#This Row],[Date of Update]]
)))</f>
        <v>0</v>
      </c>
      <c r="G33" s="7">
        <f>IF(Table3[[#This Row],[Stage]]="Closed",Table3[[#This Row],[Date of Update]]-(_xlfn.MINIFS(Table3[Date of Update],Table3[Ref], Table3[[#This Row],[Ref]])),"")</f>
        <v>30</v>
      </c>
    </row>
    <row r="34" spans="1:7" x14ac:dyDescent="0.25">
      <c r="A34" s="4" t="s">
        <v>36</v>
      </c>
      <c r="B34" s="5">
        <v>44650</v>
      </c>
      <c r="C34" s="6" t="s">
        <v>8</v>
      </c>
      <c r="D34" s="6" t="s">
        <v>9</v>
      </c>
      <c r="E34" s="6" t="s">
        <v>37</v>
      </c>
      <c r="F34" s="6" cm="1">
        <f t="array" aca="1" ref="F34" ca="1">IF(Table3[[#This Row],[Stage]]="Closed",0,IF(IFERROR(
  IF(
    COUNTIF(A$2:A$1997, A34) &gt; 1,
    MIN(IF(A$2:A$1997=A34, IF(B$2:B$1997&gt;B34, B$2:B$1997))) - B34,
    TODAY() - Table3[[#This Row],[Date of Update]]
  ),
  TODAY()-Table3[[#This Row],[Date of Update]]
)&lt;=0,
TODAY()-Table3[[#This Row],[Date of Update]],
IFERROR(
  IF(
    COUNTIF(A$2:A$1997, A34) &gt; 1,
    MIN(IF(A$2:A$1997=A34, IF(B$2:B$1997&gt;B34, B$2:B$1997))) - B34,
    TODAY() - Table3[[#This Row],[Date of Update]]
  ),
  TODAY()-Table3[[#This Row],[Date of Update]]
)))</f>
        <v>30</v>
      </c>
      <c r="G34" s="7" t="str">
        <f>IF(Table3[[#This Row],[Stage]]="Closed",Table3[[#This Row],[Date of Update]]-(_xlfn.MINIFS(Table3[Date of Update],Table3[Ref], Table3[[#This Row],[Ref]])),"")</f>
        <v/>
      </c>
    </row>
    <row r="35" spans="1:7" x14ac:dyDescent="0.25">
      <c r="A35" s="4" t="s">
        <v>32</v>
      </c>
      <c r="B35" s="5">
        <v>44651</v>
      </c>
      <c r="C35" s="6" t="s">
        <v>17</v>
      </c>
      <c r="D35" s="6" t="s">
        <v>9</v>
      </c>
      <c r="E35" s="6"/>
      <c r="F35" s="6" cm="1">
        <f t="array" aca="1" ref="F35" ca="1">IF(Table3[[#This Row],[Stage]]="Closed",0,IF(IFERROR(
  IF(
    COUNTIF(A$2:A$1997, A35) &gt; 1,
    MIN(IF(A$2:A$1997=A35, IF(B$2:B$1997&gt;B35, B$2:B$1997))) - B35,
    TODAY() - Table3[[#This Row],[Date of Update]]
  ),
  TODAY()-Table3[[#This Row],[Date of Update]]
)&lt;=0,
TODAY()-Table3[[#This Row],[Date of Update]],
IFERROR(
  IF(
    COUNTIF(A$2:A$1997, A35) &gt; 1,
    MIN(IF(A$2:A$1997=A35, IF(B$2:B$1997&gt;B35, B$2:B$1997))) - B35,
    TODAY() - Table3[[#This Row],[Date of Update]]
  ),
  TODAY()-Table3[[#This Row],[Date of Update]]
)))</f>
        <v>0</v>
      </c>
      <c r="G35" s="7">
        <f>IF(Table3[[#This Row],[Stage]]="Closed",Table3[[#This Row],[Date of Update]]-(_xlfn.MINIFS(Table3[Date of Update],Table3[Ref], Table3[[#This Row],[Ref]])),"")</f>
        <v>8</v>
      </c>
    </row>
    <row r="36" spans="1:7" x14ac:dyDescent="0.25">
      <c r="A36" s="4" t="s">
        <v>38</v>
      </c>
      <c r="B36" s="5">
        <v>44652</v>
      </c>
      <c r="C36" s="6" t="s">
        <v>8</v>
      </c>
      <c r="D36" s="6" t="s">
        <v>9</v>
      </c>
      <c r="E36" s="6" t="s">
        <v>39</v>
      </c>
      <c r="F36" s="6" cm="1">
        <f t="array" aca="1" ref="F36" ca="1">IF(Table3[[#This Row],[Stage]]="Closed",0,IF(IFERROR(
  IF(
    COUNTIF(A$2:A$1997, A36) &gt; 1,
    MIN(IF(A$2:A$1997=A36, IF(B$2:B$1997&gt;B36, B$2:B$1997))) - B36,
    TODAY() - Table3[[#This Row],[Date of Update]]
  ),
  TODAY()-Table3[[#This Row],[Date of Update]]
)&lt;=0,
TODAY()-Table3[[#This Row],[Date of Update]],
IFERROR(
  IF(
    COUNTIF(A$2:A$1997, A36) &gt; 1,
    MIN(IF(A$2:A$1997=A36, IF(B$2:B$1997&gt;B36, B$2:B$1997))) - B36,
    TODAY() - Table3[[#This Row],[Date of Update]]
  ),
  TODAY()-Table3[[#This Row],[Date of Update]]
)))</f>
        <v>30</v>
      </c>
      <c r="G36" s="7" t="str">
        <f>IF(Table3[[#This Row],[Stage]]="Closed",Table3[[#This Row],[Date of Update]]-(_xlfn.MINIFS(Table3[Date of Update],Table3[Ref], Table3[[#This Row],[Ref]])),"")</f>
        <v/>
      </c>
    </row>
    <row r="37" spans="1:7" x14ac:dyDescent="0.25">
      <c r="A37" s="4" t="s">
        <v>40</v>
      </c>
      <c r="B37" s="5">
        <v>44652</v>
      </c>
      <c r="C37" s="6" t="s">
        <v>8</v>
      </c>
      <c r="D37" s="6" t="s">
        <v>9</v>
      </c>
      <c r="E37" s="6" t="s">
        <v>39</v>
      </c>
      <c r="F37" s="6" cm="1">
        <f t="array" aca="1" ref="F37" ca="1">IF(Table3[[#This Row],[Stage]]="Closed",0,IF(IFERROR(
  IF(
    COUNTIF(A$2:A$1997, A37) &gt; 1,
    MIN(IF(A$2:A$1997=A37, IF(B$2:B$1997&gt;B37, B$2:B$1997))) - B37,
    TODAY() - Table3[[#This Row],[Date of Update]]
  ),
  TODAY()-Table3[[#This Row],[Date of Update]]
)&lt;=0,
TODAY()-Table3[[#This Row],[Date of Update]],
IFERROR(
  IF(
    COUNTIF(A$2:A$1997, A37) &gt; 1,
    MIN(IF(A$2:A$1997=A37, IF(B$2:B$1997&gt;B37, B$2:B$1997))) - B37,
    TODAY() - Table3[[#This Row],[Date of Update]]
  ),
  TODAY()-Table3[[#This Row],[Date of Update]]
)))</f>
        <v>30</v>
      </c>
      <c r="G37" s="7" t="str">
        <f>IF(Table3[[#This Row],[Stage]]="Closed",Table3[[#This Row],[Date of Update]]-(_xlfn.MINIFS(Table3[Date of Update],Table3[Ref], Table3[[#This Row],[Ref]])),"")</f>
        <v/>
      </c>
    </row>
    <row r="38" spans="1:7" x14ac:dyDescent="0.25">
      <c r="A38" s="4" t="s">
        <v>31</v>
      </c>
      <c r="B38" s="5">
        <v>44652</v>
      </c>
      <c r="C38" s="6" t="s">
        <v>17</v>
      </c>
      <c r="D38" s="6" t="s">
        <v>9</v>
      </c>
      <c r="E38" s="6"/>
      <c r="F38" s="6" cm="1">
        <f t="array" aca="1" ref="F38" ca="1">IF(Table3[[#This Row],[Stage]]="Closed",0,IF(IFERROR(
  IF(
    COUNTIF(A$2:A$1997, A38) &gt; 1,
    MIN(IF(A$2:A$1997=A38, IF(B$2:B$1997&gt;B38, B$2:B$1997))) - B38,
    TODAY() - Table3[[#This Row],[Date of Update]]
  ),
  TODAY()-Table3[[#This Row],[Date of Update]]
)&lt;=0,
TODAY()-Table3[[#This Row],[Date of Update]],
IFERROR(
  IF(
    COUNTIF(A$2:A$1997, A38) &gt; 1,
    MIN(IF(A$2:A$1997=A38, IF(B$2:B$1997&gt;B38, B$2:B$1997))) - B38,
    TODAY() - Table3[[#This Row],[Date of Update]]
  ),
  TODAY()-Table3[[#This Row],[Date of Update]]
)))</f>
        <v>0</v>
      </c>
      <c r="G38" s="7">
        <f>IF(Table3[[#This Row],[Stage]]="Closed",Table3[[#This Row],[Date of Update]]-(_xlfn.MINIFS(Table3[Date of Update],Table3[Ref], Table3[[#This Row],[Ref]])),"")</f>
        <v>11</v>
      </c>
    </row>
    <row r="39" spans="1:7" x14ac:dyDescent="0.25">
      <c r="A39" s="4" t="s">
        <v>41</v>
      </c>
      <c r="B39" s="5">
        <v>44655</v>
      </c>
      <c r="C39" s="6" t="s">
        <v>8</v>
      </c>
      <c r="D39" s="6" t="s">
        <v>9</v>
      </c>
      <c r="E39" s="6"/>
      <c r="F39" s="6" cm="1">
        <f t="array" aca="1" ref="F39" ca="1">IF(Table3[[#This Row],[Stage]]="Closed",0,IF(IFERROR(
  IF(
    COUNTIF(A$2:A$1997, A39) &gt; 1,
    MIN(IF(A$2:A$1997=A39, IF(B$2:B$1997&gt;B39, B$2:B$1997))) - B39,
    TODAY() - Table3[[#This Row],[Date of Update]]
  ),
  TODAY()-Table3[[#This Row],[Date of Update]]
)&lt;=0,
TODAY()-Table3[[#This Row],[Date of Update]],
IFERROR(
  IF(
    COUNTIF(A$2:A$1997, A39) &gt; 1,
    MIN(IF(A$2:A$1997=A39, IF(B$2:B$1997&gt;B39, B$2:B$1997))) - B39,
    TODAY() - Table3[[#This Row],[Date of Update]]
  ),
  TODAY()-Table3[[#This Row],[Date of Update]]
)))</f>
        <v>1311</v>
      </c>
      <c r="G39" s="7" t="str">
        <f>IF(Table3[[#This Row],[Stage]]="Closed",Table3[[#This Row],[Date of Update]]-(_xlfn.MINIFS(Table3[Date of Update],Table3[Ref], Table3[[#This Row],[Ref]])),"")</f>
        <v/>
      </c>
    </row>
    <row r="40" spans="1:7" x14ac:dyDescent="0.25">
      <c r="A40" s="4" t="s">
        <v>41</v>
      </c>
      <c r="B40" s="5">
        <v>44655</v>
      </c>
      <c r="C40" s="6" t="s">
        <v>17</v>
      </c>
      <c r="D40" s="6" t="s">
        <v>9</v>
      </c>
      <c r="E40" s="6"/>
      <c r="F40" s="6" cm="1">
        <f t="array" aca="1" ref="F40" ca="1">IF(Table3[[#This Row],[Stage]]="Closed",0,IF(IFERROR(
  IF(
    COUNTIF(A$2:A$1997, A40) &gt; 1,
    MIN(IF(A$2:A$1997=A40, IF(B$2:B$1997&gt;B40, B$2:B$1997))) - B40,
    TODAY() - Table3[[#This Row],[Date of Update]]
  ),
  TODAY()-Table3[[#This Row],[Date of Update]]
)&lt;=0,
TODAY()-Table3[[#This Row],[Date of Update]],
IFERROR(
  IF(
    COUNTIF(A$2:A$1997, A40) &gt; 1,
    MIN(IF(A$2:A$1997=A40, IF(B$2:B$1997&gt;B40, B$2:B$1997))) - B40,
    TODAY() - Table3[[#This Row],[Date of Update]]
  ),
  TODAY()-Table3[[#This Row],[Date of Update]]
)))</f>
        <v>0</v>
      </c>
      <c r="G40" s="7">
        <f>IF(Table3[[#This Row],[Stage]]="Closed",Table3[[#This Row],[Date of Update]]-(_xlfn.MINIFS(Table3[Date of Update],Table3[Ref], Table3[[#This Row],[Ref]])),"")</f>
        <v>0</v>
      </c>
    </row>
    <row r="41" spans="1:7" x14ac:dyDescent="0.25">
      <c r="A41" s="8" t="s">
        <v>42</v>
      </c>
      <c r="B41" s="9">
        <v>44656</v>
      </c>
      <c r="C41" s="10" t="s">
        <v>8</v>
      </c>
      <c r="D41" s="10" t="s">
        <v>9</v>
      </c>
      <c r="E41" s="10"/>
      <c r="F41" s="10" cm="1">
        <f t="array" aca="1" ref="F41" ca="1">IF(Table3[[#This Row],[Stage]]="Closed",0,IF(IFERROR(
  IF(
    COUNTIF(A$2:A$1997, A41) &gt; 1,
    MIN(IF(A$2:A$1997=A41, IF(B$2:B$1997&gt;B41, B$2:B$1997))) - B41,
    TODAY() - Table3[[#This Row],[Date of Update]]
  ),
  TODAY()-Table3[[#This Row],[Date of Update]]
)&lt;=0,
TODAY()-Table3[[#This Row],[Date of Update]],
IFERROR(
  IF(
    COUNTIF(A$2:A$1997, A41) &gt; 1,
    MIN(IF(A$2:A$1997=A41, IF(B$2:B$1997&gt;B41, B$2:B$1997))) - B41,
    TODAY() - Table3[[#This Row],[Date of Update]]
  ),
  TODAY()-Table3[[#This Row],[Date of Update]]
)))</f>
        <v>1</v>
      </c>
      <c r="G41" s="11" t="str">
        <f>IF(Table3[[#This Row],[Stage]]="Closed",Table3[[#This Row],[Date of Update]]-(_xlfn.MINIFS(Table3[Date of Update],Table3[Ref], Table3[[#This Row],[Ref]])),"")</f>
        <v/>
      </c>
    </row>
    <row r="42" spans="1:7" x14ac:dyDescent="0.25">
      <c r="A42" s="4" t="s">
        <v>22</v>
      </c>
      <c r="B42" s="5">
        <v>44657</v>
      </c>
      <c r="C42" s="6" t="s">
        <v>17</v>
      </c>
      <c r="D42" s="6" t="s">
        <v>9</v>
      </c>
      <c r="E42" s="6"/>
      <c r="F42" s="6" cm="1">
        <f t="array" aca="1" ref="F42" ca="1">IF(Table3[[#This Row],[Stage]]="Closed",0,IF(IFERROR(
  IF(
    COUNTIF(A$2:A$1997, A42) &gt; 1,
    MIN(IF(A$2:A$1997=A42, IF(B$2:B$1997&gt;B42, B$2:B$1997))) - B42,
    TODAY() - Table3[[#This Row],[Date of Update]]
  ),
  TODAY()-Table3[[#This Row],[Date of Update]]
)&lt;=0,
TODAY()-Table3[[#This Row],[Date of Update]],
IFERROR(
  IF(
    COUNTIF(A$2:A$1997, A42) &gt; 1,
    MIN(IF(A$2:A$1997=A42, IF(B$2:B$1997&gt;B42, B$2:B$1997))) - B42,
    TODAY() - Table3[[#This Row],[Date of Update]]
  ),
  TODAY()-Table3[[#This Row],[Date of Update]]
)))</f>
        <v>0</v>
      </c>
      <c r="G42" s="7">
        <f>IF(Table3[[#This Row],[Stage]]="Closed",Table3[[#This Row],[Date of Update]]-(_xlfn.MINIFS(Table3[Date of Update],Table3[Ref], Table3[[#This Row],[Ref]])),"")</f>
        <v>27</v>
      </c>
    </row>
    <row r="43" spans="1:7" x14ac:dyDescent="0.25">
      <c r="A43" s="4" t="s">
        <v>42</v>
      </c>
      <c r="B43" s="5">
        <v>44657</v>
      </c>
      <c r="C43" s="6" t="s">
        <v>17</v>
      </c>
      <c r="D43" s="6" t="s">
        <v>9</v>
      </c>
      <c r="E43" s="6"/>
      <c r="F43" s="6" cm="1">
        <f t="array" aca="1" ref="F43" ca="1">IF(Table3[[#This Row],[Stage]]="Closed",0,IF(IFERROR(
  IF(
    COUNTIF(A$2:A$1997, A43) &gt; 1,
    MIN(IF(A$2:A$1997=A43, IF(B$2:B$1997&gt;B43, B$2:B$1997))) - B43,
    TODAY() - Table3[[#This Row],[Date of Update]]
  ),
  TODAY()-Table3[[#This Row],[Date of Update]]
)&lt;=0,
TODAY()-Table3[[#This Row],[Date of Update]],
IFERROR(
  IF(
    COUNTIF(A$2:A$1997, A43) &gt; 1,
    MIN(IF(A$2:A$1997=A43, IF(B$2:B$1997&gt;B43, B$2:B$1997))) - B43,
    TODAY() - Table3[[#This Row],[Date of Update]]
  ),
  TODAY()-Table3[[#This Row],[Date of Update]]
)))</f>
        <v>0</v>
      </c>
      <c r="G43" s="7">
        <f>IF(Table3[[#This Row],[Stage]]="Closed",Table3[[#This Row],[Date of Update]]-(_xlfn.MINIFS(Table3[Date of Update],Table3[Ref], Table3[[#This Row],[Ref]])),"")</f>
        <v>1</v>
      </c>
    </row>
    <row r="44" spans="1:7" x14ac:dyDescent="0.25">
      <c r="A44" s="4" t="s">
        <v>43</v>
      </c>
      <c r="B44" s="5">
        <v>44659</v>
      </c>
      <c r="C44" s="6" t="s">
        <v>8</v>
      </c>
      <c r="D44" s="6" t="s">
        <v>9</v>
      </c>
      <c r="E44" s="6" t="s">
        <v>21</v>
      </c>
      <c r="F44" s="6" cm="1">
        <f t="array" aca="1" ref="F44" ca="1">IF(Table3[[#This Row],[Stage]]="Closed",0,IF(IFERROR(
  IF(
    COUNTIF(A$2:A$1997, A44) &gt; 1,
    MIN(IF(A$2:A$1997=A44, IF(B$2:B$1997&gt;B44, B$2:B$1997))) - B44,
    TODAY() - Table3[[#This Row],[Date of Update]]
  ),
  TODAY()-Table3[[#This Row],[Date of Update]]
)&lt;=0,
TODAY()-Table3[[#This Row],[Date of Update]],
IFERROR(
  IF(
    COUNTIF(A$2:A$1997, A44) &gt; 1,
    MIN(IF(A$2:A$1997=A44, IF(B$2:B$1997&gt;B44, B$2:B$1997))) - B44,
    TODAY() - Table3[[#This Row],[Date of Update]]
  ),
  TODAY()-Table3[[#This Row],[Date of Update]]
)))</f>
        <v>30</v>
      </c>
      <c r="G44" s="7" t="str">
        <f>IF(Table3[[#This Row],[Stage]]="Closed",Table3[[#This Row],[Date of Update]]-(_xlfn.MINIFS(Table3[Date of Update],Table3[Ref], Table3[[#This Row],[Ref]])),"")</f>
        <v/>
      </c>
    </row>
    <row r="45" spans="1:7" x14ac:dyDescent="0.25">
      <c r="A45" s="4" t="s">
        <v>44</v>
      </c>
      <c r="B45" s="5">
        <v>44660</v>
      </c>
      <c r="C45" s="6" t="s">
        <v>8</v>
      </c>
      <c r="D45" s="6" t="s">
        <v>9</v>
      </c>
      <c r="E45" s="6" t="s">
        <v>45</v>
      </c>
      <c r="F45" s="6" cm="1">
        <f t="array" aca="1" ref="F45" ca="1">IF(Table3[[#This Row],[Stage]]="Closed",0,IF(IFERROR(
  IF(
    COUNTIF(A$2:A$1997, A45) &gt; 1,
    MIN(IF(A$2:A$1997=A45, IF(B$2:B$1997&gt;B45, B$2:B$1997))) - B45,
    TODAY() - Table3[[#This Row],[Date of Update]]
  ),
  TODAY()-Table3[[#This Row],[Date of Update]]
)&lt;=0,
TODAY()-Table3[[#This Row],[Date of Update]],
IFERROR(
  IF(
    COUNTIF(A$2:A$1997, A45) &gt; 1,
    MIN(IF(A$2:A$1997=A45, IF(B$2:B$1997&gt;B45, B$2:B$1997))) - B45,
    TODAY() - Table3[[#This Row],[Date of Update]]
  ),
  TODAY()-Table3[[#This Row],[Date of Update]]
)))</f>
        <v>30</v>
      </c>
      <c r="G45" s="7" t="str">
        <f>IF(Table3[[#This Row],[Stage]]="Closed",Table3[[#This Row],[Date of Update]]-(_xlfn.MINIFS(Table3[Date of Update],Table3[Ref], Table3[[#This Row],[Ref]])),"")</f>
        <v/>
      </c>
    </row>
    <row r="46" spans="1:7" x14ac:dyDescent="0.25">
      <c r="A46" s="4" t="s">
        <v>20</v>
      </c>
      <c r="B46" s="5">
        <v>44661</v>
      </c>
      <c r="C46" s="6" t="s">
        <v>17</v>
      </c>
      <c r="D46" s="6" t="s">
        <v>9</v>
      </c>
      <c r="E46" s="6" t="s">
        <v>21</v>
      </c>
      <c r="F46" s="6" cm="1">
        <f t="array" aca="1" ref="F46" ca="1">IF(Table3[[#This Row],[Stage]]="Closed",0,IF(IFERROR(
  IF(
    COUNTIF(A$2:A$1997, A46) &gt; 1,
    MIN(IF(A$2:A$1997=A46, IF(B$2:B$1997&gt;B46, B$2:B$1997))) - B46,
    TODAY() - Table3[[#This Row],[Date of Update]]
  ),
  TODAY()-Table3[[#This Row],[Date of Update]]
)&lt;=0,
TODAY()-Table3[[#This Row],[Date of Update]],
IFERROR(
  IF(
    COUNTIF(A$2:A$1997, A46) &gt; 1,
    MIN(IF(A$2:A$1997=A46, IF(B$2:B$1997&gt;B46, B$2:B$1997))) - B46,
    TODAY() - Table3[[#This Row],[Date of Update]]
  ),
  TODAY()-Table3[[#This Row],[Date of Update]]
)))</f>
        <v>0</v>
      </c>
      <c r="G46" s="7">
        <f>IF(Table3[[#This Row],[Stage]]="Closed",Table3[[#This Row],[Date of Update]]-(_xlfn.MINIFS(Table3[Date of Update],Table3[Ref], Table3[[#This Row],[Ref]])),"")</f>
        <v>31</v>
      </c>
    </row>
    <row r="47" spans="1:7" x14ac:dyDescent="0.25">
      <c r="A47" s="4" t="s">
        <v>24</v>
      </c>
      <c r="B47" s="5">
        <v>44661</v>
      </c>
      <c r="C47" s="6" t="s">
        <v>17</v>
      </c>
      <c r="D47" s="6" t="s">
        <v>9</v>
      </c>
      <c r="E47" s="6" t="s">
        <v>21</v>
      </c>
      <c r="F47" s="6" cm="1">
        <f t="array" aca="1" ref="F47" ca="1">IF(Table3[[#This Row],[Stage]]="Closed",0,IF(IFERROR(
  IF(
    COUNTIF(A$2:A$1997, A47) &gt; 1,
    MIN(IF(A$2:A$1997=A47, IF(B$2:B$1997&gt;B47, B$2:B$1997))) - B47,
    TODAY() - Table3[[#This Row],[Date of Update]]
  ),
  TODAY()-Table3[[#This Row],[Date of Update]]
)&lt;=0,
TODAY()-Table3[[#This Row],[Date of Update]],
IFERROR(
  IF(
    COUNTIF(A$2:A$1997, A47) &gt; 1,
    MIN(IF(A$2:A$1997=A47, IF(B$2:B$1997&gt;B47, B$2:B$1997))) - B47,
    TODAY() - Table3[[#This Row],[Date of Update]]
  ),
  TODAY()-Table3[[#This Row],[Date of Update]]
)))</f>
        <v>0</v>
      </c>
      <c r="G47" s="7">
        <f>IF(Table3[[#This Row],[Stage]]="Closed",Table3[[#This Row],[Date of Update]]-(_xlfn.MINIFS(Table3[Date of Update],Table3[Ref], Table3[[#This Row],[Ref]])),"")</f>
        <v>30</v>
      </c>
    </row>
    <row r="48" spans="1:7" x14ac:dyDescent="0.25">
      <c r="A48" s="4" t="s">
        <v>46</v>
      </c>
      <c r="B48" s="5">
        <v>44662</v>
      </c>
      <c r="C48" s="6" t="s">
        <v>8</v>
      </c>
      <c r="D48" s="6" t="s">
        <v>9</v>
      </c>
      <c r="E48" s="6" t="s">
        <v>47</v>
      </c>
      <c r="F48" s="6" cm="1">
        <f t="array" aca="1" ref="F48" ca="1">IF(Table3[[#This Row],[Stage]]="Closed",0,IF(IFERROR(
  IF(
    COUNTIF(A$2:A$1997, A48) &gt; 1,
    MIN(IF(A$2:A$1997=A48, IF(B$2:B$1997&gt;B48, B$2:B$1997))) - B48,
    TODAY() - Table3[[#This Row],[Date of Update]]
  ),
  TODAY()-Table3[[#This Row],[Date of Update]]
)&lt;=0,
TODAY()-Table3[[#This Row],[Date of Update]],
IFERROR(
  IF(
    COUNTIF(A$2:A$1997, A48) &gt; 1,
    MIN(IF(A$2:A$1997=A48, IF(B$2:B$1997&gt;B48, B$2:B$1997))) - B48,
    TODAY() - Table3[[#This Row],[Date of Update]]
  ),
  TODAY()-Table3[[#This Row],[Date of Update]]
)))</f>
        <v>30</v>
      </c>
      <c r="G48" s="7" t="str">
        <f>IF(Table3[[#This Row],[Stage]]="Closed",Table3[[#This Row],[Date of Update]]-(_xlfn.MINIFS(Table3[Date of Update],Table3[Ref], Table3[[#This Row],[Ref]])),"")</f>
        <v/>
      </c>
    </row>
    <row r="49" spans="1:7" x14ac:dyDescent="0.25">
      <c r="A49" s="4" t="s">
        <v>48</v>
      </c>
      <c r="B49" s="5">
        <v>44662</v>
      </c>
      <c r="C49" s="6" t="s">
        <v>8</v>
      </c>
      <c r="D49" s="6" t="s">
        <v>9</v>
      </c>
      <c r="E49" s="6" t="s">
        <v>47</v>
      </c>
      <c r="F49" s="6" cm="1">
        <f t="array" aca="1" ref="F49" ca="1">IF(Table3[[#This Row],[Stage]]="Closed",0,IF(IFERROR(
  IF(
    COUNTIF(A$2:A$1997, A49) &gt; 1,
    MIN(IF(A$2:A$1997=A49, IF(B$2:B$1997&gt;B49, B$2:B$1997))) - B49,
    TODAY() - Table3[[#This Row],[Date of Update]]
  ),
  TODAY()-Table3[[#This Row],[Date of Update]]
)&lt;=0,
TODAY()-Table3[[#This Row],[Date of Update]],
IFERROR(
  IF(
    COUNTIF(A$2:A$1997, A49) &gt; 1,
    MIN(IF(A$2:A$1997=A49, IF(B$2:B$1997&gt;B49, B$2:B$1997))) - B49,
    TODAY() - Table3[[#This Row],[Date of Update]]
  ),
  TODAY()-Table3[[#This Row],[Date of Update]]
)))</f>
        <v>30</v>
      </c>
      <c r="G49" s="7" t="str">
        <f>IF(Table3[[#This Row],[Stage]]="Closed",Table3[[#This Row],[Date of Update]]-(_xlfn.MINIFS(Table3[Date of Update],Table3[Ref], Table3[[#This Row],[Ref]])),"")</f>
        <v/>
      </c>
    </row>
    <row r="50" spans="1:7" x14ac:dyDescent="0.25">
      <c r="A50" s="4" t="s">
        <v>49</v>
      </c>
      <c r="B50" s="5">
        <v>44665</v>
      </c>
      <c r="C50" s="6" t="s">
        <v>8</v>
      </c>
      <c r="D50" s="6" t="s">
        <v>9</v>
      </c>
      <c r="E50" s="6" t="s">
        <v>50</v>
      </c>
      <c r="F50" s="6" cm="1">
        <f t="array" aca="1" ref="F50" ca="1">IF(Table3[[#This Row],[Stage]]="Closed",0,IF(IFERROR(
  IF(
    COUNTIF(A$2:A$1997, A50) &gt; 1,
    MIN(IF(A$2:A$1997=A50, IF(B$2:B$1997&gt;B50, B$2:B$1997))) - B50,
    TODAY() - Table3[[#This Row],[Date of Update]]
  ),
  TODAY()-Table3[[#This Row],[Date of Update]]
)&lt;=0,
TODAY()-Table3[[#This Row],[Date of Update]],
IFERROR(
  IF(
    COUNTIF(A$2:A$1997, A50) &gt; 1,
    MIN(IF(A$2:A$1997=A50, IF(B$2:B$1997&gt;B50, B$2:B$1997))) - B50,
    TODAY() - Table3[[#This Row],[Date of Update]]
  ),
  TODAY()-Table3[[#This Row],[Date of Update]]
)))</f>
        <v>30</v>
      </c>
      <c r="G50" s="7" t="str">
        <f>IF(Table3[[#This Row],[Stage]]="Closed",Table3[[#This Row],[Date of Update]]-(_xlfn.MINIFS(Table3[Date of Update],Table3[Ref], Table3[[#This Row],[Ref]])),"")</f>
        <v/>
      </c>
    </row>
    <row r="51" spans="1:7" x14ac:dyDescent="0.25">
      <c r="A51" s="4" t="s">
        <v>27</v>
      </c>
      <c r="B51" s="5">
        <v>44666</v>
      </c>
      <c r="C51" s="6" t="s">
        <v>17</v>
      </c>
      <c r="D51" s="6" t="s">
        <v>9</v>
      </c>
      <c r="E51" s="6" t="s">
        <v>16</v>
      </c>
      <c r="F51" s="6" cm="1">
        <f t="array" aca="1" ref="F51" ca="1">IF(Table3[[#This Row],[Stage]]="Closed",0,IF(IFERROR(
  IF(
    COUNTIF(A$2:A$1997, A51) &gt; 1,
    MIN(IF(A$2:A$1997=A51, IF(B$2:B$1997&gt;B51, B$2:B$1997))) - B51,
    TODAY() - Table3[[#This Row],[Date of Update]]
  ),
  TODAY()-Table3[[#This Row],[Date of Update]]
)&lt;=0,
TODAY()-Table3[[#This Row],[Date of Update]],
IFERROR(
  IF(
    COUNTIF(A$2:A$1997, A51) &gt; 1,
    MIN(IF(A$2:A$1997=A51, IF(B$2:B$1997&gt;B51, B$2:B$1997))) - B51,
    TODAY() - Table3[[#This Row],[Date of Update]]
  ),
  TODAY()-Table3[[#This Row],[Date of Update]]
)))</f>
        <v>0</v>
      </c>
      <c r="G51" s="7">
        <f>IF(Table3[[#This Row],[Stage]]="Closed",Table3[[#This Row],[Date of Update]]-(_xlfn.MINIFS(Table3[Date of Update],Table3[Ref], Table3[[#This Row],[Ref]])),"")</f>
        <v>30</v>
      </c>
    </row>
    <row r="52" spans="1:7" x14ac:dyDescent="0.25">
      <c r="A52" s="4" t="s">
        <v>51</v>
      </c>
      <c r="B52" s="5">
        <v>44670</v>
      </c>
      <c r="C52" s="6" t="s">
        <v>8</v>
      </c>
      <c r="D52" s="6" t="s">
        <v>9</v>
      </c>
      <c r="E52" s="6"/>
      <c r="F52" s="6" cm="1">
        <f t="array" aca="1" ref="F52" ca="1">IF(Table3[[#This Row],[Stage]]="Closed",0,IF(IFERROR(
  IF(
    COUNTIF(A$2:A$1997, A52) &gt; 1,
    MIN(IF(A$2:A$1997=A52, IF(B$2:B$1997&gt;B52, B$2:B$1997))) - B52,
    TODAY() - Table3[[#This Row],[Date of Update]]
  ),
  TODAY()-Table3[[#This Row],[Date of Update]]
)&lt;=0,
TODAY()-Table3[[#This Row],[Date of Update]],
IFERROR(
  IF(
    COUNTIF(A$2:A$1997, A52) &gt; 1,
    MIN(IF(A$2:A$1997=A52, IF(B$2:B$1997&gt;B52, B$2:B$1997))) - B52,
    TODAY() - Table3[[#This Row],[Date of Update]]
  ),
  TODAY()-Table3[[#This Row],[Date of Update]]
)))</f>
        <v>49</v>
      </c>
      <c r="G52" s="7" t="str">
        <f>IF(Table3[[#This Row],[Stage]]="Closed",Table3[[#This Row],[Date of Update]]-(_xlfn.MINIFS(Table3[Date of Update],Table3[Ref], Table3[[#This Row],[Ref]])),"")</f>
        <v/>
      </c>
    </row>
    <row r="53" spans="1:7" x14ac:dyDescent="0.25">
      <c r="A53" s="4" t="s">
        <v>52</v>
      </c>
      <c r="B53" s="5">
        <v>44670</v>
      </c>
      <c r="C53" s="6" t="s">
        <v>8</v>
      </c>
      <c r="D53" s="6" t="s">
        <v>9</v>
      </c>
      <c r="E53" s="6"/>
      <c r="F53" s="6" cm="1">
        <f t="array" aca="1" ref="F53" ca="1">IF(Table3[[#This Row],[Stage]]="Closed",0,IF(IFERROR(
  IF(
    COUNTIF(A$2:A$1997, A53) &gt; 1,
    MIN(IF(A$2:A$1997=A53, IF(B$2:B$1997&gt;B53, B$2:B$1997))) - B53,
    TODAY() - Table3[[#This Row],[Date of Update]]
  ),
  TODAY()-Table3[[#This Row],[Date of Update]]
)&lt;=0,
TODAY()-Table3[[#This Row],[Date of Update]],
IFERROR(
  IF(
    COUNTIF(A$2:A$1997, A53) &gt; 1,
    MIN(IF(A$2:A$1997=A53, IF(B$2:B$1997&gt;B53, B$2:B$1997))) - B53,
    TODAY() - Table3[[#This Row],[Date of Update]]
  ),
  TODAY()-Table3[[#This Row],[Date of Update]]
)))</f>
        <v>48</v>
      </c>
      <c r="G53" s="7" t="str">
        <f>IF(Table3[[#This Row],[Stage]]="Closed",Table3[[#This Row],[Date of Update]]-(_xlfn.MINIFS(Table3[Date of Update],Table3[Ref], Table3[[#This Row],[Ref]])),"")</f>
        <v/>
      </c>
    </row>
    <row r="54" spans="1:7" x14ac:dyDescent="0.25">
      <c r="A54" s="4" t="s">
        <v>53</v>
      </c>
      <c r="B54" s="5">
        <v>44670</v>
      </c>
      <c r="C54" s="6" t="s">
        <v>8</v>
      </c>
      <c r="D54" s="6" t="s">
        <v>9</v>
      </c>
      <c r="E54" s="6"/>
      <c r="F54" s="6" cm="1">
        <f t="array" aca="1" ref="F54" ca="1">IF(Table3[[#This Row],[Stage]]="Closed",0,IF(IFERROR(
  IF(
    COUNTIF(A$2:A$1997, A54) &gt; 1,
    MIN(IF(A$2:A$1997=A54, IF(B$2:B$1997&gt;B54, B$2:B$1997))) - B54,
    TODAY() - Table3[[#This Row],[Date of Update]]
  ),
  TODAY()-Table3[[#This Row],[Date of Update]]
)&lt;=0,
TODAY()-Table3[[#This Row],[Date of Update]],
IFERROR(
  IF(
    COUNTIF(A$2:A$1997, A54) &gt; 1,
    MIN(IF(A$2:A$1997=A54, IF(B$2:B$1997&gt;B54, B$2:B$1997))) - B54,
    TODAY() - Table3[[#This Row],[Date of Update]]
  ),
  TODAY()-Table3[[#This Row],[Date of Update]]
)))</f>
        <v>50</v>
      </c>
      <c r="G54" s="7" t="str">
        <f>IF(Table3[[#This Row],[Stage]]="Closed",Table3[[#This Row],[Date of Update]]-(_xlfn.MINIFS(Table3[Date of Update],Table3[Ref], Table3[[#This Row],[Ref]])),"")</f>
        <v/>
      </c>
    </row>
    <row r="55" spans="1:7" x14ac:dyDescent="0.25">
      <c r="A55" s="4" t="s">
        <v>33</v>
      </c>
      <c r="B55" s="5">
        <v>44675</v>
      </c>
      <c r="C55" s="6" t="s">
        <v>17</v>
      </c>
      <c r="D55" s="6" t="s">
        <v>9</v>
      </c>
      <c r="E55" s="6"/>
      <c r="F55" s="6" cm="1">
        <f t="array" aca="1" ref="F55" ca="1">IF(Table3[[#This Row],[Stage]]="Closed",0,IF(IFERROR(
  IF(
    COUNTIF(A$2:A$1997, A55) &gt; 1,
    MIN(IF(A$2:A$1997=A55, IF(B$2:B$1997&gt;B55, B$2:B$1997))) - B55,
    TODAY() - Table3[[#This Row],[Date of Update]]
  ),
  TODAY()-Table3[[#This Row],[Date of Update]]
)&lt;=0,
TODAY()-Table3[[#This Row],[Date of Update]],
IFERROR(
  IF(
    COUNTIF(A$2:A$1997, A55) &gt; 1,
    MIN(IF(A$2:A$1997=A55, IF(B$2:B$1997&gt;B55, B$2:B$1997))) - B55,
    TODAY() - Table3[[#This Row],[Date of Update]]
  ),
  TODAY()-Table3[[#This Row],[Date of Update]]
)))</f>
        <v>0</v>
      </c>
      <c r="G55" s="7">
        <f>IF(Table3[[#This Row],[Stage]]="Closed",Table3[[#This Row],[Date of Update]]-(_xlfn.MINIFS(Table3[Date of Update],Table3[Ref], Table3[[#This Row],[Ref]])),"")</f>
        <v>30</v>
      </c>
    </row>
    <row r="56" spans="1:7" x14ac:dyDescent="0.25">
      <c r="A56" s="4" t="s">
        <v>34</v>
      </c>
      <c r="B56" s="5">
        <v>44679</v>
      </c>
      <c r="C56" s="6" t="s">
        <v>17</v>
      </c>
      <c r="D56" s="6" t="s">
        <v>9</v>
      </c>
      <c r="E56" s="6" t="s">
        <v>35</v>
      </c>
      <c r="F56" s="6" cm="1">
        <f t="array" aca="1" ref="F56" ca="1">IF(Table3[[#This Row],[Stage]]="Closed",0,IF(IFERROR(
  IF(
    COUNTIF(A$2:A$1997, A56) &gt; 1,
    MIN(IF(A$2:A$1997=A56, IF(B$2:B$1997&gt;B56, B$2:B$1997))) - B56,
    TODAY() - Table3[[#This Row],[Date of Update]]
  ),
  TODAY()-Table3[[#This Row],[Date of Update]]
)&lt;=0,
TODAY()-Table3[[#This Row],[Date of Update]],
IFERROR(
  IF(
    COUNTIF(A$2:A$1997, A56) &gt; 1,
    MIN(IF(A$2:A$1997=A56, IF(B$2:B$1997&gt;B56, B$2:B$1997))) - B56,
    TODAY() - Table3[[#This Row],[Date of Update]]
  ),
  TODAY()-Table3[[#This Row],[Date of Update]]
)))</f>
        <v>0</v>
      </c>
      <c r="G56" s="7">
        <f>IF(Table3[[#This Row],[Stage]]="Closed",Table3[[#This Row],[Date of Update]]-(_xlfn.MINIFS(Table3[Date of Update],Table3[Ref], Table3[[#This Row],[Ref]])),"")</f>
        <v>30</v>
      </c>
    </row>
    <row r="57" spans="1:7" x14ac:dyDescent="0.25">
      <c r="A57" s="4" t="s">
        <v>36</v>
      </c>
      <c r="B57" s="5">
        <v>44680</v>
      </c>
      <c r="C57" s="6" t="s">
        <v>17</v>
      </c>
      <c r="D57" s="6" t="s">
        <v>9</v>
      </c>
      <c r="E57" s="6" t="s">
        <v>37</v>
      </c>
      <c r="F57" s="6" cm="1">
        <f t="array" aca="1" ref="F57" ca="1">IF(Table3[[#This Row],[Stage]]="Closed",0,IF(IFERROR(
  IF(
    COUNTIF(A$2:A$1997, A57) &gt; 1,
    MIN(IF(A$2:A$1997=A57, IF(B$2:B$1997&gt;B57, B$2:B$1997))) - B57,
    TODAY() - Table3[[#This Row],[Date of Update]]
  ),
  TODAY()-Table3[[#This Row],[Date of Update]]
)&lt;=0,
TODAY()-Table3[[#This Row],[Date of Update]],
IFERROR(
  IF(
    COUNTIF(A$2:A$1997, A57) &gt; 1,
    MIN(IF(A$2:A$1997=A57, IF(B$2:B$1997&gt;B57, B$2:B$1997))) - B57,
    TODAY() - Table3[[#This Row],[Date of Update]]
  ),
  TODAY()-Table3[[#This Row],[Date of Update]]
)))</f>
        <v>0</v>
      </c>
      <c r="G57" s="7">
        <f>IF(Table3[[#This Row],[Stage]]="Closed",Table3[[#This Row],[Date of Update]]-(_xlfn.MINIFS(Table3[Date of Update],Table3[Ref], Table3[[#This Row],[Ref]])),"")</f>
        <v>30</v>
      </c>
    </row>
    <row r="58" spans="1:7" x14ac:dyDescent="0.25">
      <c r="A58" s="4" t="s">
        <v>38</v>
      </c>
      <c r="B58" s="5">
        <v>44682</v>
      </c>
      <c r="C58" s="6" t="s">
        <v>17</v>
      </c>
      <c r="D58" s="6" t="s">
        <v>9</v>
      </c>
      <c r="E58" s="6" t="s">
        <v>39</v>
      </c>
      <c r="F58" s="6" cm="1">
        <f t="array" aca="1" ref="F58" ca="1">IF(Table3[[#This Row],[Stage]]="Closed",0,IF(IFERROR(
  IF(
    COUNTIF(A$2:A$1997, A58) &gt; 1,
    MIN(IF(A$2:A$1997=A58, IF(B$2:B$1997&gt;B58, B$2:B$1997))) - B58,
    TODAY() - Table3[[#This Row],[Date of Update]]
  ),
  TODAY()-Table3[[#This Row],[Date of Update]]
)&lt;=0,
TODAY()-Table3[[#This Row],[Date of Update]],
IFERROR(
  IF(
    COUNTIF(A$2:A$1997, A58) &gt; 1,
    MIN(IF(A$2:A$1997=A58, IF(B$2:B$1997&gt;B58, B$2:B$1997))) - B58,
    TODAY() - Table3[[#This Row],[Date of Update]]
  ),
  TODAY()-Table3[[#This Row],[Date of Update]]
)))</f>
        <v>0</v>
      </c>
      <c r="G58" s="7">
        <f>IF(Table3[[#This Row],[Stage]]="Closed",Table3[[#This Row],[Date of Update]]-(_xlfn.MINIFS(Table3[Date of Update],Table3[Ref], Table3[[#This Row],[Ref]])),"")</f>
        <v>30</v>
      </c>
    </row>
    <row r="59" spans="1:7" x14ac:dyDescent="0.25">
      <c r="A59" s="4" t="s">
        <v>40</v>
      </c>
      <c r="B59" s="5">
        <v>44682</v>
      </c>
      <c r="C59" s="6" t="s">
        <v>17</v>
      </c>
      <c r="D59" s="6" t="s">
        <v>9</v>
      </c>
      <c r="E59" s="6" t="s">
        <v>39</v>
      </c>
      <c r="F59" s="6" cm="1">
        <f t="array" aca="1" ref="F59" ca="1">IF(Table3[[#This Row],[Stage]]="Closed",0,IF(IFERROR(
  IF(
    COUNTIF(A$2:A$1997, A59) &gt; 1,
    MIN(IF(A$2:A$1997=A59, IF(B$2:B$1997&gt;B59, B$2:B$1997))) - B59,
    TODAY() - Table3[[#This Row],[Date of Update]]
  ),
  TODAY()-Table3[[#This Row],[Date of Update]]
)&lt;=0,
TODAY()-Table3[[#This Row],[Date of Update]],
IFERROR(
  IF(
    COUNTIF(A$2:A$1997, A59) &gt; 1,
    MIN(IF(A$2:A$1997=A59, IF(B$2:B$1997&gt;B59, B$2:B$1997))) - B59,
    TODAY() - Table3[[#This Row],[Date of Update]]
  ),
  TODAY()-Table3[[#This Row],[Date of Update]]
)))</f>
        <v>0</v>
      </c>
      <c r="G59" s="7">
        <f>IF(Table3[[#This Row],[Stage]]="Closed",Table3[[#This Row],[Date of Update]]-(_xlfn.MINIFS(Table3[Date of Update],Table3[Ref], Table3[[#This Row],[Ref]])),"")</f>
        <v>30</v>
      </c>
    </row>
    <row r="60" spans="1:7" x14ac:dyDescent="0.25">
      <c r="A60" s="4" t="s">
        <v>26</v>
      </c>
      <c r="B60" s="5">
        <v>44683</v>
      </c>
      <c r="C60" s="6" t="s">
        <v>17</v>
      </c>
      <c r="D60" s="6" t="s">
        <v>9</v>
      </c>
      <c r="E60" s="6"/>
      <c r="F60" s="6" cm="1">
        <f t="array" aca="1" ref="F60" ca="1">IF(Table3[[#This Row],[Stage]]="Closed",0,IF(IFERROR(
  IF(
    COUNTIF(A$2:A$1997, A60) &gt; 1,
    MIN(IF(A$2:A$1997=A60, IF(B$2:B$1997&gt;B60, B$2:B$1997))) - B60,
    TODAY() - Table3[[#This Row],[Date of Update]]
  ),
  TODAY()-Table3[[#This Row],[Date of Update]]
)&lt;=0,
TODAY()-Table3[[#This Row],[Date of Update]],
IFERROR(
  IF(
    COUNTIF(A$2:A$1997, A60) &gt; 1,
    MIN(IF(A$2:A$1997=A60, IF(B$2:B$1997&gt;B60, B$2:B$1997))) - B60,
    TODAY() - Table3[[#This Row],[Date of Update]]
  ),
  TODAY()-Table3[[#This Row],[Date of Update]]
)))</f>
        <v>0</v>
      </c>
      <c r="G60" s="7">
        <f>IF(Table3[[#This Row],[Stage]]="Closed",Table3[[#This Row],[Date of Update]]-(_xlfn.MINIFS(Table3[Date of Update],Table3[Ref], Table3[[#This Row],[Ref]])),"")</f>
        <v>52</v>
      </c>
    </row>
    <row r="61" spans="1:7" x14ac:dyDescent="0.25">
      <c r="A61" s="4" t="s">
        <v>28</v>
      </c>
      <c r="B61" s="5">
        <v>44684</v>
      </c>
      <c r="C61" s="6" t="s">
        <v>17</v>
      </c>
      <c r="D61" s="6" t="s">
        <v>9</v>
      </c>
      <c r="E61" s="6"/>
      <c r="F61" s="6" cm="1">
        <f t="array" aca="1" ref="F61" ca="1">IF(Table3[[#This Row],[Stage]]="Closed",0,IF(IFERROR(
  IF(
    COUNTIF(A$2:A$1997, A61) &gt; 1,
    MIN(IF(A$2:A$1997=A61, IF(B$2:B$1997&gt;B61, B$2:B$1997))) - B61,
    TODAY() - Table3[[#This Row],[Date of Update]]
  ),
  TODAY()-Table3[[#This Row],[Date of Update]]
)&lt;=0,
TODAY()-Table3[[#This Row],[Date of Update]],
IFERROR(
  IF(
    COUNTIF(A$2:A$1997, A61) &gt; 1,
    MIN(IF(A$2:A$1997=A61, IF(B$2:B$1997&gt;B61, B$2:B$1997))) - B61,
    TODAY() - Table3[[#This Row],[Date of Update]]
  ),
  TODAY()-Table3[[#This Row],[Date of Update]]
)))</f>
        <v>0</v>
      </c>
      <c r="G61" s="7">
        <f>IF(Table3[[#This Row],[Stage]]="Closed",Table3[[#This Row],[Date of Update]]-(_xlfn.MINIFS(Table3[Date of Update],Table3[Ref], Table3[[#This Row],[Ref]])),"")</f>
        <v>47</v>
      </c>
    </row>
    <row r="62" spans="1:7" x14ac:dyDescent="0.25">
      <c r="A62" s="4" t="s">
        <v>54</v>
      </c>
      <c r="B62" s="5">
        <v>44687</v>
      </c>
      <c r="C62" s="6" t="s">
        <v>8</v>
      </c>
      <c r="D62" s="6" t="s">
        <v>9</v>
      </c>
      <c r="E62" s="6"/>
      <c r="F62" s="6" cm="1">
        <f t="array" aca="1" ref="F62" ca="1">IF(Table3[[#This Row],[Stage]]="Closed",0,IF(IFERROR(
  IF(
    COUNTIF(A$2:A$1997, A62) &gt; 1,
    MIN(IF(A$2:A$1997=A62, IF(B$2:B$1997&gt;B62, B$2:B$1997))) - B62,
    TODAY() - Table3[[#This Row],[Date of Update]]
  ),
  TODAY()-Table3[[#This Row],[Date of Update]]
)&lt;=0,
TODAY()-Table3[[#This Row],[Date of Update]],
IFERROR(
  IF(
    COUNTIF(A$2:A$1997, A62) &gt; 1,
    MIN(IF(A$2:A$1997=A62, IF(B$2:B$1997&gt;B62, B$2:B$1997))) - B62,
    TODAY() - Table3[[#This Row],[Date of Update]]
  ),
  TODAY()-Table3[[#This Row],[Date of Update]]
)))</f>
        <v>33</v>
      </c>
      <c r="G62" s="7" t="str">
        <f>IF(Table3[[#This Row],[Stage]]="Closed",Table3[[#This Row],[Date of Update]]-(_xlfn.MINIFS(Table3[Date of Update],Table3[Ref], Table3[[#This Row],[Ref]])),"")</f>
        <v/>
      </c>
    </row>
    <row r="63" spans="1:7" x14ac:dyDescent="0.25">
      <c r="A63" s="4" t="s">
        <v>43</v>
      </c>
      <c r="B63" s="5">
        <v>44689</v>
      </c>
      <c r="C63" s="6" t="s">
        <v>17</v>
      </c>
      <c r="D63" s="6" t="s">
        <v>9</v>
      </c>
      <c r="E63" s="6" t="s">
        <v>21</v>
      </c>
      <c r="F63" s="6" cm="1">
        <f t="array" aca="1" ref="F63" ca="1">IF(Table3[[#This Row],[Stage]]="Closed",0,IF(IFERROR(
  IF(
    COUNTIF(A$2:A$1997, A63) &gt; 1,
    MIN(IF(A$2:A$1997=A63, IF(B$2:B$1997&gt;B63, B$2:B$1997))) - B63,
    TODAY() - Table3[[#This Row],[Date of Update]]
  ),
  TODAY()-Table3[[#This Row],[Date of Update]]
)&lt;=0,
TODAY()-Table3[[#This Row],[Date of Update]],
IFERROR(
  IF(
    COUNTIF(A$2:A$1997, A63) &gt; 1,
    MIN(IF(A$2:A$1997=A63, IF(B$2:B$1997&gt;B63, B$2:B$1997))) - B63,
    TODAY() - Table3[[#This Row],[Date of Update]]
  ),
  TODAY()-Table3[[#This Row],[Date of Update]]
)))</f>
        <v>0</v>
      </c>
      <c r="G63" s="7">
        <f>IF(Table3[[#This Row],[Stage]]="Closed",Table3[[#This Row],[Date of Update]]-(_xlfn.MINIFS(Table3[Date of Update],Table3[Ref], Table3[[#This Row],[Ref]])),"")</f>
        <v>30</v>
      </c>
    </row>
    <row r="64" spans="1:7" x14ac:dyDescent="0.25">
      <c r="A64" s="4" t="s">
        <v>55</v>
      </c>
      <c r="B64" s="5">
        <v>44690</v>
      </c>
      <c r="C64" s="6" t="s">
        <v>8</v>
      </c>
      <c r="D64" s="6" t="s">
        <v>9</v>
      </c>
      <c r="E64" s="6"/>
      <c r="F64" s="6" cm="1">
        <f t="array" aca="1" ref="F64" ca="1">IF(Table3[[#This Row],[Stage]]="Closed",0,IF(IFERROR(
  IF(
    COUNTIF(A$2:A$1997, A64) &gt; 1,
    MIN(IF(A$2:A$1997=A64, IF(B$2:B$1997&gt;B64, B$2:B$1997))) - B64,
    TODAY() - Table3[[#This Row],[Date of Update]]
  ),
  TODAY()-Table3[[#This Row],[Date of Update]]
)&lt;=0,
TODAY()-Table3[[#This Row],[Date of Update]],
IFERROR(
  IF(
    COUNTIF(A$2:A$1997, A64) &gt; 1,
    MIN(IF(A$2:A$1997=A64, IF(B$2:B$1997&gt;B64, B$2:B$1997))) - B64,
    TODAY() - Table3[[#This Row],[Date of Update]]
  ),
  TODAY()-Table3[[#This Row],[Date of Update]]
)))</f>
        <v>32</v>
      </c>
      <c r="G64" s="7" t="str">
        <f>IF(Table3[[#This Row],[Stage]]="Closed",Table3[[#This Row],[Date of Update]]-(_xlfn.MINIFS(Table3[Date of Update],Table3[Ref], Table3[[#This Row],[Ref]])),"")</f>
        <v/>
      </c>
    </row>
    <row r="65" spans="1:7" x14ac:dyDescent="0.25">
      <c r="A65" s="4" t="s">
        <v>56</v>
      </c>
      <c r="B65" s="5">
        <v>44690</v>
      </c>
      <c r="C65" s="6" t="s">
        <v>8</v>
      </c>
      <c r="D65" s="6" t="s">
        <v>9</v>
      </c>
      <c r="E65" s="6"/>
      <c r="F65" s="6" cm="1">
        <f t="array" aca="1" ref="F65" ca="1">IF(Table3[[#This Row],[Stage]]="Closed",0,IF(IFERROR(
  IF(
    COUNTIF(A$2:A$1997, A65) &gt; 1,
    MIN(IF(A$2:A$1997=A65, IF(B$2:B$1997&gt;B65, B$2:B$1997))) - B65,
    TODAY() - Table3[[#This Row],[Date of Update]]
  ),
  TODAY()-Table3[[#This Row],[Date of Update]]
)&lt;=0,
TODAY()-Table3[[#This Row],[Date of Update]],
IFERROR(
  IF(
    COUNTIF(A$2:A$1997, A65) &gt; 1,
    MIN(IF(A$2:A$1997=A65, IF(B$2:B$1997&gt;B65, B$2:B$1997))) - B65,
    TODAY() - Table3[[#This Row],[Date of Update]]
  ),
  TODAY()-Table3[[#This Row],[Date of Update]]
)))</f>
        <v>32</v>
      </c>
      <c r="G65" s="7" t="str">
        <f>IF(Table3[[#This Row],[Stage]]="Closed",Table3[[#This Row],[Date of Update]]-(_xlfn.MINIFS(Table3[Date of Update],Table3[Ref], Table3[[#This Row],[Ref]])),"")</f>
        <v/>
      </c>
    </row>
    <row r="66" spans="1:7" x14ac:dyDescent="0.25">
      <c r="A66" s="4" t="s">
        <v>57</v>
      </c>
      <c r="B66" s="5">
        <v>44690</v>
      </c>
      <c r="C66" s="6" t="s">
        <v>8</v>
      </c>
      <c r="D66" s="6" t="s">
        <v>9</v>
      </c>
      <c r="E66" s="6" t="s">
        <v>58</v>
      </c>
      <c r="F66" s="6" cm="1">
        <f t="array" aca="1" ref="F66" ca="1">IF(Table3[[#This Row],[Stage]]="Closed",0,IF(IFERROR(
  IF(
    COUNTIF(A$2:A$1997, A66) &gt; 1,
    MIN(IF(A$2:A$1997=A66, IF(B$2:B$1997&gt;B66, B$2:B$1997))) - B66,
    TODAY() - Table3[[#This Row],[Date of Update]]
  ),
  TODAY()-Table3[[#This Row],[Date of Update]]
)&lt;=0,
TODAY()-Table3[[#This Row],[Date of Update]],
IFERROR(
  IF(
    COUNTIF(A$2:A$1997, A66) &gt; 1,
    MIN(IF(A$2:A$1997=A66, IF(B$2:B$1997&gt;B66, B$2:B$1997))) - B66,
    TODAY() - Table3[[#This Row],[Date of Update]]
  ),
  TODAY()-Table3[[#This Row],[Date of Update]]
)))</f>
        <v>126</v>
      </c>
      <c r="G66" s="7" t="str">
        <f>IF(Table3[[#This Row],[Stage]]="Closed",Table3[[#This Row],[Date of Update]]-(_xlfn.MINIFS(Table3[Date of Update],Table3[Ref], Table3[[#This Row],[Ref]])),"")</f>
        <v/>
      </c>
    </row>
    <row r="67" spans="1:7" x14ac:dyDescent="0.25">
      <c r="A67" s="4" t="s">
        <v>44</v>
      </c>
      <c r="B67" s="5">
        <v>44690</v>
      </c>
      <c r="C67" s="6" t="s">
        <v>17</v>
      </c>
      <c r="D67" s="6" t="s">
        <v>9</v>
      </c>
      <c r="E67" s="6" t="s">
        <v>45</v>
      </c>
      <c r="F67" s="6" cm="1">
        <f t="array" aca="1" ref="F67" ca="1">IF(Table3[[#This Row],[Stage]]="Closed",0,IF(IFERROR(
  IF(
    COUNTIF(A$2:A$1997, A67) &gt; 1,
    MIN(IF(A$2:A$1997=A67, IF(B$2:B$1997&gt;B67, B$2:B$1997))) - B67,
    TODAY() - Table3[[#This Row],[Date of Update]]
  ),
  TODAY()-Table3[[#This Row],[Date of Update]]
)&lt;=0,
TODAY()-Table3[[#This Row],[Date of Update]],
IFERROR(
  IF(
    COUNTIF(A$2:A$1997, A67) &gt; 1,
    MIN(IF(A$2:A$1997=A67, IF(B$2:B$1997&gt;B67, B$2:B$1997))) - B67,
    TODAY() - Table3[[#This Row],[Date of Update]]
  ),
  TODAY()-Table3[[#This Row],[Date of Update]]
)))</f>
        <v>0</v>
      </c>
      <c r="G67" s="7">
        <f>IF(Table3[[#This Row],[Stage]]="Closed",Table3[[#This Row],[Date of Update]]-(_xlfn.MINIFS(Table3[Date of Update],Table3[Ref], Table3[[#This Row],[Ref]])),"")</f>
        <v>30</v>
      </c>
    </row>
    <row r="68" spans="1:7" x14ac:dyDescent="0.25">
      <c r="A68" s="4" t="s">
        <v>46</v>
      </c>
      <c r="B68" s="5">
        <v>44692</v>
      </c>
      <c r="C68" s="6" t="s">
        <v>17</v>
      </c>
      <c r="D68" s="6" t="s">
        <v>9</v>
      </c>
      <c r="E68" s="6" t="s">
        <v>47</v>
      </c>
      <c r="F68" s="6" cm="1">
        <f t="array" aca="1" ref="F68" ca="1">IF(Table3[[#This Row],[Stage]]="Closed",0,IF(IFERROR(
  IF(
    COUNTIF(A$2:A$1997, A68) &gt; 1,
    MIN(IF(A$2:A$1997=A68, IF(B$2:B$1997&gt;B68, B$2:B$1997))) - B68,
    TODAY() - Table3[[#This Row],[Date of Update]]
  ),
  TODAY()-Table3[[#This Row],[Date of Update]]
)&lt;=0,
TODAY()-Table3[[#This Row],[Date of Update]],
IFERROR(
  IF(
    COUNTIF(A$2:A$1997, A68) &gt; 1,
    MIN(IF(A$2:A$1997=A68, IF(B$2:B$1997&gt;B68, B$2:B$1997))) - B68,
    TODAY() - Table3[[#This Row],[Date of Update]]
  ),
  TODAY()-Table3[[#This Row],[Date of Update]]
)))</f>
        <v>0</v>
      </c>
      <c r="G68" s="7">
        <f>IF(Table3[[#This Row],[Stage]]="Closed",Table3[[#This Row],[Date of Update]]-(_xlfn.MINIFS(Table3[Date of Update],Table3[Ref], Table3[[#This Row],[Ref]])),"")</f>
        <v>30</v>
      </c>
    </row>
    <row r="69" spans="1:7" x14ac:dyDescent="0.25">
      <c r="A69" s="4" t="s">
        <v>48</v>
      </c>
      <c r="B69" s="5">
        <v>44692</v>
      </c>
      <c r="C69" s="6" t="s">
        <v>17</v>
      </c>
      <c r="D69" s="6" t="s">
        <v>9</v>
      </c>
      <c r="E69" s="6" t="s">
        <v>47</v>
      </c>
      <c r="F69" s="6" cm="1">
        <f t="array" aca="1" ref="F69" ca="1">IF(Table3[[#This Row],[Stage]]="Closed",0,IF(IFERROR(
  IF(
    COUNTIF(A$2:A$1997, A69) &gt; 1,
    MIN(IF(A$2:A$1997=A69, IF(B$2:B$1997&gt;B69, B$2:B$1997))) - B69,
    TODAY() - Table3[[#This Row],[Date of Update]]
  ),
  TODAY()-Table3[[#This Row],[Date of Update]]
)&lt;=0,
TODAY()-Table3[[#This Row],[Date of Update]],
IFERROR(
  IF(
    COUNTIF(A$2:A$1997, A69) &gt; 1,
    MIN(IF(A$2:A$1997=A69, IF(B$2:B$1997&gt;B69, B$2:B$1997))) - B69,
    TODAY() - Table3[[#This Row],[Date of Update]]
  ),
  TODAY()-Table3[[#This Row],[Date of Update]]
)))</f>
        <v>0</v>
      </c>
      <c r="G69" s="7">
        <f>IF(Table3[[#This Row],[Stage]]="Closed",Table3[[#This Row],[Date of Update]]-(_xlfn.MINIFS(Table3[Date of Update],Table3[Ref], Table3[[#This Row],[Ref]])),"")</f>
        <v>30</v>
      </c>
    </row>
    <row r="70" spans="1:7" x14ac:dyDescent="0.25">
      <c r="A70" s="4" t="s">
        <v>59</v>
      </c>
      <c r="B70" s="5">
        <v>44693</v>
      </c>
      <c r="C70" s="6" t="s">
        <v>8</v>
      </c>
      <c r="D70" s="6" t="s">
        <v>9</v>
      </c>
      <c r="E70" s="6" t="s">
        <v>58</v>
      </c>
      <c r="F70" s="6" cm="1">
        <f t="array" aca="1" ref="F70" ca="1">IF(Table3[[#This Row],[Stage]]="Closed",0,IF(IFERROR(
  IF(
    COUNTIF(A$2:A$1997, A70) &gt; 1,
    MIN(IF(A$2:A$1997=A70, IF(B$2:B$1997&gt;B70, B$2:B$1997))) - B70,
    TODAY() - Table3[[#This Row],[Date of Update]]
  ),
  TODAY()-Table3[[#This Row],[Date of Update]]
)&lt;=0,
TODAY()-Table3[[#This Row],[Date of Update]],
IFERROR(
  IF(
    COUNTIF(A$2:A$1997, A70) &gt; 1,
    MIN(IF(A$2:A$1997=A70, IF(B$2:B$1997&gt;B70, B$2:B$1997))) - B70,
    TODAY() - Table3[[#This Row],[Date of Update]]
  ),
  TODAY()-Table3[[#This Row],[Date of Update]]
)))</f>
        <v>123</v>
      </c>
      <c r="G70" s="7" t="str">
        <f>IF(Table3[[#This Row],[Stage]]="Closed",Table3[[#This Row],[Date of Update]]-(_xlfn.MINIFS(Table3[Date of Update],Table3[Ref], Table3[[#This Row],[Ref]])),"")</f>
        <v/>
      </c>
    </row>
    <row r="71" spans="1:7" x14ac:dyDescent="0.25">
      <c r="A71" s="4" t="s">
        <v>29</v>
      </c>
      <c r="B71" s="5">
        <v>44694</v>
      </c>
      <c r="C71" s="6" t="s">
        <v>17</v>
      </c>
      <c r="D71" s="6" t="s">
        <v>9</v>
      </c>
      <c r="E71" s="6"/>
      <c r="F71" s="6" cm="1">
        <f t="array" aca="1" ref="F71" ca="1">IF(Table3[[#This Row],[Stage]]="Closed",0,IF(IFERROR(
  IF(
    COUNTIF(A$2:A$1997, A71) &gt; 1,
    MIN(IF(A$2:A$1997=A71, IF(B$2:B$1997&gt;B71, B$2:B$1997))) - B71,
    TODAY() - Table3[[#This Row],[Date of Update]]
  ),
  TODAY()-Table3[[#This Row],[Date of Update]]
)&lt;=0,
TODAY()-Table3[[#This Row],[Date of Update]],
IFERROR(
  IF(
    COUNTIF(A$2:A$1997, A71) &gt; 1,
    MIN(IF(A$2:A$1997=A71, IF(B$2:B$1997&gt;B71, B$2:B$1997))) - B71,
    TODAY() - Table3[[#This Row],[Date of Update]]
  ),
  TODAY()-Table3[[#This Row],[Date of Update]]
)))</f>
        <v>0</v>
      </c>
      <c r="G71" s="7">
        <f>IF(Table3[[#This Row],[Stage]]="Closed",Table3[[#This Row],[Date of Update]]-(_xlfn.MINIFS(Table3[Date of Update],Table3[Ref], Table3[[#This Row],[Ref]])),"")</f>
        <v>56</v>
      </c>
    </row>
    <row r="72" spans="1:7" x14ac:dyDescent="0.25">
      <c r="A72" s="4" t="s">
        <v>60</v>
      </c>
      <c r="B72" s="5">
        <v>44694</v>
      </c>
      <c r="C72" s="6" t="s">
        <v>8</v>
      </c>
      <c r="D72" s="6" t="s">
        <v>9</v>
      </c>
      <c r="E72" s="6"/>
      <c r="F72" s="6" cm="1">
        <f t="array" aca="1" ref="F72" ca="1">IF(Table3[[#This Row],[Stage]]="Closed",0,IF(IFERROR(
  IF(
    COUNTIF(A$2:A$1997, A72) &gt; 1,
    MIN(IF(A$2:A$1997=A72, IF(B$2:B$1997&gt;B72, B$2:B$1997))) - B72,
    TODAY() - Table3[[#This Row],[Date of Update]]
  ),
  TODAY()-Table3[[#This Row],[Date of Update]]
)&lt;=0,
TODAY()-Table3[[#This Row],[Date of Update]],
IFERROR(
  IF(
    COUNTIF(A$2:A$1997, A72) &gt; 1,
    MIN(IF(A$2:A$1997=A72, IF(B$2:B$1997&gt;B72, B$2:B$1997))) - B72,
    TODAY() - Table3[[#This Row],[Date of Update]]
  ),
  TODAY()-Table3[[#This Row],[Date of Update]]
)))</f>
        <v>28</v>
      </c>
      <c r="G72" s="7" t="str">
        <f>IF(Table3[[#This Row],[Stage]]="Closed",Table3[[#This Row],[Date of Update]]-(_xlfn.MINIFS(Table3[Date of Update],Table3[Ref], Table3[[#This Row],[Ref]])),"")</f>
        <v/>
      </c>
    </row>
    <row r="73" spans="1:7" x14ac:dyDescent="0.25">
      <c r="A73" s="4" t="s">
        <v>49</v>
      </c>
      <c r="B73" s="5">
        <v>44695</v>
      </c>
      <c r="C73" s="6" t="s">
        <v>17</v>
      </c>
      <c r="D73" s="6" t="s">
        <v>9</v>
      </c>
      <c r="E73" s="6" t="s">
        <v>50</v>
      </c>
      <c r="F73" s="6" cm="1">
        <f t="array" aca="1" ref="F73" ca="1">IF(Table3[[#This Row],[Stage]]="Closed",0,IF(IFERROR(
  IF(
    COUNTIF(A$2:A$1997, A73) &gt; 1,
    MIN(IF(A$2:A$1997=A73, IF(B$2:B$1997&gt;B73, B$2:B$1997))) - B73,
    TODAY() - Table3[[#This Row],[Date of Update]]
  ),
  TODAY()-Table3[[#This Row],[Date of Update]]
)&lt;=0,
TODAY()-Table3[[#This Row],[Date of Update]],
IFERROR(
  IF(
    COUNTIF(A$2:A$1997, A73) &gt; 1,
    MIN(IF(A$2:A$1997=A73, IF(B$2:B$1997&gt;B73, B$2:B$1997))) - B73,
    TODAY() - Table3[[#This Row],[Date of Update]]
  ),
  TODAY()-Table3[[#This Row],[Date of Update]]
)))</f>
        <v>0</v>
      </c>
      <c r="G73" s="7">
        <f>IF(Table3[[#This Row],[Stage]]="Closed",Table3[[#This Row],[Date of Update]]-(_xlfn.MINIFS(Table3[Date of Update],Table3[Ref], Table3[[#This Row],[Ref]])),"")</f>
        <v>30</v>
      </c>
    </row>
    <row r="74" spans="1:7" x14ac:dyDescent="0.25">
      <c r="A74" s="4" t="s">
        <v>61</v>
      </c>
      <c r="B74" s="5">
        <v>44698</v>
      </c>
      <c r="C74" s="6" t="s">
        <v>8</v>
      </c>
      <c r="D74" s="6" t="s">
        <v>9</v>
      </c>
      <c r="E74" s="6"/>
      <c r="F74" s="6" cm="1">
        <f t="array" aca="1" ref="F74" ca="1">IF(Table3[[#This Row],[Stage]]="Closed",0,IF(IFERROR(
  IF(
    COUNTIF(A$2:A$1997, A74) &gt; 1,
    MIN(IF(A$2:A$1997=A74, IF(B$2:B$1997&gt;B74, B$2:B$1997))) - B74,
    TODAY() - Table3[[#This Row],[Date of Update]]
  ),
  TODAY()-Table3[[#This Row],[Date of Update]]
)&lt;=0,
TODAY()-Table3[[#This Row],[Date of Update]],
IFERROR(
  IF(
    COUNTIF(A$2:A$1997, A74) &gt; 1,
    MIN(IF(A$2:A$1997=A74, IF(B$2:B$1997&gt;B74, B$2:B$1997))) - B74,
    TODAY() - Table3[[#This Row],[Date of Update]]
  ),
  TODAY()-Table3[[#This Row],[Date of Update]]
)))</f>
        <v>9</v>
      </c>
      <c r="G74" s="7" t="str">
        <f>IF(Table3[[#This Row],[Stage]]="Closed",Table3[[#This Row],[Date of Update]]-(_xlfn.MINIFS(Table3[Date of Update],Table3[Ref], Table3[[#This Row],[Ref]])),"")</f>
        <v/>
      </c>
    </row>
    <row r="75" spans="1:7" x14ac:dyDescent="0.25">
      <c r="A75" s="4" t="s">
        <v>62</v>
      </c>
      <c r="B75" s="5">
        <v>44698</v>
      </c>
      <c r="C75" s="6" t="s">
        <v>8</v>
      </c>
      <c r="D75" s="6" t="s">
        <v>9</v>
      </c>
      <c r="E75" s="6"/>
      <c r="F75" s="6" cm="1">
        <f t="array" aca="1" ref="F75" ca="1">IF(Table3[[#This Row],[Stage]]="Closed",0,IF(IFERROR(
  IF(
    COUNTIF(A$2:A$1997, A75) &gt; 1,
    MIN(IF(A$2:A$1997=A75, IF(B$2:B$1997&gt;B75, B$2:B$1997))) - B75,
    TODAY() - Table3[[#This Row],[Date of Update]]
  ),
  TODAY()-Table3[[#This Row],[Date of Update]]
)&lt;=0,
TODAY()-Table3[[#This Row],[Date of Update]],
IFERROR(
  IF(
    COUNTIF(A$2:A$1997, A75) &gt; 1,
    MIN(IF(A$2:A$1997=A75, IF(B$2:B$1997&gt;B75, B$2:B$1997))) - B75,
    TODAY() - Table3[[#This Row],[Date of Update]]
  ),
  TODAY()-Table3[[#This Row],[Date of Update]]
)))</f>
        <v>14</v>
      </c>
      <c r="G75" s="7" t="str">
        <f>IF(Table3[[#This Row],[Stage]]="Closed",Table3[[#This Row],[Date of Update]]-(_xlfn.MINIFS(Table3[Date of Update],Table3[Ref], Table3[[#This Row],[Ref]])),"")</f>
        <v/>
      </c>
    </row>
    <row r="76" spans="1:7" x14ac:dyDescent="0.25">
      <c r="A76" s="4" t="s">
        <v>63</v>
      </c>
      <c r="B76" s="5">
        <v>44701</v>
      </c>
      <c r="C76" s="6" t="s">
        <v>8</v>
      </c>
      <c r="D76" s="6" t="s">
        <v>9</v>
      </c>
      <c r="E76" s="6"/>
      <c r="F76" s="6" cm="1">
        <f t="array" aca="1" ref="F76" ca="1">IF(Table3[[#This Row],[Stage]]="Closed",0,IF(IFERROR(
  IF(
    COUNTIF(A$2:A$1997, A76) &gt; 1,
    MIN(IF(A$2:A$1997=A76, IF(B$2:B$1997&gt;B76, B$2:B$1997))) - B76,
    TODAY() - Table3[[#This Row],[Date of Update]]
  ),
  TODAY()-Table3[[#This Row],[Date of Update]]
)&lt;=0,
TODAY()-Table3[[#This Row],[Date of Update]],
IFERROR(
  IF(
    COUNTIF(A$2:A$1997, A76) &gt; 1,
    MIN(IF(A$2:A$1997=A76, IF(B$2:B$1997&gt;B76, B$2:B$1997))) - B76,
    TODAY() - Table3[[#This Row],[Date of Update]]
  ),
  TODAY()-Table3[[#This Row],[Date of Update]]
)))</f>
        <v>8</v>
      </c>
      <c r="G76" s="7" t="str">
        <f>IF(Table3[[#This Row],[Stage]]="Closed",Table3[[#This Row],[Date of Update]]-(_xlfn.MINIFS(Table3[Date of Update],Table3[Ref], Table3[[#This Row],[Ref]])),"")</f>
        <v/>
      </c>
    </row>
    <row r="77" spans="1:7" x14ac:dyDescent="0.25">
      <c r="A77" s="4" t="s">
        <v>64</v>
      </c>
      <c r="B77" s="5">
        <v>44706</v>
      </c>
      <c r="C77" s="6" t="s">
        <v>8</v>
      </c>
      <c r="D77" s="6" t="s">
        <v>9</v>
      </c>
      <c r="E77" s="6" t="s">
        <v>58</v>
      </c>
      <c r="F77" s="6" cm="1">
        <f t="array" aca="1" ref="F77" ca="1">IF(Table3[[#This Row],[Stage]]="Closed",0,IF(IFERROR(
  IF(
    COUNTIF(A$2:A$1997, A77) &gt; 1,
    MIN(IF(A$2:A$1997=A77, IF(B$2:B$1997&gt;B77, B$2:B$1997))) - B77,
    TODAY() - Table3[[#This Row],[Date of Update]]
  ),
  TODAY()-Table3[[#This Row],[Date of Update]]
)&lt;=0,
TODAY()-Table3[[#This Row],[Date of Update]],
IFERROR(
  IF(
    COUNTIF(A$2:A$1997, A77) &gt; 1,
    MIN(IF(A$2:A$1997=A77, IF(B$2:B$1997&gt;B77, B$2:B$1997))) - B77,
    TODAY() - Table3[[#This Row],[Date of Update]]
  ),
  TODAY()-Table3[[#This Row],[Date of Update]]
)))</f>
        <v>110</v>
      </c>
      <c r="G77" s="7" t="str">
        <f>IF(Table3[[#This Row],[Stage]]="Closed",Table3[[#This Row],[Date of Update]]-(_xlfn.MINIFS(Table3[Date of Update],Table3[Ref], Table3[[#This Row],[Ref]])),"")</f>
        <v/>
      </c>
    </row>
    <row r="78" spans="1:7" x14ac:dyDescent="0.25">
      <c r="A78" s="4" t="s">
        <v>65</v>
      </c>
      <c r="B78" s="5">
        <v>44706</v>
      </c>
      <c r="C78" s="6" t="s">
        <v>8</v>
      </c>
      <c r="D78" s="6" t="s">
        <v>9</v>
      </c>
      <c r="E78" s="6"/>
      <c r="F78" s="6" cm="1">
        <f t="array" aca="1" ref="F78" ca="1">IF(Table3[[#This Row],[Stage]]="Closed",0,IF(IFERROR(
  IF(
    COUNTIF(A$2:A$1997, A78) &gt; 1,
    MIN(IF(A$2:A$1997=A78, IF(B$2:B$1997&gt;B78, B$2:B$1997))) - B78,
    TODAY() - Table3[[#This Row],[Date of Update]]
  ),
  TODAY()-Table3[[#This Row],[Date of Update]]
)&lt;=0,
TODAY()-Table3[[#This Row],[Date of Update]],
IFERROR(
  IF(
    COUNTIF(A$2:A$1997, A78) &gt; 1,
    MIN(IF(A$2:A$1997=A78, IF(B$2:B$1997&gt;B78, B$2:B$1997))) - B78,
    TODAY() - Table3[[#This Row],[Date of Update]]
  ),
  TODAY()-Table3[[#This Row],[Date of Update]]
)))</f>
        <v>2</v>
      </c>
      <c r="G78" s="7" t="str">
        <f>IF(Table3[[#This Row],[Stage]]="Closed",Table3[[#This Row],[Date of Update]]-(_xlfn.MINIFS(Table3[Date of Update],Table3[Ref], Table3[[#This Row],[Ref]])),"")</f>
        <v/>
      </c>
    </row>
    <row r="79" spans="1:7" x14ac:dyDescent="0.25">
      <c r="A79" s="4" t="s">
        <v>66</v>
      </c>
      <c r="B79" s="5">
        <v>44706</v>
      </c>
      <c r="C79" s="6" t="s">
        <v>8</v>
      </c>
      <c r="D79" s="6" t="s">
        <v>9</v>
      </c>
      <c r="E79" s="6"/>
      <c r="F79" s="6" cm="1">
        <f t="array" aca="1" ref="F79" ca="1">IF(Table3[[#This Row],[Stage]]="Closed",0,IF(IFERROR(
  IF(
    COUNTIF(A$2:A$1997, A79) &gt; 1,
    MIN(IF(A$2:A$1997=A79, IF(B$2:B$1997&gt;B79, B$2:B$1997))) - B79,
    TODAY() - Table3[[#This Row],[Date of Update]]
  ),
  TODAY()-Table3[[#This Row],[Date of Update]]
)&lt;=0,
TODAY()-Table3[[#This Row],[Date of Update]],
IFERROR(
  IF(
    COUNTIF(A$2:A$1997, A79) &gt; 1,
    MIN(IF(A$2:A$1997=A79, IF(B$2:B$1997&gt;B79, B$2:B$1997))) - B79,
    TODAY() - Table3[[#This Row],[Date of Update]]
  ),
  TODAY()-Table3[[#This Row],[Date of Update]]
)))</f>
        <v>1260</v>
      </c>
      <c r="G79" s="7" t="str">
        <f>IF(Table3[[#This Row],[Stage]]="Closed",Table3[[#This Row],[Date of Update]]-(_xlfn.MINIFS(Table3[Date of Update],Table3[Ref], Table3[[#This Row],[Ref]])),"")</f>
        <v/>
      </c>
    </row>
    <row r="80" spans="1:7" x14ac:dyDescent="0.25">
      <c r="A80" s="4" t="s">
        <v>66</v>
      </c>
      <c r="B80" s="5">
        <v>44706</v>
      </c>
      <c r="C80" s="6" t="s">
        <v>17</v>
      </c>
      <c r="D80" s="6" t="s">
        <v>9</v>
      </c>
      <c r="E80" s="6"/>
      <c r="F80" s="6" cm="1">
        <f t="array" aca="1" ref="F80" ca="1">IF(Table3[[#This Row],[Stage]]="Closed",0,IF(IFERROR(
  IF(
    COUNTIF(A$2:A$1997, A80) &gt; 1,
    MIN(IF(A$2:A$1997=A80, IF(B$2:B$1997&gt;B80, B$2:B$1997))) - B80,
    TODAY() - Table3[[#This Row],[Date of Update]]
  ),
  TODAY()-Table3[[#This Row],[Date of Update]]
)&lt;=0,
TODAY()-Table3[[#This Row],[Date of Update]],
IFERROR(
  IF(
    COUNTIF(A$2:A$1997, A80) &gt; 1,
    MIN(IF(A$2:A$1997=A80, IF(B$2:B$1997&gt;B80, B$2:B$1997))) - B80,
    TODAY() - Table3[[#This Row],[Date of Update]]
  ),
  TODAY()-Table3[[#This Row],[Date of Update]]
)))</f>
        <v>0</v>
      </c>
      <c r="G80" s="7">
        <f>IF(Table3[[#This Row],[Stage]]="Closed",Table3[[#This Row],[Date of Update]]-(_xlfn.MINIFS(Table3[Date of Update],Table3[Ref], Table3[[#This Row],[Ref]])),"")</f>
        <v>0</v>
      </c>
    </row>
    <row r="81" spans="1:7" x14ac:dyDescent="0.25">
      <c r="A81" s="4" t="s">
        <v>67</v>
      </c>
      <c r="B81" s="5">
        <v>44706</v>
      </c>
      <c r="C81" s="6" t="s">
        <v>8</v>
      </c>
      <c r="D81" s="6" t="s">
        <v>9</v>
      </c>
      <c r="E81" s="6" t="s">
        <v>58</v>
      </c>
      <c r="F81" s="6" cm="1">
        <f t="array" aca="1" ref="F81" ca="1">IF(Table3[[#This Row],[Stage]]="Closed",0,IF(IFERROR(
  IF(
    COUNTIF(A$2:A$1997, A81) &gt; 1,
    MIN(IF(A$2:A$1997=A81, IF(B$2:B$1997&gt;B81, B$2:B$1997))) - B81,
    TODAY() - Table3[[#This Row],[Date of Update]]
  ),
  TODAY()-Table3[[#This Row],[Date of Update]]
)&lt;=0,
TODAY()-Table3[[#This Row],[Date of Update]],
IFERROR(
  IF(
    COUNTIF(A$2:A$1997, A81) &gt; 1,
    MIN(IF(A$2:A$1997=A81, IF(B$2:B$1997&gt;B81, B$2:B$1997))) - B81,
    TODAY() - Table3[[#This Row],[Date of Update]]
  ),
  TODAY()-Table3[[#This Row],[Date of Update]]
)))</f>
        <v>110</v>
      </c>
      <c r="G81" s="7" t="str">
        <f>IF(Table3[[#This Row],[Stage]]="Closed",Table3[[#This Row],[Date of Update]]-(_xlfn.MINIFS(Table3[Date of Update],Table3[Ref], Table3[[#This Row],[Ref]])),"")</f>
        <v/>
      </c>
    </row>
    <row r="82" spans="1:7" x14ac:dyDescent="0.25">
      <c r="A82" s="4" t="s">
        <v>61</v>
      </c>
      <c r="B82" s="5">
        <v>44707</v>
      </c>
      <c r="C82" s="6" t="s">
        <v>17</v>
      </c>
      <c r="D82" s="6" t="s">
        <v>9</v>
      </c>
      <c r="E82" s="6"/>
      <c r="F82" s="6" cm="1">
        <f t="array" aca="1" ref="F82" ca="1">IF(Table3[[#This Row],[Stage]]="Closed",0,IF(IFERROR(
  IF(
    COUNTIF(A$2:A$1997, A82) &gt; 1,
    MIN(IF(A$2:A$1997=A82, IF(B$2:B$1997&gt;B82, B$2:B$1997))) - B82,
    TODAY() - Table3[[#This Row],[Date of Update]]
  ),
  TODAY()-Table3[[#This Row],[Date of Update]]
)&lt;=0,
TODAY()-Table3[[#This Row],[Date of Update]],
IFERROR(
  IF(
    COUNTIF(A$2:A$1997, A82) &gt; 1,
    MIN(IF(A$2:A$1997=A82, IF(B$2:B$1997&gt;B82, B$2:B$1997))) - B82,
    TODAY() - Table3[[#This Row],[Date of Update]]
  ),
  TODAY()-Table3[[#This Row],[Date of Update]]
)))</f>
        <v>0</v>
      </c>
      <c r="G82" s="7">
        <f>IF(Table3[[#This Row],[Stage]]="Closed",Table3[[#This Row],[Date of Update]]-(_xlfn.MINIFS(Table3[Date of Update],Table3[Ref], Table3[[#This Row],[Ref]])),"")</f>
        <v>9</v>
      </c>
    </row>
    <row r="83" spans="1:7" x14ac:dyDescent="0.25">
      <c r="A83" s="4" t="s">
        <v>30</v>
      </c>
      <c r="B83" s="5">
        <v>44708</v>
      </c>
      <c r="C83" s="6" t="s">
        <v>17</v>
      </c>
      <c r="D83" s="6" t="s">
        <v>9</v>
      </c>
      <c r="E83" s="6"/>
      <c r="F83" s="6" cm="1">
        <f t="array" aca="1" ref="F83" ca="1">IF(Table3[[#This Row],[Stage]]="Closed",0,IF(IFERROR(
  IF(
    COUNTIF(A$2:A$1997, A83) &gt; 1,
    MIN(IF(A$2:A$1997=A83, IF(B$2:B$1997&gt;B83, B$2:B$1997))) - B83,
    TODAY() - Table3[[#This Row],[Date of Update]]
  ),
  TODAY()-Table3[[#This Row],[Date of Update]]
)&lt;=0,
TODAY()-Table3[[#This Row],[Date of Update]],
IFERROR(
  IF(
    COUNTIF(A$2:A$1997, A83) &gt; 1,
    MIN(IF(A$2:A$1997=A83, IF(B$2:B$1997&gt;B83, B$2:B$1997))) - B83,
    TODAY() - Table3[[#This Row],[Date of Update]]
  ),
  TODAY()-Table3[[#This Row],[Date of Update]]
)))</f>
        <v>0</v>
      </c>
      <c r="G83" s="7">
        <f>IF(Table3[[#This Row],[Stage]]="Closed",Table3[[#This Row],[Date of Update]]-(_xlfn.MINIFS(Table3[Date of Update],Table3[Ref], Table3[[#This Row],[Ref]])),"")</f>
        <v>67</v>
      </c>
    </row>
    <row r="84" spans="1:7" x14ac:dyDescent="0.25">
      <c r="A84" s="4" t="s">
        <v>68</v>
      </c>
      <c r="B84" s="5">
        <v>44708</v>
      </c>
      <c r="C84" s="6" t="s">
        <v>8</v>
      </c>
      <c r="D84" s="6" t="s">
        <v>9</v>
      </c>
      <c r="E84" s="6"/>
      <c r="F84" s="6" cm="1">
        <f t="array" aca="1" ref="F84" ca="1">IF(Table3[[#This Row],[Stage]]="Closed",0,IF(IFERROR(
  IF(
    COUNTIF(A$2:A$1997, A84) &gt; 1,
    MIN(IF(A$2:A$1997=A84, IF(B$2:B$1997&gt;B84, B$2:B$1997))) - B84,
    TODAY() - Table3[[#This Row],[Date of Update]]
  ),
  TODAY()-Table3[[#This Row],[Date of Update]]
)&lt;=0,
TODAY()-Table3[[#This Row],[Date of Update]],
IFERROR(
  IF(
    COUNTIF(A$2:A$1997, A84) &gt; 1,
    MIN(IF(A$2:A$1997=A84, IF(B$2:B$1997&gt;B84, B$2:B$1997))) - B84,
    TODAY() - Table3[[#This Row],[Date of Update]]
  ),
  TODAY()-Table3[[#This Row],[Date of Update]]
)))</f>
        <v>39</v>
      </c>
      <c r="G84" s="7" t="str">
        <f>IF(Table3[[#This Row],[Stage]]="Closed",Table3[[#This Row],[Date of Update]]-(_xlfn.MINIFS(Table3[Date of Update],Table3[Ref], Table3[[#This Row],[Ref]])),"")</f>
        <v/>
      </c>
    </row>
    <row r="85" spans="1:7" x14ac:dyDescent="0.25">
      <c r="A85" s="4" t="s">
        <v>65</v>
      </c>
      <c r="B85" s="5">
        <v>44708</v>
      </c>
      <c r="C85" s="6" t="s">
        <v>17</v>
      </c>
      <c r="D85" s="6" t="s">
        <v>9</v>
      </c>
      <c r="E85" s="6"/>
      <c r="F85" s="6" cm="1">
        <f t="array" aca="1" ref="F85" ca="1">IF(Table3[[#This Row],[Stage]]="Closed",0,IF(IFERROR(
  IF(
    COUNTIF(A$2:A$1997, A85) &gt; 1,
    MIN(IF(A$2:A$1997=A85, IF(B$2:B$1997&gt;B85, B$2:B$1997))) - B85,
    TODAY() - Table3[[#This Row],[Date of Update]]
  ),
  TODAY()-Table3[[#This Row],[Date of Update]]
)&lt;=0,
TODAY()-Table3[[#This Row],[Date of Update]],
IFERROR(
  IF(
    COUNTIF(A$2:A$1997, A85) &gt; 1,
    MIN(IF(A$2:A$1997=A85, IF(B$2:B$1997&gt;B85, B$2:B$1997))) - B85,
    TODAY() - Table3[[#This Row],[Date of Update]]
  ),
  TODAY()-Table3[[#This Row],[Date of Update]]
)))</f>
        <v>0</v>
      </c>
      <c r="G85" s="7">
        <f>IF(Table3[[#This Row],[Stage]]="Closed",Table3[[#This Row],[Date of Update]]-(_xlfn.MINIFS(Table3[Date of Update],Table3[Ref], Table3[[#This Row],[Ref]])),"")</f>
        <v>2</v>
      </c>
    </row>
    <row r="86" spans="1:7" x14ac:dyDescent="0.25">
      <c r="A86" s="4" t="s">
        <v>63</v>
      </c>
      <c r="B86" s="5">
        <v>44709</v>
      </c>
      <c r="C86" s="6" t="s">
        <v>17</v>
      </c>
      <c r="D86" s="6" t="s">
        <v>9</v>
      </c>
      <c r="E86" s="6"/>
      <c r="F86" s="6" cm="1">
        <f t="array" aca="1" ref="F86" ca="1">IF(Table3[[#This Row],[Stage]]="Closed",0,IF(IFERROR(
  IF(
    COUNTIF(A$2:A$1997, A86) &gt; 1,
    MIN(IF(A$2:A$1997=A86, IF(B$2:B$1997&gt;B86, B$2:B$1997))) - B86,
    TODAY() - Table3[[#This Row],[Date of Update]]
  ),
  TODAY()-Table3[[#This Row],[Date of Update]]
)&lt;=0,
TODAY()-Table3[[#This Row],[Date of Update]],
IFERROR(
  IF(
    COUNTIF(A$2:A$1997, A86) &gt; 1,
    MIN(IF(A$2:A$1997=A86, IF(B$2:B$1997&gt;B86, B$2:B$1997))) - B86,
    TODAY() - Table3[[#This Row],[Date of Update]]
  ),
  TODAY()-Table3[[#This Row],[Date of Update]]
)))</f>
        <v>0</v>
      </c>
      <c r="G86" s="7">
        <f>IF(Table3[[#This Row],[Stage]]="Closed",Table3[[#This Row],[Date of Update]]-(_xlfn.MINIFS(Table3[Date of Update],Table3[Ref], Table3[[#This Row],[Ref]])),"")</f>
        <v>8</v>
      </c>
    </row>
    <row r="87" spans="1:7" x14ac:dyDescent="0.25">
      <c r="A87" s="4" t="s">
        <v>69</v>
      </c>
      <c r="B87" s="5">
        <v>44711</v>
      </c>
      <c r="C87" s="6" t="s">
        <v>8</v>
      </c>
      <c r="D87" s="6" t="s">
        <v>9</v>
      </c>
      <c r="E87" s="6"/>
      <c r="F87" s="6" cm="1">
        <f t="array" aca="1" ref="F87" ca="1">IF(Table3[[#This Row],[Stage]]="Closed",0,IF(IFERROR(
  IF(
    COUNTIF(A$2:A$1997, A87) &gt; 1,
    MIN(IF(A$2:A$1997=A87, IF(B$2:B$1997&gt;B87, B$2:B$1997))) - B87,
    TODAY() - Table3[[#This Row],[Date of Update]]
  ),
  TODAY()-Table3[[#This Row],[Date of Update]]
)&lt;=0,
TODAY()-Table3[[#This Row],[Date of Update]],
IFERROR(
  IF(
    COUNTIF(A$2:A$1997, A87) &gt; 1,
    MIN(IF(A$2:A$1997=A87, IF(B$2:B$1997&gt;B87, B$2:B$1997))) - B87,
    TODAY() - Table3[[#This Row],[Date of Update]]
  ),
  TODAY()-Table3[[#This Row],[Date of Update]]
)))</f>
        <v>95</v>
      </c>
      <c r="G87" s="7" t="str">
        <f>IF(Table3[[#This Row],[Stage]]="Closed",Table3[[#This Row],[Date of Update]]-(_xlfn.MINIFS(Table3[Date of Update],Table3[Ref], Table3[[#This Row],[Ref]])),"")</f>
        <v/>
      </c>
    </row>
    <row r="88" spans="1:7" x14ac:dyDescent="0.25">
      <c r="A88" s="4" t="s">
        <v>70</v>
      </c>
      <c r="B88" s="5">
        <v>44711</v>
      </c>
      <c r="C88" s="6" t="s">
        <v>8</v>
      </c>
      <c r="D88" s="6" t="s">
        <v>9</v>
      </c>
      <c r="E88" s="6"/>
      <c r="F88" s="6" cm="1">
        <f t="array" aca="1" ref="F88" ca="1">IF(Table3[[#This Row],[Stage]]="Closed",0,IF(IFERROR(
  IF(
    COUNTIF(A$2:A$1997, A88) &gt; 1,
    MIN(IF(A$2:A$1997=A88, IF(B$2:B$1997&gt;B88, B$2:B$1997))) - B88,
    TODAY() - Table3[[#This Row],[Date of Update]]
  ),
  TODAY()-Table3[[#This Row],[Date of Update]]
)&lt;=0,
TODAY()-Table3[[#This Row],[Date of Update]],
IFERROR(
  IF(
    COUNTIF(A$2:A$1997, A88) &gt; 1,
    MIN(IF(A$2:A$1997=A88, IF(B$2:B$1997&gt;B88, B$2:B$1997))) - B88,
    TODAY() - Table3[[#This Row],[Date of Update]]
  ),
  TODAY()-Table3[[#This Row],[Date of Update]]
)))</f>
        <v>14</v>
      </c>
      <c r="G88" s="7" t="str">
        <f>IF(Table3[[#This Row],[Stage]]="Closed",Table3[[#This Row],[Date of Update]]-(_xlfn.MINIFS(Table3[Date of Update],Table3[Ref], Table3[[#This Row],[Ref]])),"")</f>
        <v/>
      </c>
    </row>
    <row r="89" spans="1:7" x14ac:dyDescent="0.25">
      <c r="A89" s="4" t="s">
        <v>71</v>
      </c>
      <c r="B89" s="5">
        <v>44711</v>
      </c>
      <c r="C89" s="6" t="s">
        <v>8</v>
      </c>
      <c r="D89" s="6" t="s">
        <v>9</v>
      </c>
      <c r="E89" s="6"/>
      <c r="F89" s="6" cm="1">
        <f t="array" aca="1" ref="F89" ca="1">IF(Table3[[#This Row],[Stage]]="Closed",0,IF(IFERROR(
  IF(
    COUNTIF(A$2:A$1997, A89) &gt; 1,
    MIN(IF(A$2:A$1997=A89, IF(B$2:B$1997&gt;B89, B$2:B$1997))) - B89,
    TODAY() - Table3[[#This Row],[Date of Update]]
  ),
  TODAY()-Table3[[#This Row],[Date of Update]]
)&lt;=0,
TODAY()-Table3[[#This Row],[Date of Update]],
IFERROR(
  IF(
    COUNTIF(A$2:A$1997, A89) &gt; 1,
    MIN(IF(A$2:A$1997=A89, IF(B$2:B$1997&gt;B89, B$2:B$1997))) - B89,
    TODAY() - Table3[[#This Row],[Date of Update]]
  ),
  TODAY()-Table3[[#This Row],[Date of Update]]
)))</f>
        <v>14</v>
      </c>
      <c r="G89" s="7" t="str">
        <f>IF(Table3[[#This Row],[Stage]]="Closed",Table3[[#This Row],[Date of Update]]-(_xlfn.MINIFS(Table3[Date of Update],Table3[Ref], Table3[[#This Row],[Ref]])),"")</f>
        <v/>
      </c>
    </row>
    <row r="90" spans="1:7" x14ac:dyDescent="0.25">
      <c r="A90" s="4" t="s">
        <v>62</v>
      </c>
      <c r="B90" s="5">
        <v>44712</v>
      </c>
      <c r="C90" s="6" t="s">
        <v>17</v>
      </c>
      <c r="D90" s="6" t="s">
        <v>9</v>
      </c>
      <c r="E90" s="6"/>
      <c r="F90" s="6" cm="1">
        <f t="array" aca="1" ref="F90" ca="1">IF(Table3[[#This Row],[Stage]]="Closed",0,IF(IFERROR(
  IF(
    COUNTIF(A$2:A$1997, A90) &gt; 1,
    MIN(IF(A$2:A$1997=A90, IF(B$2:B$1997&gt;B90, B$2:B$1997))) - B90,
    TODAY() - Table3[[#This Row],[Date of Update]]
  ),
  TODAY()-Table3[[#This Row],[Date of Update]]
)&lt;=0,
TODAY()-Table3[[#This Row],[Date of Update]],
IFERROR(
  IF(
    COUNTIF(A$2:A$1997, A90) &gt; 1,
    MIN(IF(A$2:A$1997=A90, IF(B$2:B$1997&gt;B90, B$2:B$1997))) - B90,
    TODAY() - Table3[[#This Row],[Date of Update]]
  ),
  TODAY()-Table3[[#This Row],[Date of Update]]
)))</f>
        <v>0</v>
      </c>
      <c r="G90" s="7">
        <f>IF(Table3[[#This Row],[Stage]]="Closed",Table3[[#This Row],[Date of Update]]-(_xlfn.MINIFS(Table3[Date of Update],Table3[Ref], Table3[[#This Row],[Ref]])),"")</f>
        <v>14</v>
      </c>
    </row>
    <row r="91" spans="1:7" x14ac:dyDescent="0.25">
      <c r="A91" s="4" t="s">
        <v>52</v>
      </c>
      <c r="B91" s="5">
        <v>44718</v>
      </c>
      <c r="C91" s="6" t="s">
        <v>17</v>
      </c>
      <c r="D91" s="6" t="s">
        <v>9</v>
      </c>
      <c r="E91" s="6"/>
      <c r="F91" s="6" cm="1">
        <f t="array" aca="1" ref="F91" ca="1">IF(Table3[[#This Row],[Stage]]="Closed",0,IF(IFERROR(
  IF(
    COUNTIF(A$2:A$1997, A91) &gt; 1,
    MIN(IF(A$2:A$1997=A91, IF(B$2:B$1997&gt;B91, B$2:B$1997))) - B91,
    TODAY() - Table3[[#This Row],[Date of Update]]
  ),
  TODAY()-Table3[[#This Row],[Date of Update]]
)&lt;=0,
TODAY()-Table3[[#This Row],[Date of Update]],
IFERROR(
  IF(
    COUNTIF(A$2:A$1997, A91) &gt; 1,
    MIN(IF(A$2:A$1997=A91, IF(B$2:B$1997&gt;B91, B$2:B$1997))) - B91,
    TODAY() - Table3[[#This Row],[Date of Update]]
  ),
  TODAY()-Table3[[#This Row],[Date of Update]]
)))</f>
        <v>0</v>
      </c>
      <c r="G91" s="7">
        <f>IF(Table3[[#This Row],[Stage]]="Closed",Table3[[#This Row],[Date of Update]]-(_xlfn.MINIFS(Table3[Date of Update],Table3[Ref], Table3[[#This Row],[Ref]])),"")</f>
        <v>48</v>
      </c>
    </row>
    <row r="92" spans="1:7" x14ac:dyDescent="0.25">
      <c r="A92" s="4" t="s">
        <v>72</v>
      </c>
      <c r="B92" s="5">
        <v>44718</v>
      </c>
      <c r="C92" s="6" t="s">
        <v>8</v>
      </c>
      <c r="D92" s="6" t="s">
        <v>9</v>
      </c>
      <c r="E92" s="6"/>
      <c r="F92" s="6" cm="1">
        <f t="array" aca="1" ref="F92" ca="1">IF(Table3[[#This Row],[Stage]]="Closed",0,IF(IFERROR(
  IF(
    COUNTIF(A$2:A$1997, A92) &gt; 1,
    MIN(IF(A$2:A$1997=A92, IF(B$2:B$1997&gt;B92, B$2:B$1997))) - B92,
    TODAY() - Table3[[#This Row],[Date of Update]]
  ),
  TODAY()-Table3[[#This Row],[Date of Update]]
)&lt;=0,
TODAY()-Table3[[#This Row],[Date of Update]],
IFERROR(
  IF(
    COUNTIF(A$2:A$1997, A92) &gt; 1,
    MIN(IF(A$2:A$1997=A92, IF(B$2:B$1997&gt;B92, B$2:B$1997))) - B92,
    TODAY() - Table3[[#This Row],[Date of Update]]
  ),
  TODAY()-Table3[[#This Row],[Date of Update]]
)))</f>
        <v>49</v>
      </c>
      <c r="G92" s="7" t="str">
        <f>IF(Table3[[#This Row],[Stage]]="Closed",Table3[[#This Row],[Date of Update]]-(_xlfn.MINIFS(Table3[Date of Update],Table3[Ref], Table3[[#This Row],[Ref]])),"")</f>
        <v/>
      </c>
    </row>
    <row r="93" spans="1:7" x14ac:dyDescent="0.25">
      <c r="A93" s="4" t="s">
        <v>51</v>
      </c>
      <c r="B93" s="5">
        <v>44719</v>
      </c>
      <c r="C93" s="6" t="s">
        <v>17</v>
      </c>
      <c r="D93" s="6" t="s">
        <v>9</v>
      </c>
      <c r="E93" s="6"/>
      <c r="F93" s="6" cm="1">
        <f t="array" aca="1" ref="F93" ca="1">IF(Table3[[#This Row],[Stage]]="Closed",0,IF(IFERROR(
  IF(
    COUNTIF(A$2:A$1997, A93) &gt; 1,
    MIN(IF(A$2:A$1997=A93, IF(B$2:B$1997&gt;B93, B$2:B$1997))) - B93,
    TODAY() - Table3[[#This Row],[Date of Update]]
  ),
  TODAY()-Table3[[#This Row],[Date of Update]]
)&lt;=0,
TODAY()-Table3[[#This Row],[Date of Update]],
IFERROR(
  IF(
    COUNTIF(A$2:A$1997, A93) &gt; 1,
    MIN(IF(A$2:A$1997=A93, IF(B$2:B$1997&gt;B93, B$2:B$1997))) - B93,
    TODAY() - Table3[[#This Row],[Date of Update]]
  ),
  TODAY()-Table3[[#This Row],[Date of Update]]
)))</f>
        <v>0</v>
      </c>
      <c r="G93" s="7">
        <f>IF(Table3[[#This Row],[Stage]]="Closed",Table3[[#This Row],[Date of Update]]-(_xlfn.MINIFS(Table3[Date of Update],Table3[Ref], Table3[[#This Row],[Ref]])),"")</f>
        <v>49</v>
      </c>
    </row>
    <row r="94" spans="1:7" x14ac:dyDescent="0.25">
      <c r="A94" s="4" t="s">
        <v>73</v>
      </c>
      <c r="B94" s="5">
        <v>44720</v>
      </c>
      <c r="C94" s="6" t="s">
        <v>8</v>
      </c>
      <c r="D94" s="6" t="s">
        <v>9</v>
      </c>
      <c r="E94" s="6" t="s">
        <v>74</v>
      </c>
      <c r="F94" s="6" cm="1">
        <f t="array" aca="1" ref="F94" ca="1">IF(Table3[[#This Row],[Stage]]="Closed",0,IF(IFERROR(
  IF(
    COUNTIF(A$2:A$1997, A94) &gt; 1,
    MIN(IF(A$2:A$1997=A94, IF(B$2:B$1997&gt;B94, B$2:B$1997))) - B94,
    TODAY() - Table3[[#This Row],[Date of Update]]
  ),
  TODAY()-Table3[[#This Row],[Date of Update]]
)&lt;=0,
TODAY()-Table3[[#This Row],[Date of Update]],
IFERROR(
  IF(
    COUNTIF(A$2:A$1997, A94) &gt; 1,
    MIN(IF(A$2:A$1997=A94, IF(B$2:B$1997&gt;B94, B$2:B$1997))) - B94,
    TODAY() - Table3[[#This Row],[Date of Update]]
  ),
  TODAY()-Table3[[#This Row],[Date of Update]]
)))</f>
        <v>98</v>
      </c>
      <c r="G94" s="7" t="str">
        <f>IF(Table3[[#This Row],[Stage]]="Closed",Table3[[#This Row],[Date of Update]]-(_xlfn.MINIFS(Table3[Date of Update],Table3[Ref], Table3[[#This Row],[Ref]])),"")</f>
        <v/>
      </c>
    </row>
    <row r="95" spans="1:7" x14ac:dyDescent="0.25">
      <c r="A95" s="4" t="s">
        <v>53</v>
      </c>
      <c r="B95" s="5">
        <v>44720</v>
      </c>
      <c r="C95" s="6" t="s">
        <v>17</v>
      </c>
      <c r="D95" s="6" t="s">
        <v>9</v>
      </c>
      <c r="E95" s="6"/>
      <c r="F95" s="6" cm="1">
        <f t="array" aca="1" ref="F95" ca="1">IF(Table3[[#This Row],[Stage]]="Closed",0,IF(IFERROR(
  IF(
    COUNTIF(A$2:A$1997, A95) &gt; 1,
    MIN(IF(A$2:A$1997=A95, IF(B$2:B$1997&gt;B95, B$2:B$1997))) - B95,
    TODAY() - Table3[[#This Row],[Date of Update]]
  ),
  TODAY()-Table3[[#This Row],[Date of Update]]
)&lt;=0,
TODAY()-Table3[[#This Row],[Date of Update]],
IFERROR(
  IF(
    COUNTIF(A$2:A$1997, A95) &gt; 1,
    MIN(IF(A$2:A$1997=A95, IF(B$2:B$1997&gt;B95, B$2:B$1997))) - B95,
    TODAY() - Table3[[#This Row],[Date of Update]]
  ),
  TODAY()-Table3[[#This Row],[Date of Update]]
)))</f>
        <v>0</v>
      </c>
      <c r="G95" s="7">
        <f>IF(Table3[[#This Row],[Stage]]="Closed",Table3[[#This Row],[Date of Update]]-(_xlfn.MINIFS(Table3[Date of Update],Table3[Ref], Table3[[#This Row],[Ref]])),"")</f>
        <v>50</v>
      </c>
    </row>
    <row r="96" spans="1:7" x14ac:dyDescent="0.25">
      <c r="A96" s="4" t="s">
        <v>75</v>
      </c>
      <c r="B96" s="5">
        <v>44720</v>
      </c>
      <c r="C96" s="6" t="s">
        <v>8</v>
      </c>
      <c r="D96" s="6" t="s">
        <v>9</v>
      </c>
      <c r="E96" s="6"/>
      <c r="F96" s="6" cm="1">
        <f t="array" aca="1" ref="F96" ca="1">IF(Table3[[#This Row],[Stage]]="Closed",0,IF(IFERROR(
  IF(
    COUNTIF(A$2:A$1997, A96) &gt; 1,
    MIN(IF(A$2:A$1997=A96, IF(B$2:B$1997&gt;B96, B$2:B$1997))) - B96,
    TODAY() - Table3[[#This Row],[Date of Update]]
  ),
  TODAY()-Table3[[#This Row],[Date of Update]]
)&lt;=0,
TODAY()-Table3[[#This Row],[Date of Update]],
IFERROR(
  IF(
    COUNTIF(A$2:A$1997, A96) &gt; 1,
    MIN(IF(A$2:A$1997=A96, IF(B$2:B$1997&gt;B96, B$2:B$1997))) - B96,
    TODAY() - Table3[[#This Row],[Date of Update]]
  ),
  TODAY()-Table3[[#This Row],[Date of Update]]
)))</f>
        <v>98</v>
      </c>
      <c r="G96" s="7" t="str">
        <f>IF(Table3[[#This Row],[Stage]]="Closed",Table3[[#This Row],[Date of Update]]-(_xlfn.MINIFS(Table3[Date of Update],Table3[Ref], Table3[[#This Row],[Ref]])),"")</f>
        <v/>
      </c>
    </row>
    <row r="97" spans="1:7" x14ac:dyDescent="0.25">
      <c r="A97" s="4" t="s">
        <v>76</v>
      </c>
      <c r="B97" s="5">
        <v>44720</v>
      </c>
      <c r="C97" s="6" t="s">
        <v>8</v>
      </c>
      <c r="D97" s="6" t="s">
        <v>9</v>
      </c>
      <c r="E97" s="6" t="s">
        <v>77</v>
      </c>
      <c r="F97" s="6" cm="1">
        <f t="array" aca="1" ref="F97" ca="1">IF(Table3[[#This Row],[Stage]]="Closed",0,IF(IFERROR(
  IF(
    COUNTIF(A$2:A$1997, A97) &gt; 1,
    MIN(IF(A$2:A$1997=A97, IF(B$2:B$1997&gt;B97, B$2:B$1997))) - B97,
    TODAY() - Table3[[#This Row],[Date of Update]]
  ),
  TODAY()-Table3[[#This Row],[Date of Update]]
)&lt;=0,
TODAY()-Table3[[#This Row],[Date of Update]],
IFERROR(
  IF(
    COUNTIF(A$2:A$1997, A97) &gt; 1,
    MIN(IF(A$2:A$1997=A97, IF(B$2:B$1997&gt;B97, B$2:B$1997))) - B97,
    TODAY() - Table3[[#This Row],[Date of Update]]
  ),
  TODAY()-Table3[[#This Row],[Date of Update]]
)))</f>
        <v>30</v>
      </c>
      <c r="G97" s="7" t="str">
        <f>IF(Table3[[#This Row],[Stage]]="Closed",Table3[[#This Row],[Date of Update]]-(_xlfn.MINIFS(Table3[Date of Update],Table3[Ref], Table3[[#This Row],[Ref]])),"")</f>
        <v/>
      </c>
    </row>
    <row r="98" spans="1:7" x14ac:dyDescent="0.25">
      <c r="A98" s="4" t="s">
        <v>78</v>
      </c>
      <c r="B98" s="5">
        <v>44720</v>
      </c>
      <c r="C98" s="6" t="s">
        <v>8</v>
      </c>
      <c r="D98" s="6" t="s">
        <v>9</v>
      </c>
      <c r="E98" s="6" t="s">
        <v>58</v>
      </c>
      <c r="F98" s="6" cm="1">
        <f t="array" aca="1" ref="F98" ca="1">IF(Table3[[#This Row],[Stage]]="Closed",0,IF(IFERROR(
  IF(
    COUNTIF(A$2:A$1997, A98) &gt; 1,
    MIN(IF(A$2:A$1997=A98, IF(B$2:B$1997&gt;B98, B$2:B$1997))) - B98,
    TODAY() - Table3[[#This Row],[Date of Update]]
  ),
  TODAY()-Table3[[#This Row],[Date of Update]]
)&lt;=0,
TODAY()-Table3[[#This Row],[Date of Update]],
IFERROR(
  IF(
    COUNTIF(A$2:A$1997, A98) &gt; 1,
    MIN(IF(A$2:A$1997=A98, IF(B$2:B$1997&gt;B98, B$2:B$1997))) - B98,
    TODAY() - Table3[[#This Row],[Date of Update]]
  ),
  TODAY()-Table3[[#This Row],[Date of Update]]
)))</f>
        <v>96</v>
      </c>
      <c r="G98" s="7" t="str">
        <f>IF(Table3[[#This Row],[Stage]]="Closed",Table3[[#This Row],[Date of Update]]-(_xlfn.MINIFS(Table3[Date of Update],Table3[Ref], Table3[[#This Row],[Ref]])),"")</f>
        <v/>
      </c>
    </row>
    <row r="99" spans="1:7" x14ac:dyDescent="0.25">
      <c r="A99" s="4" t="s">
        <v>54</v>
      </c>
      <c r="B99" s="5">
        <v>44720</v>
      </c>
      <c r="C99" s="6" t="s">
        <v>17</v>
      </c>
      <c r="D99" s="6" t="s">
        <v>9</v>
      </c>
      <c r="E99" s="6"/>
      <c r="F99" s="6" cm="1">
        <f t="array" aca="1" ref="F99" ca="1">IF(Table3[[#This Row],[Stage]]="Closed",0,IF(IFERROR(
  IF(
    COUNTIF(A$2:A$1997, A99) &gt; 1,
    MIN(IF(A$2:A$1997=A99, IF(B$2:B$1997&gt;B99, B$2:B$1997))) - B99,
    TODAY() - Table3[[#This Row],[Date of Update]]
  ),
  TODAY()-Table3[[#This Row],[Date of Update]]
)&lt;=0,
TODAY()-Table3[[#This Row],[Date of Update]],
IFERROR(
  IF(
    COUNTIF(A$2:A$1997, A99) &gt; 1,
    MIN(IF(A$2:A$1997=A99, IF(B$2:B$1997&gt;B99, B$2:B$1997))) - B99,
    TODAY() - Table3[[#This Row],[Date of Update]]
  ),
  TODAY()-Table3[[#This Row],[Date of Update]]
)))</f>
        <v>0</v>
      </c>
      <c r="G99" s="7">
        <f>IF(Table3[[#This Row],[Stage]]="Closed",Table3[[#This Row],[Date of Update]]-(_xlfn.MINIFS(Table3[Date of Update],Table3[Ref], Table3[[#This Row],[Ref]])),"")</f>
        <v>33</v>
      </c>
    </row>
    <row r="100" spans="1:7" x14ac:dyDescent="0.25">
      <c r="A100" s="4" t="s">
        <v>55</v>
      </c>
      <c r="B100" s="5">
        <v>44722</v>
      </c>
      <c r="C100" s="6" t="s">
        <v>17</v>
      </c>
      <c r="D100" s="6" t="s">
        <v>9</v>
      </c>
      <c r="E100" s="6"/>
      <c r="F100" s="6" cm="1">
        <f t="array" aca="1" ref="F100" ca="1">IF(Table3[[#This Row],[Stage]]="Closed",0,IF(IFERROR(
  IF(
    COUNTIF(A$2:A$1997, A100) &gt; 1,
    MIN(IF(A$2:A$1997=A100, IF(B$2:B$1997&gt;B100, B$2:B$1997))) - B100,
    TODAY() - Table3[[#This Row],[Date of Update]]
  ),
  TODAY()-Table3[[#This Row],[Date of Update]]
)&lt;=0,
TODAY()-Table3[[#This Row],[Date of Update]],
IFERROR(
  IF(
    COUNTIF(A$2:A$1997, A100) &gt; 1,
    MIN(IF(A$2:A$1997=A100, IF(B$2:B$1997&gt;B100, B$2:B$1997))) - B100,
    TODAY() - Table3[[#This Row],[Date of Update]]
  ),
  TODAY()-Table3[[#This Row],[Date of Update]]
)))</f>
        <v>0</v>
      </c>
      <c r="G100" s="7">
        <f>IF(Table3[[#This Row],[Stage]]="Closed",Table3[[#This Row],[Date of Update]]-(_xlfn.MINIFS(Table3[Date of Update],Table3[Ref], Table3[[#This Row],[Ref]])),"")</f>
        <v>32</v>
      </c>
    </row>
    <row r="101" spans="1:7" x14ac:dyDescent="0.25">
      <c r="A101" s="4" t="s">
        <v>56</v>
      </c>
      <c r="B101" s="5">
        <v>44722</v>
      </c>
      <c r="C101" s="6" t="s">
        <v>17</v>
      </c>
      <c r="D101" s="6" t="s">
        <v>9</v>
      </c>
      <c r="E101" s="6"/>
      <c r="F101" s="6" cm="1">
        <f t="array" aca="1" ref="F101" ca="1">IF(Table3[[#This Row],[Stage]]="Closed",0,IF(IFERROR(
  IF(
    COUNTIF(A$2:A$1997, A101) &gt; 1,
    MIN(IF(A$2:A$1997=A101, IF(B$2:B$1997&gt;B101, B$2:B$1997))) - B101,
    TODAY() - Table3[[#This Row],[Date of Update]]
  ),
  TODAY()-Table3[[#This Row],[Date of Update]]
)&lt;=0,
TODAY()-Table3[[#This Row],[Date of Update]],
IFERROR(
  IF(
    COUNTIF(A$2:A$1997, A101) &gt; 1,
    MIN(IF(A$2:A$1997=A101, IF(B$2:B$1997&gt;B101, B$2:B$1997))) - B101,
    TODAY() - Table3[[#This Row],[Date of Update]]
  ),
  TODAY()-Table3[[#This Row],[Date of Update]]
)))</f>
        <v>0</v>
      </c>
      <c r="G101" s="7">
        <f>IF(Table3[[#This Row],[Stage]]="Closed",Table3[[#This Row],[Date of Update]]-(_xlfn.MINIFS(Table3[Date of Update],Table3[Ref], Table3[[#This Row],[Ref]])),"")</f>
        <v>32</v>
      </c>
    </row>
    <row r="102" spans="1:7" x14ac:dyDescent="0.25">
      <c r="A102" s="4" t="s">
        <v>60</v>
      </c>
      <c r="B102" s="5">
        <v>44722</v>
      </c>
      <c r="C102" s="6" t="s">
        <v>17</v>
      </c>
      <c r="D102" s="6" t="s">
        <v>9</v>
      </c>
      <c r="E102" s="6"/>
      <c r="F102" s="6" cm="1">
        <f t="array" aca="1" ref="F102" ca="1">IF(Table3[[#This Row],[Stage]]="Closed",0,IF(IFERROR(
  IF(
    COUNTIF(A$2:A$1997, A102) &gt; 1,
    MIN(IF(A$2:A$1997=A102, IF(B$2:B$1997&gt;B102, B$2:B$1997))) - B102,
    TODAY() - Table3[[#This Row],[Date of Update]]
  ),
  TODAY()-Table3[[#This Row],[Date of Update]]
)&lt;=0,
TODAY()-Table3[[#This Row],[Date of Update]],
IFERROR(
  IF(
    COUNTIF(A$2:A$1997, A102) &gt; 1,
    MIN(IF(A$2:A$1997=A102, IF(B$2:B$1997&gt;B102, B$2:B$1997))) - B102,
    TODAY() - Table3[[#This Row],[Date of Update]]
  ),
  TODAY()-Table3[[#This Row],[Date of Update]]
)))</f>
        <v>0</v>
      </c>
      <c r="G102" s="7">
        <f>IF(Table3[[#This Row],[Stage]]="Closed",Table3[[#This Row],[Date of Update]]-(_xlfn.MINIFS(Table3[Date of Update],Table3[Ref], Table3[[#This Row],[Ref]])),"")</f>
        <v>28</v>
      </c>
    </row>
    <row r="103" spans="1:7" x14ac:dyDescent="0.25">
      <c r="A103" s="4" t="s">
        <v>70</v>
      </c>
      <c r="B103" s="5">
        <v>44725</v>
      </c>
      <c r="C103" s="6" t="s">
        <v>17</v>
      </c>
      <c r="D103" s="6" t="s">
        <v>9</v>
      </c>
      <c r="E103" s="6"/>
      <c r="F103" s="6" cm="1">
        <f t="array" aca="1" ref="F103" ca="1">IF(Table3[[#This Row],[Stage]]="Closed",0,IF(IFERROR(
  IF(
    COUNTIF(A$2:A$1997, A103) &gt; 1,
    MIN(IF(A$2:A$1997=A103, IF(B$2:B$1997&gt;B103, B$2:B$1997))) - B103,
    TODAY() - Table3[[#This Row],[Date of Update]]
  ),
  TODAY()-Table3[[#This Row],[Date of Update]]
)&lt;=0,
TODAY()-Table3[[#This Row],[Date of Update]],
IFERROR(
  IF(
    COUNTIF(A$2:A$1997, A103) &gt; 1,
    MIN(IF(A$2:A$1997=A103, IF(B$2:B$1997&gt;B103, B$2:B$1997))) - B103,
    TODAY() - Table3[[#This Row],[Date of Update]]
  ),
  TODAY()-Table3[[#This Row],[Date of Update]]
)))</f>
        <v>0</v>
      </c>
      <c r="G103" s="7">
        <f>IF(Table3[[#This Row],[Stage]]="Closed",Table3[[#This Row],[Date of Update]]-(_xlfn.MINIFS(Table3[Date of Update],Table3[Ref], Table3[[#This Row],[Ref]])),"")</f>
        <v>14</v>
      </c>
    </row>
    <row r="104" spans="1:7" x14ac:dyDescent="0.25">
      <c r="A104" s="4" t="s">
        <v>71</v>
      </c>
      <c r="B104" s="5">
        <v>44725</v>
      </c>
      <c r="C104" s="6" t="s">
        <v>17</v>
      </c>
      <c r="D104" s="6" t="s">
        <v>9</v>
      </c>
      <c r="E104" s="6"/>
      <c r="F104" s="6" cm="1">
        <f t="array" aca="1" ref="F104" ca="1">IF(Table3[[#This Row],[Stage]]="Closed",0,IF(IFERROR(
  IF(
    COUNTIF(A$2:A$1997, A104) &gt; 1,
    MIN(IF(A$2:A$1997=A104, IF(B$2:B$1997&gt;B104, B$2:B$1997))) - B104,
    TODAY() - Table3[[#This Row],[Date of Update]]
  ),
  TODAY()-Table3[[#This Row],[Date of Update]]
)&lt;=0,
TODAY()-Table3[[#This Row],[Date of Update]],
IFERROR(
  IF(
    COUNTIF(A$2:A$1997, A104) &gt; 1,
    MIN(IF(A$2:A$1997=A104, IF(B$2:B$1997&gt;B104, B$2:B$1997))) - B104,
    TODAY() - Table3[[#This Row],[Date of Update]]
  ),
  TODAY()-Table3[[#This Row],[Date of Update]]
)))</f>
        <v>0</v>
      </c>
      <c r="G104" s="7">
        <f>IF(Table3[[#This Row],[Stage]]="Closed",Table3[[#This Row],[Date of Update]]-(_xlfn.MINIFS(Table3[Date of Update],Table3[Ref], Table3[[#This Row],[Ref]])),"")</f>
        <v>14</v>
      </c>
    </row>
    <row r="105" spans="1:7" x14ac:dyDescent="0.25">
      <c r="A105" s="4" t="s">
        <v>79</v>
      </c>
      <c r="B105" s="5">
        <v>44726</v>
      </c>
      <c r="C105" s="6" t="s">
        <v>8</v>
      </c>
      <c r="D105" s="6" t="s">
        <v>9</v>
      </c>
      <c r="E105" s="6" t="s">
        <v>80</v>
      </c>
      <c r="F105" s="6" cm="1">
        <f t="array" aca="1" ref="F105" ca="1">IF(Table3[[#This Row],[Stage]]="Closed",0,IF(IFERROR(
  IF(
    COUNTIF(A$2:A$1997, A105) &gt; 1,
    MIN(IF(A$2:A$1997=A105, IF(B$2:B$1997&gt;B105, B$2:B$1997))) - B105,
    TODAY() - Table3[[#This Row],[Date of Update]]
  ),
  TODAY()-Table3[[#This Row],[Date of Update]]
)&lt;=0,
TODAY()-Table3[[#This Row],[Date of Update]],
IFERROR(
  IF(
    COUNTIF(A$2:A$1997, A105) &gt; 1,
    MIN(IF(A$2:A$1997=A105, IF(B$2:B$1997&gt;B105, B$2:B$1997))) - B105,
    TODAY() - Table3[[#This Row],[Date of Update]]
  ),
  TODAY()-Table3[[#This Row],[Date of Update]]
)))</f>
        <v>234</v>
      </c>
      <c r="G105" s="7" t="str">
        <f>IF(Table3[[#This Row],[Stage]]="Closed",Table3[[#This Row],[Date of Update]]-(_xlfn.MINIFS(Table3[Date of Update],Table3[Ref], Table3[[#This Row],[Ref]])),"")</f>
        <v/>
      </c>
    </row>
    <row r="106" spans="1:7" x14ac:dyDescent="0.25">
      <c r="A106" s="4" t="s">
        <v>81</v>
      </c>
      <c r="B106" s="5">
        <v>44728</v>
      </c>
      <c r="C106" s="6" t="s">
        <v>8</v>
      </c>
      <c r="D106" s="6" t="s">
        <v>9</v>
      </c>
      <c r="E106" s="6"/>
      <c r="F106" s="6" cm="1">
        <f t="array" aca="1" ref="F106" ca="1">IF(Table3[[#This Row],[Stage]]="Closed",0,IF(IFERROR(
  IF(
    COUNTIF(A$2:A$1997, A106) &gt; 1,
    MIN(IF(A$2:A$1997=A106, IF(B$2:B$1997&gt;B106, B$2:B$1997))) - B106,
    TODAY() - Table3[[#This Row],[Date of Update]]
  ),
  TODAY()-Table3[[#This Row],[Date of Update]]
)&lt;=0,
TODAY()-Table3[[#This Row],[Date of Update]],
IFERROR(
  IF(
    COUNTIF(A$2:A$1997, A106) &gt; 1,
    MIN(IF(A$2:A$1997=A106, IF(B$2:B$1997&gt;B106, B$2:B$1997))) - B106,
    TODAY() - Table3[[#This Row],[Date of Update]]
  ),
  TODAY()-Table3[[#This Row],[Date of Update]]
)))</f>
        <v>4</v>
      </c>
      <c r="G106" s="7" t="str">
        <f>IF(Table3[[#This Row],[Stage]]="Closed",Table3[[#This Row],[Date of Update]]-(_xlfn.MINIFS(Table3[Date of Update],Table3[Ref], Table3[[#This Row],[Ref]])),"")</f>
        <v/>
      </c>
    </row>
    <row r="107" spans="1:7" x14ac:dyDescent="0.25">
      <c r="A107" s="4" t="s">
        <v>82</v>
      </c>
      <c r="B107" s="5">
        <v>44729</v>
      </c>
      <c r="C107" s="6" t="s">
        <v>8</v>
      </c>
      <c r="D107" s="6" t="s">
        <v>9</v>
      </c>
      <c r="E107" s="6"/>
      <c r="F107" s="6" cm="1">
        <f t="array" aca="1" ref="F107" ca="1">IF(Table3[[#This Row],[Stage]]="Closed",0,IF(IFERROR(
  IF(
    COUNTIF(A$2:A$1997, A107) &gt; 1,
    MIN(IF(A$2:A$1997=A107, IF(B$2:B$1997&gt;B107, B$2:B$1997))) - B107,
    TODAY() - Table3[[#This Row],[Date of Update]]
  ),
  TODAY()-Table3[[#This Row],[Date of Update]]
)&lt;=0,
TODAY()-Table3[[#This Row],[Date of Update]],
IFERROR(
  IF(
    COUNTIF(A$2:A$1997, A107) &gt; 1,
    MIN(IF(A$2:A$1997=A107, IF(B$2:B$1997&gt;B107, B$2:B$1997))) - B107,
    TODAY() - Table3[[#This Row],[Date of Update]]
  ),
  TODAY()-Table3[[#This Row],[Date of Update]]
)))</f>
        <v>18</v>
      </c>
      <c r="G107" s="7" t="str">
        <f>IF(Table3[[#This Row],[Stage]]="Closed",Table3[[#This Row],[Date of Update]]-(_xlfn.MINIFS(Table3[Date of Update],Table3[Ref], Table3[[#This Row],[Ref]])),"")</f>
        <v/>
      </c>
    </row>
    <row r="108" spans="1:7" x14ac:dyDescent="0.25">
      <c r="A108" s="4" t="s">
        <v>83</v>
      </c>
      <c r="B108" s="5">
        <v>44729</v>
      </c>
      <c r="C108" s="6" t="s">
        <v>8</v>
      </c>
      <c r="D108" s="6" t="s">
        <v>9</v>
      </c>
      <c r="E108" s="6" t="s">
        <v>84</v>
      </c>
      <c r="F108" s="6" cm="1">
        <f t="array" aca="1" ref="F108" ca="1">IF(Table3[[#This Row],[Stage]]="Closed",0,IF(IFERROR(
  IF(
    COUNTIF(A$2:A$1997, A108) &gt; 1,
    MIN(IF(A$2:A$1997=A108, IF(B$2:B$1997&gt;B108, B$2:B$1997))) - B108,
    TODAY() - Table3[[#This Row],[Date of Update]]
  ),
  TODAY()-Table3[[#This Row],[Date of Update]]
)&lt;=0,
TODAY()-Table3[[#This Row],[Date of Update]],
IFERROR(
  IF(
    COUNTIF(A$2:A$1997, A108) &gt; 1,
    MIN(IF(A$2:A$1997=A108, IF(B$2:B$1997&gt;B108, B$2:B$1997))) - B108,
    TODAY() - Table3[[#This Row],[Date of Update]]
  ),
  TODAY()-Table3[[#This Row],[Date of Update]]
)))</f>
        <v>25</v>
      </c>
      <c r="G108" s="7" t="str">
        <f>IF(Table3[[#This Row],[Stage]]="Closed",Table3[[#This Row],[Date of Update]]-(_xlfn.MINIFS(Table3[Date of Update],Table3[Ref], Table3[[#This Row],[Ref]])),"")</f>
        <v/>
      </c>
    </row>
    <row r="109" spans="1:7" x14ac:dyDescent="0.25">
      <c r="A109" s="4" t="s">
        <v>85</v>
      </c>
      <c r="B109" s="5">
        <v>44729</v>
      </c>
      <c r="C109" s="6" t="s">
        <v>8</v>
      </c>
      <c r="D109" s="6" t="s">
        <v>9</v>
      </c>
      <c r="E109" s="6"/>
      <c r="F109" s="6" cm="1">
        <f t="array" aca="1" ref="F109" ca="1">IF(Table3[[#This Row],[Stage]]="Closed",0,IF(IFERROR(
  IF(
    COUNTIF(A$2:A$1997, A109) &gt; 1,
    MIN(IF(A$2:A$1997=A109, IF(B$2:B$1997&gt;B109, B$2:B$1997))) - B109,
    TODAY() - Table3[[#This Row],[Date of Update]]
  ),
  TODAY()-Table3[[#This Row],[Date of Update]]
)&lt;=0,
TODAY()-Table3[[#This Row],[Date of Update]],
IFERROR(
  IF(
    COUNTIF(A$2:A$1997, A109) &gt; 1,
    MIN(IF(A$2:A$1997=A109, IF(B$2:B$1997&gt;B109, B$2:B$1997))) - B109,
    TODAY() - Table3[[#This Row],[Date of Update]]
  ),
  TODAY()-Table3[[#This Row],[Date of Update]]
)))</f>
        <v>30</v>
      </c>
      <c r="G109" s="7" t="str">
        <f>IF(Table3[[#This Row],[Stage]]="Closed",Table3[[#This Row],[Date of Update]]-(_xlfn.MINIFS(Table3[Date of Update],Table3[Ref], Table3[[#This Row],[Ref]])),"")</f>
        <v/>
      </c>
    </row>
    <row r="110" spans="1:7" x14ac:dyDescent="0.25">
      <c r="A110" s="4" t="s">
        <v>86</v>
      </c>
      <c r="B110" s="5">
        <v>44729</v>
      </c>
      <c r="C110" s="6" t="s">
        <v>8</v>
      </c>
      <c r="D110" s="6" t="s">
        <v>9</v>
      </c>
      <c r="E110" s="6" t="s">
        <v>58</v>
      </c>
      <c r="F110" s="6" cm="1">
        <f t="array" aca="1" ref="F110" ca="1">IF(Table3[[#This Row],[Stage]]="Closed",0,IF(IFERROR(
  IF(
    COUNTIF(A$2:A$1997, A110) &gt; 1,
    MIN(IF(A$2:A$1997=A110, IF(B$2:B$1997&gt;B110, B$2:B$1997))) - B110,
    TODAY() - Table3[[#This Row],[Date of Update]]
  ),
  TODAY()-Table3[[#This Row],[Date of Update]]
)&lt;=0,
TODAY()-Table3[[#This Row],[Date of Update]],
IFERROR(
  IF(
    COUNTIF(A$2:A$1997, A110) &gt; 1,
    MIN(IF(A$2:A$1997=A110, IF(B$2:B$1997&gt;B110, B$2:B$1997))) - B110,
    TODAY() - Table3[[#This Row],[Date of Update]]
  ),
  TODAY()-Table3[[#This Row],[Date of Update]]
)))</f>
        <v>87</v>
      </c>
      <c r="G110" s="7" t="str">
        <f>IF(Table3[[#This Row],[Stage]]="Closed",Table3[[#This Row],[Date of Update]]-(_xlfn.MINIFS(Table3[Date of Update],Table3[Ref], Table3[[#This Row],[Ref]])),"")</f>
        <v/>
      </c>
    </row>
    <row r="111" spans="1:7" x14ac:dyDescent="0.25">
      <c r="A111" s="4" t="s">
        <v>81</v>
      </c>
      <c r="B111" s="5">
        <v>44732</v>
      </c>
      <c r="C111" s="6" t="s">
        <v>17</v>
      </c>
      <c r="D111" s="6" t="s">
        <v>9</v>
      </c>
      <c r="E111" s="6"/>
      <c r="F111" s="6" cm="1">
        <f t="array" aca="1" ref="F111" ca="1">IF(Table3[[#This Row],[Stage]]="Closed",0,IF(IFERROR(
  IF(
    COUNTIF(A$2:A$1997, A111) &gt; 1,
    MIN(IF(A$2:A$1997=A111, IF(B$2:B$1997&gt;B111, B$2:B$1997))) - B111,
    TODAY() - Table3[[#This Row],[Date of Update]]
  ),
  TODAY()-Table3[[#This Row],[Date of Update]]
)&lt;=0,
TODAY()-Table3[[#This Row],[Date of Update]],
IFERROR(
  IF(
    COUNTIF(A$2:A$1997, A111) &gt; 1,
    MIN(IF(A$2:A$1997=A111, IF(B$2:B$1997&gt;B111, B$2:B$1997))) - B111,
    TODAY() - Table3[[#This Row],[Date of Update]]
  ),
  TODAY()-Table3[[#This Row],[Date of Update]]
)))</f>
        <v>0</v>
      </c>
      <c r="G111" s="7">
        <f>IF(Table3[[#This Row],[Stage]]="Closed",Table3[[#This Row],[Date of Update]]-(_xlfn.MINIFS(Table3[Date of Update],Table3[Ref], Table3[[#This Row],[Ref]])),"")</f>
        <v>4</v>
      </c>
    </row>
    <row r="112" spans="1:7" x14ac:dyDescent="0.25">
      <c r="A112" s="4" t="s">
        <v>87</v>
      </c>
      <c r="B112" s="5">
        <v>44733</v>
      </c>
      <c r="C112" s="6" t="s">
        <v>8</v>
      </c>
      <c r="D112" s="6" t="s">
        <v>9</v>
      </c>
      <c r="E112" s="6"/>
      <c r="F112" s="6" cm="1">
        <f t="array" aca="1" ref="F112" ca="1">IF(Table3[[#This Row],[Stage]]="Closed",0,IF(IFERROR(
  IF(
    COUNTIF(A$2:A$1997, A112) &gt; 1,
    MIN(IF(A$2:A$1997=A112, IF(B$2:B$1997&gt;B112, B$2:B$1997))) - B112,
    TODAY() - Table3[[#This Row],[Date of Update]]
  ),
  TODAY()-Table3[[#This Row],[Date of Update]]
)&lt;=0,
TODAY()-Table3[[#This Row],[Date of Update]],
IFERROR(
  IF(
    COUNTIF(A$2:A$1997, A112) &gt; 1,
    MIN(IF(A$2:A$1997=A112, IF(B$2:B$1997&gt;B112, B$2:B$1997))) - B112,
    TODAY() - Table3[[#This Row],[Date of Update]]
  ),
  TODAY()-Table3[[#This Row],[Date of Update]]
)))</f>
        <v>1233</v>
      </c>
      <c r="G112" s="7" t="str">
        <f>IF(Table3[[#This Row],[Stage]]="Closed",Table3[[#This Row],[Date of Update]]-(_xlfn.MINIFS(Table3[Date of Update],Table3[Ref], Table3[[#This Row],[Ref]])),"")</f>
        <v/>
      </c>
    </row>
    <row r="113" spans="1:7" x14ac:dyDescent="0.25">
      <c r="A113" s="4" t="s">
        <v>87</v>
      </c>
      <c r="B113" s="5">
        <v>44733</v>
      </c>
      <c r="C113" s="6" t="s">
        <v>17</v>
      </c>
      <c r="D113" s="6" t="s">
        <v>9</v>
      </c>
      <c r="E113" s="6"/>
      <c r="F113" s="6" cm="1">
        <f t="array" aca="1" ref="F113" ca="1">IF(Table3[[#This Row],[Stage]]="Closed",0,IF(IFERROR(
  IF(
    COUNTIF(A$2:A$1997, A113) &gt; 1,
    MIN(IF(A$2:A$1997=A113, IF(B$2:B$1997&gt;B113, B$2:B$1997))) - B113,
    TODAY() - Table3[[#This Row],[Date of Update]]
  ),
  TODAY()-Table3[[#This Row],[Date of Update]]
)&lt;=0,
TODAY()-Table3[[#This Row],[Date of Update]],
IFERROR(
  IF(
    COUNTIF(A$2:A$1997, A113) &gt; 1,
    MIN(IF(A$2:A$1997=A113, IF(B$2:B$1997&gt;B113, B$2:B$1997))) - B113,
    TODAY() - Table3[[#This Row],[Date of Update]]
  ),
  TODAY()-Table3[[#This Row],[Date of Update]]
)))</f>
        <v>0</v>
      </c>
      <c r="G113" s="7">
        <f>IF(Table3[[#This Row],[Stage]]="Closed",Table3[[#This Row],[Date of Update]]-(_xlfn.MINIFS(Table3[Date of Update],Table3[Ref], Table3[[#This Row],[Ref]])),"")</f>
        <v>0</v>
      </c>
    </row>
    <row r="114" spans="1:7" x14ac:dyDescent="0.25">
      <c r="A114" s="4" t="s">
        <v>88</v>
      </c>
      <c r="B114" s="5">
        <v>44739</v>
      </c>
      <c r="C114" s="6" t="s">
        <v>8</v>
      </c>
      <c r="D114" s="6" t="s">
        <v>9</v>
      </c>
      <c r="E114" s="6"/>
      <c r="F114" s="6" cm="1">
        <f t="array" aca="1" ref="F114" ca="1">IF(Table3[[#This Row],[Stage]]="Closed",0,IF(IFERROR(
  IF(
    COUNTIF(A$2:A$1997, A114) &gt; 1,
    MIN(IF(A$2:A$1997=A114, IF(B$2:B$1997&gt;B114, B$2:B$1997))) - B114,
    TODAY() - Table3[[#This Row],[Date of Update]]
  ),
  TODAY()-Table3[[#This Row],[Date of Update]]
)&lt;=0,
TODAY()-Table3[[#This Row],[Date of Update]],
IFERROR(
  IF(
    COUNTIF(A$2:A$1997, A114) &gt; 1,
    MIN(IF(A$2:A$1997=A114, IF(B$2:B$1997&gt;B114, B$2:B$1997))) - B114,
    TODAY() - Table3[[#This Row],[Date of Update]]
  ),
  TODAY()-Table3[[#This Row],[Date of Update]]
)))</f>
        <v>30</v>
      </c>
      <c r="G114" s="7" t="str">
        <f>IF(Table3[[#This Row],[Stage]]="Closed",Table3[[#This Row],[Date of Update]]-(_xlfn.MINIFS(Table3[Date of Update],Table3[Ref], Table3[[#This Row],[Ref]])),"")</f>
        <v/>
      </c>
    </row>
    <row r="115" spans="1:7" x14ac:dyDescent="0.25">
      <c r="A115" s="4" t="s">
        <v>89</v>
      </c>
      <c r="B115" s="5">
        <v>44740</v>
      </c>
      <c r="C115" s="6" t="s">
        <v>8</v>
      </c>
      <c r="D115" s="6" t="s">
        <v>9</v>
      </c>
      <c r="E115" s="6" t="s">
        <v>90</v>
      </c>
      <c r="F115" s="6" cm="1">
        <f t="array" aca="1" ref="F115" ca="1">IF(Table3[[#This Row],[Stage]]="Closed",0,IF(IFERROR(
  IF(
    COUNTIF(A$2:A$1997, A115) &gt; 1,
    MIN(IF(A$2:A$1997=A115, IF(B$2:B$1997&gt;B115, B$2:B$1997))) - B115,
    TODAY() - Table3[[#This Row],[Date of Update]]
  ),
  TODAY()-Table3[[#This Row],[Date of Update]]
)&lt;=0,
TODAY()-Table3[[#This Row],[Date of Update]],
IFERROR(
  IF(
    COUNTIF(A$2:A$1997, A115) &gt; 1,
    MIN(IF(A$2:A$1997=A115, IF(B$2:B$1997&gt;B115, B$2:B$1997))) - B115,
    TODAY() - Table3[[#This Row],[Date of Update]]
  ),
  TODAY()-Table3[[#This Row],[Date of Update]]
)))</f>
        <v>71</v>
      </c>
      <c r="G115" s="7" t="str">
        <f>IF(Table3[[#This Row],[Stage]]="Closed",Table3[[#This Row],[Date of Update]]-(_xlfn.MINIFS(Table3[Date of Update],Table3[Ref], Table3[[#This Row],[Ref]])),"")</f>
        <v/>
      </c>
    </row>
    <row r="116" spans="1:7" x14ac:dyDescent="0.25">
      <c r="A116" s="4" t="s">
        <v>91</v>
      </c>
      <c r="B116" s="5">
        <v>44740</v>
      </c>
      <c r="C116" s="6" t="s">
        <v>8</v>
      </c>
      <c r="D116" s="6" t="s">
        <v>9</v>
      </c>
      <c r="E116" s="6" t="s">
        <v>58</v>
      </c>
      <c r="F116" s="6" cm="1">
        <f t="array" aca="1" ref="F116" ca="1">IF(Table3[[#This Row],[Stage]]="Closed",0,IF(IFERROR(
  IF(
    COUNTIF(A$2:A$1997, A116) &gt; 1,
    MIN(IF(A$2:A$1997=A116, IF(B$2:B$1997&gt;B116, B$2:B$1997))) - B116,
    TODAY() - Table3[[#This Row],[Date of Update]]
  ),
  TODAY()-Table3[[#This Row],[Date of Update]]
)&lt;=0,
TODAY()-Table3[[#This Row],[Date of Update]],
IFERROR(
  IF(
    COUNTIF(A$2:A$1997, A116) &gt; 1,
    MIN(IF(A$2:A$1997=A116, IF(B$2:B$1997&gt;B116, B$2:B$1997))) - B116,
    TODAY() - Table3[[#This Row],[Date of Update]]
  ),
  TODAY()-Table3[[#This Row],[Date of Update]]
)))</f>
        <v>76</v>
      </c>
      <c r="G116" s="7" t="str">
        <f>IF(Table3[[#This Row],[Stage]]="Closed",Table3[[#This Row],[Date of Update]]-(_xlfn.MINIFS(Table3[Date of Update],Table3[Ref], Table3[[#This Row],[Ref]])),"")</f>
        <v/>
      </c>
    </row>
    <row r="117" spans="1:7" x14ac:dyDescent="0.25">
      <c r="A117" s="4" t="s">
        <v>92</v>
      </c>
      <c r="B117" s="5">
        <v>44746</v>
      </c>
      <c r="C117" s="6" t="s">
        <v>8</v>
      </c>
      <c r="D117" s="6" t="s">
        <v>9</v>
      </c>
      <c r="E117" s="6"/>
      <c r="F117" s="6" cm="1">
        <f t="array" aca="1" ref="F117" ca="1">IF(Table3[[#This Row],[Stage]]="Closed",0,IF(IFERROR(
  IF(
    COUNTIF(A$2:A$1997, A117) &gt; 1,
    MIN(IF(A$2:A$1997=A117, IF(B$2:B$1997&gt;B117, B$2:B$1997))) - B117,
    TODAY() - Table3[[#This Row],[Date of Update]]
  ),
  TODAY()-Table3[[#This Row],[Date of Update]]
)&lt;=0,
TODAY()-Table3[[#This Row],[Date of Update]],
IFERROR(
  IF(
    COUNTIF(A$2:A$1997, A117) &gt; 1,
    MIN(IF(A$2:A$1997=A117, IF(B$2:B$1997&gt;B117, B$2:B$1997))) - B117,
    TODAY() - Table3[[#This Row],[Date of Update]]
  ),
  TODAY()-Table3[[#This Row],[Date of Update]]
)))</f>
        <v>1220</v>
      </c>
      <c r="G117" s="7" t="str">
        <f>IF(Table3[[#This Row],[Stage]]="Closed",Table3[[#This Row],[Date of Update]]-(_xlfn.MINIFS(Table3[Date of Update],Table3[Ref], Table3[[#This Row],[Ref]])),"")</f>
        <v/>
      </c>
    </row>
    <row r="118" spans="1:7" x14ac:dyDescent="0.25">
      <c r="A118" s="4" t="s">
        <v>92</v>
      </c>
      <c r="B118" s="5">
        <v>44746</v>
      </c>
      <c r="C118" s="6" t="s">
        <v>17</v>
      </c>
      <c r="D118" s="6" t="s">
        <v>9</v>
      </c>
      <c r="E118" s="6"/>
      <c r="F118" s="6" cm="1">
        <f t="array" aca="1" ref="F118" ca="1">IF(Table3[[#This Row],[Stage]]="Closed",0,IF(IFERROR(
  IF(
    COUNTIF(A$2:A$1997, A118) &gt; 1,
    MIN(IF(A$2:A$1997=A118, IF(B$2:B$1997&gt;B118, B$2:B$1997))) - B118,
    TODAY() - Table3[[#This Row],[Date of Update]]
  ),
  TODAY()-Table3[[#This Row],[Date of Update]]
)&lt;=0,
TODAY()-Table3[[#This Row],[Date of Update]],
IFERROR(
  IF(
    COUNTIF(A$2:A$1997, A118) &gt; 1,
    MIN(IF(A$2:A$1997=A118, IF(B$2:B$1997&gt;B118, B$2:B$1997))) - B118,
    TODAY() - Table3[[#This Row],[Date of Update]]
  ),
  TODAY()-Table3[[#This Row],[Date of Update]]
)))</f>
        <v>0</v>
      </c>
      <c r="G118" s="7">
        <f>IF(Table3[[#This Row],[Stage]]="Closed",Table3[[#This Row],[Date of Update]]-(_xlfn.MINIFS(Table3[Date of Update],Table3[Ref], Table3[[#This Row],[Ref]])),"")</f>
        <v>0</v>
      </c>
    </row>
    <row r="119" spans="1:7" x14ac:dyDescent="0.25">
      <c r="A119" s="4" t="s">
        <v>93</v>
      </c>
      <c r="B119" s="5">
        <v>44746</v>
      </c>
      <c r="C119" s="6" t="s">
        <v>8</v>
      </c>
      <c r="D119" s="6" t="s">
        <v>9</v>
      </c>
      <c r="E119" s="6"/>
      <c r="F119" s="6" cm="1">
        <f t="array" aca="1" ref="F119" ca="1">IF(Table3[[#This Row],[Stage]]="Closed",0,IF(IFERROR(
  IF(
    COUNTIF(A$2:A$1997, A119) &gt; 1,
    MIN(IF(A$2:A$1997=A119, IF(B$2:B$1997&gt;B119, B$2:B$1997))) - B119,
    TODAY() - Table3[[#This Row],[Date of Update]]
  ),
  TODAY()-Table3[[#This Row],[Date of Update]]
)&lt;=0,
TODAY()-Table3[[#This Row],[Date of Update]],
IFERROR(
  IF(
    COUNTIF(A$2:A$1997, A119) &gt; 1,
    MIN(IF(A$2:A$1997=A119, IF(B$2:B$1997&gt;B119, B$2:B$1997))) - B119,
    TODAY() - Table3[[#This Row],[Date of Update]]
  ),
  TODAY()-Table3[[#This Row],[Date of Update]]
)))</f>
        <v>36</v>
      </c>
      <c r="G119" s="7" t="str">
        <f>IF(Table3[[#This Row],[Stage]]="Closed",Table3[[#This Row],[Date of Update]]-(_xlfn.MINIFS(Table3[Date of Update],Table3[Ref], Table3[[#This Row],[Ref]])),"")</f>
        <v/>
      </c>
    </row>
    <row r="120" spans="1:7" x14ac:dyDescent="0.25">
      <c r="A120" s="4" t="s">
        <v>68</v>
      </c>
      <c r="B120" s="5">
        <v>44747</v>
      </c>
      <c r="C120" s="6" t="s">
        <v>17</v>
      </c>
      <c r="D120" s="6" t="s">
        <v>9</v>
      </c>
      <c r="E120" s="6"/>
      <c r="F120" s="6" cm="1">
        <f t="array" aca="1" ref="F120" ca="1">IF(Table3[[#This Row],[Stage]]="Closed",0,IF(IFERROR(
  IF(
    COUNTIF(A$2:A$1997, A120) &gt; 1,
    MIN(IF(A$2:A$1997=A120, IF(B$2:B$1997&gt;B120, B$2:B$1997))) - B120,
    TODAY() - Table3[[#This Row],[Date of Update]]
  ),
  TODAY()-Table3[[#This Row],[Date of Update]]
)&lt;=0,
TODAY()-Table3[[#This Row],[Date of Update]],
IFERROR(
  IF(
    COUNTIF(A$2:A$1997, A120) &gt; 1,
    MIN(IF(A$2:A$1997=A120, IF(B$2:B$1997&gt;B120, B$2:B$1997))) - B120,
    TODAY() - Table3[[#This Row],[Date of Update]]
  ),
  TODAY()-Table3[[#This Row],[Date of Update]]
)))</f>
        <v>0</v>
      </c>
      <c r="G120" s="7">
        <f>IF(Table3[[#This Row],[Stage]]="Closed",Table3[[#This Row],[Date of Update]]-(_xlfn.MINIFS(Table3[Date of Update],Table3[Ref], Table3[[#This Row],[Ref]])),"")</f>
        <v>39</v>
      </c>
    </row>
    <row r="121" spans="1:7" x14ac:dyDescent="0.25">
      <c r="A121" s="4" t="s">
        <v>82</v>
      </c>
      <c r="B121" s="5">
        <v>44747</v>
      </c>
      <c r="C121" s="6" t="s">
        <v>17</v>
      </c>
      <c r="D121" s="6" t="s">
        <v>9</v>
      </c>
      <c r="E121" s="6"/>
      <c r="F121" s="6" cm="1">
        <f t="array" aca="1" ref="F121" ca="1">IF(Table3[[#This Row],[Stage]]="Closed",0,IF(IFERROR(
  IF(
    COUNTIF(A$2:A$1997, A121) &gt; 1,
    MIN(IF(A$2:A$1997=A121, IF(B$2:B$1997&gt;B121, B$2:B$1997))) - B121,
    TODAY() - Table3[[#This Row],[Date of Update]]
  ),
  TODAY()-Table3[[#This Row],[Date of Update]]
)&lt;=0,
TODAY()-Table3[[#This Row],[Date of Update]],
IFERROR(
  IF(
    COUNTIF(A$2:A$1997, A121) &gt; 1,
    MIN(IF(A$2:A$1997=A121, IF(B$2:B$1997&gt;B121, B$2:B$1997))) - B121,
    TODAY() - Table3[[#This Row],[Date of Update]]
  ),
  TODAY()-Table3[[#This Row],[Date of Update]]
)))</f>
        <v>0</v>
      </c>
      <c r="G121" s="7">
        <f>IF(Table3[[#This Row],[Stage]]="Closed",Table3[[#This Row],[Date of Update]]-(_xlfn.MINIFS(Table3[Date of Update],Table3[Ref], Table3[[#This Row],[Ref]])),"")</f>
        <v>18</v>
      </c>
    </row>
    <row r="122" spans="1:7" x14ac:dyDescent="0.25">
      <c r="A122" s="4" t="s">
        <v>94</v>
      </c>
      <c r="B122" s="5">
        <v>44747</v>
      </c>
      <c r="C122" s="6" t="s">
        <v>8</v>
      </c>
      <c r="D122" s="6" t="s">
        <v>9</v>
      </c>
      <c r="E122" s="6" t="s">
        <v>95</v>
      </c>
      <c r="F122" s="6" cm="1">
        <f t="array" aca="1" ref="F122" ca="1">IF(Table3[[#This Row],[Stage]]="Closed",0,IF(IFERROR(
  IF(
    COUNTIF(A$2:A$1997, A122) &gt; 1,
    MIN(IF(A$2:A$1997=A122, IF(B$2:B$1997&gt;B122, B$2:B$1997))) - B122,
    TODAY() - Table3[[#This Row],[Date of Update]]
  ),
  TODAY()-Table3[[#This Row],[Date of Update]]
)&lt;=0,
TODAY()-Table3[[#This Row],[Date of Update]],
IFERROR(
  IF(
    COUNTIF(A$2:A$1997, A122) &gt; 1,
    MIN(IF(A$2:A$1997=A122, IF(B$2:B$1997&gt;B122, B$2:B$1997))) - B122,
    TODAY() - Table3[[#This Row],[Date of Update]]
  ),
  TODAY()-Table3[[#This Row],[Date of Update]]
)))</f>
        <v>119</v>
      </c>
      <c r="G122" s="7" t="str">
        <f>IF(Table3[[#This Row],[Stage]]="Closed",Table3[[#This Row],[Date of Update]]-(_xlfn.MINIFS(Table3[Date of Update],Table3[Ref], Table3[[#This Row],[Ref]])),"")</f>
        <v/>
      </c>
    </row>
    <row r="123" spans="1:7" x14ac:dyDescent="0.25">
      <c r="A123" s="4" t="s">
        <v>96</v>
      </c>
      <c r="B123" s="5">
        <v>44747</v>
      </c>
      <c r="C123" s="6" t="s">
        <v>8</v>
      </c>
      <c r="D123" s="6" t="s">
        <v>9</v>
      </c>
      <c r="E123" s="6" t="s">
        <v>58</v>
      </c>
      <c r="F123" s="6" cm="1">
        <f t="array" aca="1" ref="F123" ca="1">IF(Table3[[#This Row],[Stage]]="Closed",0,IF(IFERROR(
  IF(
    COUNTIF(A$2:A$1997, A123) &gt; 1,
    MIN(IF(A$2:A$1997=A123, IF(B$2:B$1997&gt;B123, B$2:B$1997))) - B123,
    TODAY() - Table3[[#This Row],[Date of Update]]
  ),
  TODAY()-Table3[[#This Row],[Date of Update]]
)&lt;=0,
TODAY()-Table3[[#This Row],[Date of Update]],
IFERROR(
  IF(
    COUNTIF(A$2:A$1997, A123) &gt; 1,
    MIN(IF(A$2:A$1997=A123, IF(B$2:B$1997&gt;B123, B$2:B$1997))) - B123,
    TODAY() - Table3[[#This Row],[Date of Update]]
  ),
  TODAY()-Table3[[#This Row],[Date of Update]]
)))</f>
        <v>69</v>
      </c>
      <c r="G123" s="7" t="str">
        <f>IF(Table3[[#This Row],[Stage]]="Closed",Table3[[#This Row],[Date of Update]]-(_xlfn.MINIFS(Table3[Date of Update],Table3[Ref], Table3[[#This Row],[Ref]])),"")</f>
        <v/>
      </c>
    </row>
    <row r="124" spans="1:7" x14ac:dyDescent="0.25">
      <c r="A124" s="4" t="s">
        <v>76</v>
      </c>
      <c r="B124" s="5">
        <v>44750</v>
      </c>
      <c r="C124" s="6" t="s">
        <v>17</v>
      </c>
      <c r="D124" s="6" t="s">
        <v>9</v>
      </c>
      <c r="E124" s="6" t="s">
        <v>77</v>
      </c>
      <c r="F124" s="6" cm="1">
        <f t="array" aca="1" ref="F124" ca="1">IF(Table3[[#This Row],[Stage]]="Closed",0,IF(IFERROR(
  IF(
    COUNTIF(A$2:A$1997, A124) &gt; 1,
    MIN(IF(A$2:A$1997=A124, IF(B$2:B$1997&gt;B124, B$2:B$1997))) - B124,
    TODAY() - Table3[[#This Row],[Date of Update]]
  ),
  TODAY()-Table3[[#This Row],[Date of Update]]
)&lt;=0,
TODAY()-Table3[[#This Row],[Date of Update]],
IFERROR(
  IF(
    COUNTIF(A$2:A$1997, A124) &gt; 1,
    MIN(IF(A$2:A$1997=A124, IF(B$2:B$1997&gt;B124, B$2:B$1997))) - B124,
    TODAY() - Table3[[#This Row],[Date of Update]]
  ),
  TODAY()-Table3[[#This Row],[Date of Update]]
)))</f>
        <v>0</v>
      </c>
      <c r="G124" s="7">
        <f>IF(Table3[[#This Row],[Stage]]="Closed",Table3[[#This Row],[Date of Update]]-(_xlfn.MINIFS(Table3[Date of Update],Table3[Ref], Table3[[#This Row],[Ref]])),"")</f>
        <v>30</v>
      </c>
    </row>
    <row r="125" spans="1:7" x14ac:dyDescent="0.25">
      <c r="A125" s="4" t="s">
        <v>97</v>
      </c>
      <c r="B125" s="5">
        <v>44750</v>
      </c>
      <c r="C125" s="6" t="s">
        <v>8</v>
      </c>
      <c r="D125" s="6" t="s">
        <v>9</v>
      </c>
      <c r="E125" s="6"/>
      <c r="F125" s="6" cm="1">
        <f t="array" aca="1" ref="F125" ca="1">IF(Table3[[#This Row],[Stage]]="Closed",0,IF(IFERROR(
  IF(
    COUNTIF(A$2:A$1997, A125) &gt; 1,
    MIN(IF(A$2:A$1997=A125, IF(B$2:B$1997&gt;B125, B$2:B$1997))) - B125,
    TODAY() - Table3[[#This Row],[Date of Update]]
  ),
  TODAY()-Table3[[#This Row],[Date of Update]]
)&lt;=0,
TODAY()-Table3[[#This Row],[Date of Update]],
IFERROR(
  IF(
    COUNTIF(A$2:A$1997, A125) &gt; 1,
    MIN(IF(A$2:A$1997=A125, IF(B$2:B$1997&gt;B125, B$2:B$1997))) - B125,
    TODAY() - Table3[[#This Row],[Date of Update]]
  ),
  TODAY()-Table3[[#This Row],[Date of Update]]
)))</f>
        <v>59</v>
      </c>
      <c r="G125" s="7" t="str">
        <f>IF(Table3[[#This Row],[Stage]]="Closed",Table3[[#This Row],[Date of Update]]-(_xlfn.MINIFS(Table3[Date of Update],Table3[Ref], Table3[[#This Row],[Ref]])),"")</f>
        <v/>
      </c>
    </row>
    <row r="126" spans="1:7" x14ac:dyDescent="0.25">
      <c r="A126" s="4" t="s">
        <v>98</v>
      </c>
      <c r="B126" s="5">
        <v>44754</v>
      </c>
      <c r="C126" s="6" t="s">
        <v>8</v>
      </c>
      <c r="D126" s="6" t="s">
        <v>9</v>
      </c>
      <c r="E126" s="6"/>
      <c r="F126" s="6" cm="1">
        <f t="array" aca="1" ref="F126" ca="1">IF(Table3[[#This Row],[Stage]]="Closed",0,IF(IFERROR(
  IF(
    COUNTIF(A$2:A$1997, A126) &gt; 1,
    MIN(IF(A$2:A$1997=A126, IF(B$2:B$1997&gt;B126, B$2:B$1997))) - B126,
    TODAY() - Table3[[#This Row],[Date of Update]]
  ),
  TODAY()-Table3[[#This Row],[Date of Update]]
)&lt;=0,
TODAY()-Table3[[#This Row],[Date of Update]],
IFERROR(
  IF(
    COUNTIF(A$2:A$1997, A126) &gt; 1,
    MIN(IF(A$2:A$1997=A126, IF(B$2:B$1997&gt;B126, B$2:B$1997))) - B126,
    TODAY() - Table3[[#This Row],[Date of Update]]
  ),
  TODAY()-Table3[[#This Row],[Date of Update]]
)))</f>
        <v>1212</v>
      </c>
      <c r="G126" s="7" t="str">
        <f>IF(Table3[[#This Row],[Stage]]="Closed",Table3[[#This Row],[Date of Update]]-(_xlfn.MINIFS(Table3[Date of Update],Table3[Ref], Table3[[#This Row],[Ref]])),"")</f>
        <v/>
      </c>
    </row>
    <row r="127" spans="1:7" x14ac:dyDescent="0.25">
      <c r="A127" s="4" t="s">
        <v>98</v>
      </c>
      <c r="B127" s="5">
        <v>44754</v>
      </c>
      <c r="C127" s="6" t="s">
        <v>17</v>
      </c>
      <c r="D127" s="6" t="s">
        <v>9</v>
      </c>
      <c r="E127" s="6"/>
      <c r="F127" s="6" cm="1">
        <f t="array" aca="1" ref="F127" ca="1">IF(Table3[[#This Row],[Stage]]="Closed",0,IF(IFERROR(
  IF(
    COUNTIF(A$2:A$1997, A127) &gt; 1,
    MIN(IF(A$2:A$1997=A127, IF(B$2:B$1997&gt;B127, B$2:B$1997))) - B127,
    TODAY() - Table3[[#This Row],[Date of Update]]
  ),
  TODAY()-Table3[[#This Row],[Date of Update]]
)&lt;=0,
TODAY()-Table3[[#This Row],[Date of Update]],
IFERROR(
  IF(
    COUNTIF(A$2:A$1997, A127) &gt; 1,
    MIN(IF(A$2:A$1997=A127, IF(B$2:B$1997&gt;B127, B$2:B$1997))) - B127,
    TODAY() - Table3[[#This Row],[Date of Update]]
  ),
  TODAY()-Table3[[#This Row],[Date of Update]]
)))</f>
        <v>0</v>
      </c>
      <c r="G127" s="7">
        <f>IF(Table3[[#This Row],[Stage]]="Closed",Table3[[#This Row],[Date of Update]]-(_xlfn.MINIFS(Table3[Date of Update],Table3[Ref], Table3[[#This Row],[Ref]])),"")</f>
        <v>0</v>
      </c>
    </row>
    <row r="128" spans="1:7" x14ac:dyDescent="0.25">
      <c r="A128" s="4" t="s">
        <v>83</v>
      </c>
      <c r="B128" s="5">
        <v>44754</v>
      </c>
      <c r="C128" s="6" t="s">
        <v>8</v>
      </c>
      <c r="D128" s="6" t="s">
        <v>9</v>
      </c>
      <c r="E128" s="6"/>
      <c r="F128" s="6" cm="1">
        <f t="array" aca="1" ref="F128" ca="1">IF(Table3[[#This Row],[Stage]]="Closed",0,IF(IFERROR(
  IF(
    COUNTIF(A$2:A$1997, A128) &gt; 1,
    MIN(IF(A$2:A$1997=A128, IF(B$2:B$1997&gt;B128, B$2:B$1997))) - B128,
    TODAY() - Table3[[#This Row],[Date of Update]]
  ),
  TODAY()-Table3[[#This Row],[Date of Update]]
)&lt;=0,
TODAY()-Table3[[#This Row],[Date of Update]],
IFERROR(
  IF(
    COUNTIF(A$2:A$1997, A128) &gt; 1,
    MIN(IF(A$2:A$1997=A128, IF(B$2:B$1997&gt;B128, B$2:B$1997))) - B128,
    TODAY() - Table3[[#This Row],[Date of Update]]
  ),
  TODAY()-Table3[[#This Row],[Date of Update]]
)))</f>
        <v>1212</v>
      </c>
      <c r="G128" s="7" t="str">
        <f>IF(Table3[[#This Row],[Stage]]="Closed",Table3[[#This Row],[Date of Update]]-(_xlfn.MINIFS(Table3[Date of Update],Table3[Ref], Table3[[#This Row],[Ref]])),"")</f>
        <v/>
      </c>
    </row>
    <row r="129" spans="1:7" x14ac:dyDescent="0.25">
      <c r="A129" s="4" t="s">
        <v>99</v>
      </c>
      <c r="B129" s="5">
        <v>44756</v>
      </c>
      <c r="C129" s="6" t="s">
        <v>17</v>
      </c>
      <c r="D129" s="6" t="s">
        <v>9</v>
      </c>
      <c r="E129" s="6"/>
      <c r="F129" s="6" cm="1">
        <f t="array" aca="1" ref="F129" ca="1">IF(Table3[[#This Row],[Stage]]="Closed",0,IF(IFERROR(
  IF(
    COUNTIF(A$2:A$1997, A129) &gt; 1,
    MIN(IF(A$2:A$1997=A129, IF(B$2:B$1997&gt;B129, B$2:B$1997))) - B129,
    TODAY() - Table3[[#This Row],[Date of Update]]
  ),
  TODAY()-Table3[[#This Row],[Date of Update]]
)&lt;=0,
TODAY()-Table3[[#This Row],[Date of Update]],
IFERROR(
  IF(
    COUNTIF(A$2:A$1997, A129) &gt; 1,
    MIN(IF(A$2:A$1997=A129, IF(B$2:B$1997&gt;B129, B$2:B$1997))) - B129,
    TODAY() - Table3[[#This Row],[Date of Update]]
  ),
  TODAY()-Table3[[#This Row],[Date of Update]]
)))</f>
        <v>0</v>
      </c>
      <c r="G129" s="7">
        <f>IF(Table3[[#This Row],[Stage]]="Closed",Table3[[#This Row],[Date of Update]]-(_xlfn.MINIFS(Table3[Date of Update],Table3[Ref], Table3[[#This Row],[Ref]])),"")</f>
        <v>0</v>
      </c>
    </row>
    <row r="130" spans="1:7" x14ac:dyDescent="0.25">
      <c r="A130" s="4" t="s">
        <v>100</v>
      </c>
      <c r="B130" s="5">
        <v>44757</v>
      </c>
      <c r="C130" s="6" t="s">
        <v>8</v>
      </c>
      <c r="D130" s="6" t="s">
        <v>9</v>
      </c>
      <c r="E130" s="6"/>
      <c r="F130" s="6" cm="1">
        <f t="array" aca="1" ref="F130" ca="1">IF(Table3[[#This Row],[Stage]]="Closed",0,IF(IFERROR(
  IF(
    COUNTIF(A$2:A$1997, A130) &gt; 1,
    MIN(IF(A$2:A$1997=A130, IF(B$2:B$1997&gt;B130, B$2:B$1997))) - B130,
    TODAY() - Table3[[#This Row],[Date of Update]]
  ),
  TODAY()-Table3[[#This Row],[Date of Update]]
)&lt;=0,
TODAY()-Table3[[#This Row],[Date of Update]],
IFERROR(
  IF(
    COUNTIF(A$2:A$1997, A130) &gt; 1,
    MIN(IF(A$2:A$1997=A130, IF(B$2:B$1997&gt;B130, B$2:B$1997))) - B130,
    TODAY() - Table3[[#This Row],[Date of Update]]
  ),
  TODAY()-Table3[[#This Row],[Date of Update]]
)))</f>
        <v>1209</v>
      </c>
      <c r="G130" s="7" t="str">
        <f>IF(Table3[[#This Row],[Stage]]="Closed",Table3[[#This Row],[Date of Update]]-(_xlfn.MINIFS(Table3[Date of Update],Table3[Ref], Table3[[#This Row],[Ref]])),"")</f>
        <v/>
      </c>
    </row>
    <row r="131" spans="1:7" x14ac:dyDescent="0.25">
      <c r="A131" s="4" t="s">
        <v>100</v>
      </c>
      <c r="B131" s="5">
        <v>44757</v>
      </c>
      <c r="C131" s="6" t="s">
        <v>17</v>
      </c>
      <c r="D131" s="6" t="s">
        <v>9</v>
      </c>
      <c r="E131" s="6"/>
      <c r="F131" s="6" cm="1">
        <f t="array" aca="1" ref="F131" ca="1">IF(Table3[[#This Row],[Stage]]="Closed",0,IF(IFERROR(
  IF(
    COUNTIF(A$2:A$1997, A131) &gt; 1,
    MIN(IF(A$2:A$1997=A131, IF(B$2:B$1997&gt;B131, B$2:B$1997))) - B131,
    TODAY() - Table3[[#This Row],[Date of Update]]
  ),
  TODAY()-Table3[[#This Row],[Date of Update]]
)&lt;=0,
TODAY()-Table3[[#This Row],[Date of Update]],
IFERROR(
  IF(
    COUNTIF(A$2:A$1997, A131) &gt; 1,
    MIN(IF(A$2:A$1997=A131, IF(B$2:B$1997&gt;B131, B$2:B$1997))) - B131,
    TODAY() - Table3[[#This Row],[Date of Update]]
  ),
  TODAY()-Table3[[#This Row],[Date of Update]]
)))</f>
        <v>0</v>
      </c>
      <c r="G131" s="7">
        <f>IF(Table3[[#This Row],[Stage]]="Closed",Table3[[#This Row],[Date of Update]]-(_xlfn.MINIFS(Table3[Date of Update],Table3[Ref], Table3[[#This Row],[Ref]])),"")</f>
        <v>0</v>
      </c>
    </row>
    <row r="132" spans="1:7" x14ac:dyDescent="0.25">
      <c r="A132" s="4" t="s">
        <v>99</v>
      </c>
      <c r="B132" s="5">
        <v>44759</v>
      </c>
      <c r="C132" s="6" t="s">
        <v>17</v>
      </c>
      <c r="D132" s="6" t="s">
        <v>9</v>
      </c>
      <c r="E132" s="6" t="s">
        <v>84</v>
      </c>
      <c r="F132" s="6" cm="1">
        <f t="array" aca="1" ref="F132" ca="1">IF(Table3[[#This Row],[Stage]]="Closed",0,IF(IFERROR(
  IF(
    COUNTIF(A$2:A$1997, A132) &gt; 1,
    MIN(IF(A$2:A$1997=A132, IF(B$2:B$1997&gt;B132, B$2:B$1997))) - B132,
    TODAY() - Table3[[#This Row],[Date of Update]]
  ),
  TODAY()-Table3[[#This Row],[Date of Update]]
)&lt;=0,
TODAY()-Table3[[#This Row],[Date of Update]],
IFERROR(
  IF(
    COUNTIF(A$2:A$1997, A132) &gt; 1,
    MIN(IF(A$2:A$1997=A132, IF(B$2:B$1997&gt;B132, B$2:B$1997))) - B132,
    TODAY() - Table3[[#This Row],[Date of Update]]
  ),
  TODAY()-Table3[[#This Row],[Date of Update]]
)))</f>
        <v>0</v>
      </c>
      <c r="G132" s="7">
        <f>IF(Table3[[#This Row],[Stage]]="Closed",Table3[[#This Row],[Date of Update]]-(_xlfn.MINIFS(Table3[Date of Update],Table3[Ref], Table3[[#This Row],[Ref]])),"")</f>
        <v>3</v>
      </c>
    </row>
    <row r="133" spans="1:7" x14ac:dyDescent="0.25">
      <c r="A133" s="4" t="s">
        <v>85</v>
      </c>
      <c r="B133" s="5">
        <v>44759</v>
      </c>
      <c r="C133" s="6" t="s">
        <v>17</v>
      </c>
      <c r="D133" s="6" t="s">
        <v>9</v>
      </c>
      <c r="E133" s="6"/>
      <c r="F133" s="6" cm="1">
        <f t="array" aca="1" ref="F133" ca="1">IF(Table3[[#This Row],[Stage]]="Closed",0,IF(IFERROR(
  IF(
    COUNTIF(A$2:A$1997, A133) &gt; 1,
    MIN(IF(A$2:A$1997=A133, IF(B$2:B$1997&gt;B133, B$2:B$1997))) - B133,
    TODAY() - Table3[[#This Row],[Date of Update]]
  ),
  TODAY()-Table3[[#This Row],[Date of Update]]
)&lt;=0,
TODAY()-Table3[[#This Row],[Date of Update]],
IFERROR(
  IF(
    COUNTIF(A$2:A$1997, A133) &gt; 1,
    MIN(IF(A$2:A$1997=A133, IF(B$2:B$1997&gt;B133, B$2:B$1997))) - B133,
    TODAY() - Table3[[#This Row],[Date of Update]]
  ),
  TODAY()-Table3[[#This Row],[Date of Update]]
)))</f>
        <v>0</v>
      </c>
      <c r="G133" s="7">
        <f>IF(Table3[[#This Row],[Stage]]="Closed",Table3[[#This Row],[Date of Update]]-(_xlfn.MINIFS(Table3[Date of Update],Table3[Ref], Table3[[#This Row],[Ref]])),"")</f>
        <v>30</v>
      </c>
    </row>
    <row r="134" spans="1:7" x14ac:dyDescent="0.25">
      <c r="A134" s="4" t="s">
        <v>101</v>
      </c>
      <c r="B134" s="5">
        <v>44760</v>
      </c>
      <c r="C134" s="6" t="s">
        <v>8</v>
      </c>
      <c r="D134" s="6" t="s">
        <v>9</v>
      </c>
      <c r="E134" s="6" t="s">
        <v>102</v>
      </c>
      <c r="F134" s="6" cm="1">
        <f t="array" aca="1" ref="F134" ca="1">IF(Table3[[#This Row],[Stage]]="Closed",0,IF(IFERROR(
  IF(
    COUNTIF(A$2:A$1997, A134) &gt; 1,
    MIN(IF(A$2:A$1997=A134, IF(B$2:B$1997&gt;B134, B$2:B$1997))) - B134,
    TODAY() - Table3[[#This Row],[Date of Update]]
  ),
  TODAY()-Table3[[#This Row],[Date of Update]]
)&lt;=0,
TODAY()-Table3[[#This Row],[Date of Update]],
IFERROR(
  IF(
    COUNTIF(A$2:A$1997, A134) &gt; 1,
    MIN(IF(A$2:A$1997=A134, IF(B$2:B$1997&gt;B134, B$2:B$1997))) - B134,
    TODAY() - Table3[[#This Row],[Date of Update]]
  ),
  TODAY()-Table3[[#This Row],[Date of Update]]
)))</f>
        <v>235</v>
      </c>
      <c r="G134" s="7" t="str">
        <f>IF(Table3[[#This Row],[Stage]]="Closed",Table3[[#This Row],[Date of Update]]-(_xlfn.MINIFS(Table3[Date of Update],Table3[Ref], Table3[[#This Row],[Ref]])),"")</f>
        <v/>
      </c>
    </row>
    <row r="135" spans="1:7" x14ac:dyDescent="0.25">
      <c r="A135" s="4" t="s">
        <v>103</v>
      </c>
      <c r="B135" s="5">
        <v>44760</v>
      </c>
      <c r="C135" s="6" t="s">
        <v>8</v>
      </c>
      <c r="D135" s="6" t="s">
        <v>9</v>
      </c>
      <c r="E135" s="6" t="s">
        <v>45</v>
      </c>
      <c r="F135" s="6" cm="1">
        <f t="array" aca="1" ref="F135" ca="1">IF(Table3[[#This Row],[Stage]]="Closed",0,IF(IFERROR(
  IF(
    COUNTIF(A$2:A$1997, A135) &gt; 1,
    MIN(IF(A$2:A$1997=A135, IF(B$2:B$1997&gt;B135, B$2:B$1997))) - B135,
    TODAY() - Table3[[#This Row],[Date of Update]]
  ),
  TODAY()-Table3[[#This Row],[Date of Update]]
)&lt;=0,
TODAY()-Table3[[#This Row],[Date of Update]],
IFERROR(
  IF(
    COUNTIF(A$2:A$1997, A135) &gt; 1,
    MIN(IF(A$2:A$1997=A135, IF(B$2:B$1997&gt;B135, B$2:B$1997))) - B135,
    TODAY() - Table3[[#This Row],[Date of Update]]
  ),
  TODAY()-Table3[[#This Row],[Date of Update]]
)))</f>
        <v>30</v>
      </c>
      <c r="G135" s="7" t="str">
        <f>IF(Table3[[#This Row],[Stage]]="Closed",Table3[[#This Row],[Date of Update]]-(_xlfn.MINIFS(Table3[Date of Update],Table3[Ref], Table3[[#This Row],[Ref]])),"")</f>
        <v/>
      </c>
    </row>
    <row r="136" spans="1:7" x14ac:dyDescent="0.25">
      <c r="A136" s="4" t="s">
        <v>104</v>
      </c>
      <c r="B136" s="5">
        <v>44762</v>
      </c>
      <c r="C136" s="6" t="s">
        <v>8</v>
      </c>
      <c r="D136" s="6" t="s">
        <v>9</v>
      </c>
      <c r="E136" s="6"/>
      <c r="F136" s="6" cm="1">
        <f t="array" aca="1" ref="F136" ca="1">IF(Table3[[#This Row],[Stage]]="Closed",0,IF(IFERROR(
  IF(
    COUNTIF(A$2:A$1997, A136) &gt; 1,
    MIN(IF(A$2:A$1997=A136, IF(B$2:B$1997&gt;B136, B$2:B$1997))) - B136,
    TODAY() - Table3[[#This Row],[Date of Update]]
  ),
  TODAY()-Table3[[#This Row],[Date of Update]]
)&lt;=0,
TODAY()-Table3[[#This Row],[Date of Update]],
IFERROR(
  IF(
    COUNTIF(A$2:A$1997, A136) &gt; 1,
    MIN(IF(A$2:A$1997=A136, IF(B$2:B$1997&gt;B136, B$2:B$1997))) - B136,
    TODAY() - Table3[[#This Row],[Date of Update]]
  ),
  TODAY()-Table3[[#This Row],[Date of Update]]
)))</f>
        <v>1204</v>
      </c>
      <c r="G136" s="7" t="str">
        <f>IF(Table3[[#This Row],[Stage]]="Closed",Table3[[#This Row],[Date of Update]]-(_xlfn.MINIFS(Table3[Date of Update],Table3[Ref], Table3[[#This Row],[Ref]])),"")</f>
        <v/>
      </c>
    </row>
    <row r="137" spans="1:7" x14ac:dyDescent="0.25">
      <c r="A137" s="4" t="s">
        <v>104</v>
      </c>
      <c r="B137" s="5">
        <v>44762</v>
      </c>
      <c r="C137" s="6" t="s">
        <v>17</v>
      </c>
      <c r="D137" s="6" t="s">
        <v>9</v>
      </c>
      <c r="E137" s="6"/>
      <c r="F137" s="6" cm="1">
        <f t="array" aca="1" ref="F137" ca="1">IF(Table3[[#This Row],[Stage]]="Closed",0,IF(IFERROR(
  IF(
    COUNTIF(A$2:A$1997, A137) &gt; 1,
    MIN(IF(A$2:A$1997=A137, IF(B$2:B$1997&gt;B137, B$2:B$1997))) - B137,
    TODAY() - Table3[[#This Row],[Date of Update]]
  ),
  TODAY()-Table3[[#This Row],[Date of Update]]
)&lt;=0,
TODAY()-Table3[[#This Row],[Date of Update]],
IFERROR(
  IF(
    COUNTIF(A$2:A$1997, A137) &gt; 1,
    MIN(IF(A$2:A$1997=A137, IF(B$2:B$1997&gt;B137, B$2:B$1997))) - B137,
    TODAY() - Table3[[#This Row],[Date of Update]]
  ),
  TODAY()-Table3[[#This Row],[Date of Update]]
)))</f>
        <v>0</v>
      </c>
      <c r="G137" s="7">
        <f>IF(Table3[[#This Row],[Stage]]="Closed",Table3[[#This Row],[Date of Update]]-(_xlfn.MINIFS(Table3[Date of Update],Table3[Ref], Table3[[#This Row],[Ref]])),"")</f>
        <v>0</v>
      </c>
    </row>
    <row r="138" spans="1:7" x14ac:dyDescent="0.25">
      <c r="A138" s="4" t="s">
        <v>72</v>
      </c>
      <c r="B138" s="5">
        <v>44767</v>
      </c>
      <c r="C138" s="6" t="s">
        <v>17</v>
      </c>
      <c r="D138" s="6" t="s">
        <v>9</v>
      </c>
      <c r="E138" s="6"/>
      <c r="F138" s="6" cm="1">
        <f t="array" aca="1" ref="F138" ca="1">IF(Table3[[#This Row],[Stage]]="Closed",0,IF(IFERROR(
  IF(
    COUNTIF(A$2:A$1997, A138) &gt; 1,
    MIN(IF(A$2:A$1997=A138, IF(B$2:B$1997&gt;B138, B$2:B$1997))) - B138,
    TODAY() - Table3[[#This Row],[Date of Update]]
  ),
  TODAY()-Table3[[#This Row],[Date of Update]]
)&lt;=0,
TODAY()-Table3[[#This Row],[Date of Update]],
IFERROR(
  IF(
    COUNTIF(A$2:A$1997, A138) &gt; 1,
    MIN(IF(A$2:A$1997=A138, IF(B$2:B$1997&gt;B138, B$2:B$1997))) - B138,
    TODAY() - Table3[[#This Row],[Date of Update]]
  ),
  TODAY()-Table3[[#This Row],[Date of Update]]
)))</f>
        <v>0</v>
      </c>
      <c r="G138" s="7">
        <f>IF(Table3[[#This Row],[Stage]]="Closed",Table3[[#This Row],[Date of Update]]-(_xlfn.MINIFS(Table3[Date of Update],Table3[Ref], Table3[[#This Row],[Ref]])),"")</f>
        <v>49</v>
      </c>
    </row>
    <row r="139" spans="1:7" x14ac:dyDescent="0.25">
      <c r="A139" s="4" t="s">
        <v>105</v>
      </c>
      <c r="B139" s="5">
        <v>44769</v>
      </c>
      <c r="C139" s="6" t="s">
        <v>8</v>
      </c>
      <c r="D139" s="6" t="s">
        <v>9</v>
      </c>
      <c r="E139" s="6" t="s">
        <v>106</v>
      </c>
      <c r="F139" s="6" cm="1">
        <f t="array" aca="1" ref="F139" ca="1">IF(Table3[[#This Row],[Stage]]="Closed",0,IF(IFERROR(
  IF(
    COUNTIF(A$2:A$1997, A139) &gt; 1,
    MIN(IF(A$2:A$1997=A139, IF(B$2:B$1997&gt;B139, B$2:B$1997))) - B139,
    TODAY() - Table3[[#This Row],[Date of Update]]
  ),
  TODAY()-Table3[[#This Row],[Date of Update]]
)&lt;=0,
TODAY()-Table3[[#This Row],[Date of Update]],
IFERROR(
  IF(
    COUNTIF(A$2:A$1997, A139) &gt; 1,
    MIN(IF(A$2:A$1997=A139, IF(B$2:B$1997&gt;B139, B$2:B$1997))) - B139,
    TODAY() - Table3[[#This Row],[Date of Update]]
  ),
  TODAY()-Table3[[#This Row],[Date of Update]]
)))</f>
        <v>477</v>
      </c>
      <c r="G139" s="7" t="str">
        <f>IF(Table3[[#This Row],[Stage]]="Closed",Table3[[#This Row],[Date of Update]]-(_xlfn.MINIFS(Table3[Date of Update],Table3[Ref], Table3[[#This Row],[Ref]])),"")</f>
        <v/>
      </c>
    </row>
    <row r="140" spans="1:7" x14ac:dyDescent="0.25">
      <c r="A140" s="4" t="s">
        <v>107</v>
      </c>
      <c r="B140" s="5">
        <v>44769</v>
      </c>
      <c r="C140" s="6" t="s">
        <v>8</v>
      </c>
      <c r="D140" s="6" t="s">
        <v>9</v>
      </c>
      <c r="E140" s="6" t="s">
        <v>102</v>
      </c>
      <c r="F140" s="6" cm="1">
        <f t="array" aca="1" ref="F140" ca="1">IF(Table3[[#This Row],[Stage]]="Closed",0,IF(IFERROR(
  IF(
    COUNTIF(A$2:A$1997, A140) &gt; 1,
    MIN(IF(A$2:A$1997=A140, IF(B$2:B$1997&gt;B140, B$2:B$1997))) - B140,
    TODAY() - Table3[[#This Row],[Date of Update]]
  ),
  TODAY()-Table3[[#This Row],[Date of Update]]
)&lt;=0,
TODAY()-Table3[[#This Row],[Date of Update]],
IFERROR(
  IF(
    COUNTIF(A$2:A$1997, A140) &gt; 1,
    MIN(IF(A$2:A$1997=A140, IF(B$2:B$1997&gt;B140, B$2:B$1997))) - B140,
    TODAY() - Table3[[#This Row],[Date of Update]]
  ),
  TODAY()-Table3[[#This Row],[Date of Update]]
)))</f>
        <v>224</v>
      </c>
      <c r="G140" s="7" t="str">
        <f>IF(Table3[[#This Row],[Stage]]="Closed",Table3[[#This Row],[Date of Update]]-(_xlfn.MINIFS(Table3[Date of Update],Table3[Ref], Table3[[#This Row],[Ref]])),"")</f>
        <v/>
      </c>
    </row>
    <row r="141" spans="1:7" x14ac:dyDescent="0.25">
      <c r="A141" s="4" t="s">
        <v>88</v>
      </c>
      <c r="B141" s="5">
        <v>44769</v>
      </c>
      <c r="C141" s="6" t="s">
        <v>17</v>
      </c>
      <c r="D141" s="6" t="s">
        <v>9</v>
      </c>
      <c r="E141" s="6"/>
      <c r="F141" s="6" cm="1">
        <f t="array" aca="1" ref="F141" ca="1">IF(Table3[[#This Row],[Stage]]="Closed",0,IF(IFERROR(
  IF(
    COUNTIF(A$2:A$1997, A141) &gt; 1,
    MIN(IF(A$2:A$1997=A141, IF(B$2:B$1997&gt;B141, B$2:B$1997))) - B141,
    TODAY() - Table3[[#This Row],[Date of Update]]
  ),
  TODAY()-Table3[[#This Row],[Date of Update]]
)&lt;=0,
TODAY()-Table3[[#This Row],[Date of Update]],
IFERROR(
  IF(
    COUNTIF(A$2:A$1997, A141) &gt; 1,
    MIN(IF(A$2:A$1997=A141, IF(B$2:B$1997&gt;B141, B$2:B$1997))) - B141,
    TODAY() - Table3[[#This Row],[Date of Update]]
  ),
  TODAY()-Table3[[#This Row],[Date of Update]]
)))</f>
        <v>0</v>
      </c>
      <c r="G141" s="7">
        <f>IF(Table3[[#This Row],[Stage]]="Closed",Table3[[#This Row],[Date of Update]]-(_xlfn.MINIFS(Table3[Date of Update],Table3[Ref], Table3[[#This Row],[Ref]])),"")</f>
        <v>30</v>
      </c>
    </row>
    <row r="142" spans="1:7" x14ac:dyDescent="0.25">
      <c r="A142" s="4" t="s">
        <v>108</v>
      </c>
      <c r="B142" s="5">
        <v>44769</v>
      </c>
      <c r="C142" s="6" t="s">
        <v>8</v>
      </c>
      <c r="D142" s="6" t="s">
        <v>9</v>
      </c>
      <c r="E142" s="6" t="s">
        <v>80</v>
      </c>
      <c r="F142" s="6" cm="1">
        <f t="array" aca="1" ref="F142" ca="1">IF(Table3[[#This Row],[Stage]]="Closed",0,IF(IFERROR(
  IF(
    COUNTIF(A$2:A$1997, A142) &gt; 1,
    MIN(IF(A$2:A$1997=A142, IF(B$2:B$1997&gt;B142, B$2:B$1997))) - B142,
    TODAY() - Table3[[#This Row],[Date of Update]]
  ),
  TODAY()-Table3[[#This Row],[Date of Update]]
)&lt;=0,
TODAY()-Table3[[#This Row],[Date of Update]],
IFERROR(
  IF(
    COUNTIF(A$2:A$1997, A142) &gt; 1,
    MIN(IF(A$2:A$1997=A142, IF(B$2:B$1997&gt;B142, B$2:B$1997))) - B142,
    TODAY() - Table3[[#This Row],[Date of Update]]
  ),
  TODAY()-Table3[[#This Row],[Date of Update]]
)))</f>
        <v>218</v>
      </c>
      <c r="G142" s="7" t="str">
        <f>IF(Table3[[#This Row],[Stage]]="Closed",Table3[[#This Row],[Date of Update]]-(_xlfn.MINIFS(Table3[Date of Update],Table3[Ref], Table3[[#This Row],[Ref]])),"")</f>
        <v/>
      </c>
    </row>
    <row r="143" spans="1:7" x14ac:dyDescent="0.25">
      <c r="A143" s="4" t="s">
        <v>109</v>
      </c>
      <c r="B143" s="5">
        <v>44769</v>
      </c>
      <c r="C143" s="6" t="s">
        <v>8</v>
      </c>
      <c r="D143" s="6" t="s">
        <v>9</v>
      </c>
      <c r="E143" s="6" t="s">
        <v>110</v>
      </c>
      <c r="F143" s="6" cm="1">
        <f t="array" aca="1" ref="F143" ca="1">IF(Table3[[#This Row],[Stage]]="Closed",0,IF(IFERROR(
  IF(
    COUNTIF(A$2:A$1997, A143) &gt; 1,
    MIN(IF(A$2:A$1997=A143, IF(B$2:B$1997&gt;B143, B$2:B$1997))) - B143,
    TODAY() - Table3[[#This Row],[Date of Update]]
  ),
  TODAY()-Table3[[#This Row],[Date of Update]]
)&lt;=0,
TODAY()-Table3[[#This Row],[Date of Update]],
IFERROR(
  IF(
    COUNTIF(A$2:A$1997, A143) &gt; 1,
    MIN(IF(A$2:A$1997=A143, IF(B$2:B$1997&gt;B143, B$2:B$1997))) - B143,
    TODAY() - Table3[[#This Row],[Date of Update]]
  ),
  TODAY()-Table3[[#This Row],[Date of Update]]
)))</f>
        <v>184</v>
      </c>
      <c r="G143" s="7" t="str">
        <f>IF(Table3[[#This Row],[Stage]]="Closed",Table3[[#This Row],[Date of Update]]-(_xlfn.MINIFS(Table3[Date of Update],Table3[Ref], Table3[[#This Row],[Ref]])),"")</f>
        <v/>
      </c>
    </row>
    <row r="144" spans="1:7" x14ac:dyDescent="0.25">
      <c r="A144" s="4" t="s">
        <v>111</v>
      </c>
      <c r="B144" s="5">
        <v>44769</v>
      </c>
      <c r="C144" s="6" t="s">
        <v>8</v>
      </c>
      <c r="D144" s="6" t="s">
        <v>9</v>
      </c>
      <c r="E144" s="6" t="s">
        <v>112</v>
      </c>
      <c r="F144" s="6" cm="1">
        <f t="array" aca="1" ref="F144" ca="1">IF(Table3[[#This Row],[Stage]]="Closed",0,IF(IFERROR(
  IF(
    COUNTIF(A$2:A$1997, A144) &gt; 1,
    MIN(IF(A$2:A$1997=A144, IF(B$2:B$1997&gt;B144, B$2:B$1997))) - B144,
    TODAY() - Table3[[#This Row],[Date of Update]]
  ),
  TODAY()-Table3[[#This Row],[Date of Update]]
)&lt;=0,
TODAY()-Table3[[#This Row],[Date of Update]],
IFERROR(
  IF(
    COUNTIF(A$2:A$1997, A144) &gt; 1,
    MIN(IF(A$2:A$1997=A144, IF(B$2:B$1997&gt;B144, B$2:B$1997))) - B144,
    TODAY() - Table3[[#This Row],[Date of Update]]
  ),
  TODAY()-Table3[[#This Row],[Date of Update]]
)))</f>
        <v>47</v>
      </c>
      <c r="G144" s="7" t="str">
        <f>IF(Table3[[#This Row],[Stage]]="Closed",Table3[[#This Row],[Date of Update]]-(_xlfn.MINIFS(Table3[Date of Update],Table3[Ref], Table3[[#This Row],[Ref]])),"")</f>
        <v/>
      </c>
    </row>
    <row r="145" spans="1:7" x14ac:dyDescent="0.25">
      <c r="A145" s="4" t="s">
        <v>113</v>
      </c>
      <c r="B145" s="5">
        <v>44769</v>
      </c>
      <c r="C145" s="6" t="s">
        <v>8</v>
      </c>
      <c r="D145" s="6" t="s">
        <v>9</v>
      </c>
      <c r="E145" s="6" t="s">
        <v>80</v>
      </c>
      <c r="F145" s="6" cm="1">
        <f t="array" aca="1" ref="F145" ca="1">IF(Table3[[#This Row],[Stage]]="Closed",0,IF(IFERROR(
  IF(
    COUNTIF(A$2:A$1997, A145) &gt; 1,
    MIN(IF(A$2:A$1997=A145, IF(B$2:B$1997&gt;B145, B$2:B$1997))) - B145,
    TODAY() - Table3[[#This Row],[Date of Update]]
  ),
  TODAY()-Table3[[#This Row],[Date of Update]]
)&lt;=0,
TODAY()-Table3[[#This Row],[Date of Update]],
IFERROR(
  IF(
    COUNTIF(A$2:A$1997, A145) &gt; 1,
    MIN(IF(A$2:A$1997=A145, IF(B$2:B$1997&gt;B145, B$2:B$1997))) - B145,
    TODAY() - Table3[[#This Row],[Date of Update]]
  ),
  TODAY()-Table3[[#This Row],[Date of Update]]
)))</f>
        <v>225</v>
      </c>
      <c r="G145" s="7" t="str">
        <f>IF(Table3[[#This Row],[Stage]]="Closed",Table3[[#This Row],[Date of Update]]-(_xlfn.MINIFS(Table3[Date of Update],Table3[Ref], Table3[[#This Row],[Ref]])),"")</f>
        <v/>
      </c>
    </row>
    <row r="146" spans="1:7" x14ac:dyDescent="0.25">
      <c r="A146" s="4" t="s">
        <v>114</v>
      </c>
      <c r="B146" s="5">
        <v>44769</v>
      </c>
      <c r="C146" s="6" t="s">
        <v>8</v>
      </c>
      <c r="D146" s="6" t="s">
        <v>9</v>
      </c>
      <c r="E146" s="6"/>
      <c r="F146" s="6" cm="1">
        <f t="array" aca="1" ref="F146" ca="1">IF(Table3[[#This Row],[Stage]]="Closed",0,IF(IFERROR(
  IF(
    COUNTIF(A$2:A$1997, A146) &gt; 1,
    MIN(IF(A$2:A$1997=A146, IF(B$2:B$1997&gt;B146, B$2:B$1997))) - B146,
    TODAY() - Table3[[#This Row],[Date of Update]]
  ),
  TODAY()-Table3[[#This Row],[Date of Update]]
)&lt;=0,
TODAY()-Table3[[#This Row],[Date of Update]],
IFERROR(
  IF(
    COUNTIF(A$2:A$1997, A146) &gt; 1,
    MIN(IF(A$2:A$1997=A146, IF(B$2:B$1997&gt;B146, B$2:B$1997))) - B146,
    TODAY() - Table3[[#This Row],[Date of Update]]
  ),
  TODAY()-Table3[[#This Row],[Date of Update]]
)))</f>
        <v>49</v>
      </c>
      <c r="G146" s="7" t="str">
        <f>IF(Table3[[#This Row],[Stage]]="Closed",Table3[[#This Row],[Date of Update]]-(_xlfn.MINIFS(Table3[Date of Update],Table3[Ref], Table3[[#This Row],[Ref]])),"")</f>
        <v/>
      </c>
    </row>
    <row r="147" spans="1:7" x14ac:dyDescent="0.25">
      <c r="A147" s="4" t="s">
        <v>115</v>
      </c>
      <c r="B147" s="5">
        <v>44770</v>
      </c>
      <c r="C147" s="6" t="s">
        <v>8</v>
      </c>
      <c r="D147" s="6" t="s">
        <v>9</v>
      </c>
      <c r="E147" s="6" t="s">
        <v>45</v>
      </c>
      <c r="F147" s="6" cm="1">
        <f t="array" aca="1" ref="F147" ca="1">IF(Table3[[#This Row],[Stage]]="Closed",0,IF(IFERROR(
  IF(
    COUNTIF(A$2:A$1997, A147) &gt; 1,
    MIN(IF(A$2:A$1997=A147, IF(B$2:B$1997&gt;B147, B$2:B$1997))) - B147,
    TODAY() - Table3[[#This Row],[Date of Update]]
  ),
  TODAY()-Table3[[#This Row],[Date of Update]]
)&lt;=0,
TODAY()-Table3[[#This Row],[Date of Update]],
IFERROR(
  IF(
    COUNTIF(A$2:A$1997, A147) &gt; 1,
    MIN(IF(A$2:A$1997=A147, IF(B$2:B$1997&gt;B147, B$2:B$1997))) - B147,
    TODAY() - Table3[[#This Row],[Date of Update]]
  ),
  TODAY()-Table3[[#This Row],[Date of Update]]
)))</f>
        <v>30</v>
      </c>
      <c r="G147" s="7" t="str">
        <f>IF(Table3[[#This Row],[Stage]]="Closed",Table3[[#This Row],[Date of Update]]-(_xlfn.MINIFS(Table3[Date of Update],Table3[Ref], Table3[[#This Row],[Ref]])),"")</f>
        <v/>
      </c>
    </row>
    <row r="148" spans="1:7" x14ac:dyDescent="0.25">
      <c r="A148" s="4" t="s">
        <v>116</v>
      </c>
      <c r="B148" s="5">
        <v>44770</v>
      </c>
      <c r="C148" s="6" t="s">
        <v>8</v>
      </c>
      <c r="D148" s="6" t="s">
        <v>9</v>
      </c>
      <c r="E148" s="6" t="s">
        <v>45</v>
      </c>
      <c r="F148" s="6" cm="1">
        <f t="array" aca="1" ref="F148" ca="1">IF(Table3[[#This Row],[Stage]]="Closed",0,IF(IFERROR(
  IF(
    COUNTIF(A$2:A$1997, A148) &gt; 1,
    MIN(IF(A$2:A$1997=A148, IF(B$2:B$1997&gt;B148, B$2:B$1997))) - B148,
    TODAY() - Table3[[#This Row],[Date of Update]]
  ),
  TODAY()-Table3[[#This Row],[Date of Update]]
)&lt;=0,
TODAY()-Table3[[#This Row],[Date of Update]],
IFERROR(
  IF(
    COUNTIF(A$2:A$1997, A148) &gt; 1,
    MIN(IF(A$2:A$1997=A148, IF(B$2:B$1997&gt;B148, B$2:B$1997))) - B148,
    TODAY() - Table3[[#This Row],[Date of Update]]
  ),
  TODAY()-Table3[[#This Row],[Date of Update]]
)))</f>
        <v>30</v>
      </c>
      <c r="G148" s="7" t="str">
        <f>IF(Table3[[#This Row],[Stage]]="Closed",Table3[[#This Row],[Date of Update]]-(_xlfn.MINIFS(Table3[Date of Update],Table3[Ref], Table3[[#This Row],[Ref]])),"")</f>
        <v/>
      </c>
    </row>
    <row r="149" spans="1:7" x14ac:dyDescent="0.25">
      <c r="A149" s="4" t="s">
        <v>117</v>
      </c>
      <c r="B149" s="5">
        <v>44770</v>
      </c>
      <c r="C149" s="6" t="s">
        <v>8</v>
      </c>
      <c r="D149" s="6" t="s">
        <v>9</v>
      </c>
      <c r="E149" s="6" t="s">
        <v>45</v>
      </c>
      <c r="F149" s="6" cm="1">
        <f t="array" aca="1" ref="F149" ca="1">IF(Table3[[#This Row],[Stage]]="Closed",0,IF(IFERROR(
  IF(
    COUNTIF(A$2:A$1997, A149) &gt; 1,
    MIN(IF(A$2:A$1997=A149, IF(B$2:B$1997&gt;B149, B$2:B$1997))) - B149,
    TODAY() - Table3[[#This Row],[Date of Update]]
  ),
  TODAY()-Table3[[#This Row],[Date of Update]]
)&lt;=0,
TODAY()-Table3[[#This Row],[Date of Update]],
IFERROR(
  IF(
    COUNTIF(A$2:A$1997, A149) &gt; 1,
    MIN(IF(A$2:A$1997=A149, IF(B$2:B$1997&gt;B149, B$2:B$1997))) - B149,
    TODAY() - Table3[[#This Row],[Date of Update]]
  ),
  TODAY()-Table3[[#This Row],[Date of Update]]
)))</f>
        <v>30</v>
      </c>
      <c r="G149" s="7" t="str">
        <f>IF(Table3[[#This Row],[Stage]]="Closed",Table3[[#This Row],[Date of Update]]-(_xlfn.MINIFS(Table3[Date of Update],Table3[Ref], Table3[[#This Row],[Ref]])),"")</f>
        <v/>
      </c>
    </row>
    <row r="150" spans="1:7" x14ac:dyDescent="0.25">
      <c r="A150" s="4" t="s">
        <v>118</v>
      </c>
      <c r="B150" s="5">
        <v>44770</v>
      </c>
      <c r="C150" s="6" t="s">
        <v>8</v>
      </c>
      <c r="D150" s="6" t="s">
        <v>9</v>
      </c>
      <c r="E150" s="6" t="s">
        <v>45</v>
      </c>
      <c r="F150" s="6" cm="1">
        <f t="array" aca="1" ref="F150" ca="1">IF(Table3[[#This Row],[Stage]]="Closed",0,IF(IFERROR(
  IF(
    COUNTIF(A$2:A$1997, A150) &gt; 1,
    MIN(IF(A$2:A$1997=A150, IF(B$2:B$1997&gt;B150, B$2:B$1997))) - B150,
    TODAY() - Table3[[#This Row],[Date of Update]]
  ),
  TODAY()-Table3[[#This Row],[Date of Update]]
)&lt;=0,
TODAY()-Table3[[#This Row],[Date of Update]],
IFERROR(
  IF(
    COUNTIF(A$2:A$1997, A150) &gt; 1,
    MIN(IF(A$2:A$1997=A150, IF(B$2:B$1997&gt;B150, B$2:B$1997))) - B150,
    TODAY() - Table3[[#This Row],[Date of Update]]
  ),
  TODAY()-Table3[[#This Row],[Date of Update]]
)))</f>
        <v>30</v>
      </c>
      <c r="G150" s="7" t="str">
        <f>IF(Table3[[#This Row],[Stage]]="Closed",Table3[[#This Row],[Date of Update]]-(_xlfn.MINIFS(Table3[Date of Update],Table3[Ref], Table3[[#This Row],[Ref]])),"")</f>
        <v/>
      </c>
    </row>
    <row r="151" spans="1:7" x14ac:dyDescent="0.25">
      <c r="A151" s="4" t="s">
        <v>119</v>
      </c>
      <c r="B151" s="5">
        <v>44770</v>
      </c>
      <c r="C151" s="6" t="s">
        <v>8</v>
      </c>
      <c r="D151" s="6" t="s">
        <v>9</v>
      </c>
      <c r="E151" s="6" t="s">
        <v>45</v>
      </c>
      <c r="F151" s="6" cm="1">
        <f t="array" aca="1" ref="F151" ca="1">IF(Table3[[#This Row],[Stage]]="Closed",0,IF(IFERROR(
  IF(
    COUNTIF(A$2:A$1997, A151) &gt; 1,
    MIN(IF(A$2:A$1997=A151, IF(B$2:B$1997&gt;B151, B$2:B$1997))) - B151,
    TODAY() - Table3[[#This Row],[Date of Update]]
  ),
  TODAY()-Table3[[#This Row],[Date of Update]]
)&lt;=0,
TODAY()-Table3[[#This Row],[Date of Update]],
IFERROR(
  IF(
    COUNTIF(A$2:A$1997, A151) &gt; 1,
    MIN(IF(A$2:A$1997=A151, IF(B$2:B$1997&gt;B151, B$2:B$1997))) - B151,
    TODAY() - Table3[[#This Row],[Date of Update]]
  ),
  TODAY()-Table3[[#This Row],[Date of Update]]
)))</f>
        <v>30</v>
      </c>
      <c r="G151" s="7" t="str">
        <f>IF(Table3[[#This Row],[Stage]]="Closed",Table3[[#This Row],[Date of Update]]-(_xlfn.MINIFS(Table3[Date of Update],Table3[Ref], Table3[[#This Row],[Ref]])),"")</f>
        <v/>
      </c>
    </row>
    <row r="152" spans="1:7" x14ac:dyDescent="0.25">
      <c r="A152" s="4" t="s">
        <v>120</v>
      </c>
      <c r="B152" s="5">
        <v>44770</v>
      </c>
      <c r="C152" s="6" t="s">
        <v>8</v>
      </c>
      <c r="D152" s="6" t="s">
        <v>9</v>
      </c>
      <c r="E152" s="6" t="s">
        <v>45</v>
      </c>
      <c r="F152" s="6" cm="1">
        <f t="array" aca="1" ref="F152" ca="1">IF(Table3[[#This Row],[Stage]]="Closed",0,IF(IFERROR(
  IF(
    COUNTIF(A$2:A$1997, A152) &gt; 1,
    MIN(IF(A$2:A$1997=A152, IF(B$2:B$1997&gt;B152, B$2:B$1997))) - B152,
    TODAY() - Table3[[#This Row],[Date of Update]]
  ),
  TODAY()-Table3[[#This Row],[Date of Update]]
)&lt;=0,
TODAY()-Table3[[#This Row],[Date of Update]],
IFERROR(
  IF(
    COUNTIF(A$2:A$1997, A152) &gt; 1,
    MIN(IF(A$2:A$1997=A152, IF(B$2:B$1997&gt;B152, B$2:B$1997))) - B152,
    TODAY() - Table3[[#This Row],[Date of Update]]
  ),
  TODAY()-Table3[[#This Row],[Date of Update]]
)))</f>
        <v>30</v>
      </c>
      <c r="G152" s="7" t="str">
        <f>IF(Table3[[#This Row],[Stage]]="Closed",Table3[[#This Row],[Date of Update]]-(_xlfn.MINIFS(Table3[Date of Update],Table3[Ref], Table3[[#This Row],[Ref]])),"")</f>
        <v/>
      </c>
    </row>
    <row r="153" spans="1:7" x14ac:dyDescent="0.25">
      <c r="A153" s="4" t="s">
        <v>121</v>
      </c>
      <c r="B153" s="5">
        <v>44774</v>
      </c>
      <c r="C153" s="6" t="s">
        <v>8</v>
      </c>
      <c r="D153" s="6" t="s">
        <v>9</v>
      </c>
      <c r="E153" s="6" t="s">
        <v>45</v>
      </c>
      <c r="F153" s="6" cm="1">
        <f t="array" aca="1" ref="F153" ca="1">IF(Table3[[#This Row],[Stage]]="Closed",0,IF(IFERROR(
  IF(
    COUNTIF(A$2:A$1997, A153) &gt; 1,
    MIN(IF(A$2:A$1997=A153, IF(B$2:B$1997&gt;B153, B$2:B$1997))) - B153,
    TODAY() - Table3[[#This Row],[Date of Update]]
  ),
  TODAY()-Table3[[#This Row],[Date of Update]]
)&lt;=0,
TODAY()-Table3[[#This Row],[Date of Update]],
IFERROR(
  IF(
    COUNTIF(A$2:A$1997, A153) &gt; 1,
    MIN(IF(A$2:A$1997=A153, IF(B$2:B$1997&gt;B153, B$2:B$1997))) - B153,
    TODAY() - Table3[[#This Row],[Date of Update]]
  ),
  TODAY()-Table3[[#This Row],[Date of Update]]
)))</f>
        <v>30</v>
      </c>
      <c r="G153" s="7" t="str">
        <f>IF(Table3[[#This Row],[Stage]]="Closed",Table3[[#This Row],[Date of Update]]-(_xlfn.MINIFS(Table3[Date of Update],Table3[Ref], Table3[[#This Row],[Ref]])),"")</f>
        <v/>
      </c>
    </row>
    <row r="154" spans="1:7" x14ac:dyDescent="0.25">
      <c r="A154" s="4" t="s">
        <v>122</v>
      </c>
      <c r="B154" s="5">
        <v>44774</v>
      </c>
      <c r="C154" s="6" t="s">
        <v>8</v>
      </c>
      <c r="D154" s="6" t="s">
        <v>9</v>
      </c>
      <c r="E154" s="6" t="s">
        <v>45</v>
      </c>
      <c r="F154" s="6" cm="1">
        <f t="array" aca="1" ref="F154" ca="1">IF(Table3[[#This Row],[Stage]]="Closed",0,IF(IFERROR(
  IF(
    COUNTIF(A$2:A$1997, A154) &gt; 1,
    MIN(IF(A$2:A$1997=A154, IF(B$2:B$1997&gt;B154, B$2:B$1997))) - B154,
    TODAY() - Table3[[#This Row],[Date of Update]]
  ),
  TODAY()-Table3[[#This Row],[Date of Update]]
)&lt;=0,
TODAY()-Table3[[#This Row],[Date of Update]],
IFERROR(
  IF(
    COUNTIF(A$2:A$1997, A154) &gt; 1,
    MIN(IF(A$2:A$1997=A154, IF(B$2:B$1997&gt;B154, B$2:B$1997))) - B154,
    TODAY() - Table3[[#This Row],[Date of Update]]
  ),
  TODAY()-Table3[[#This Row],[Date of Update]]
)))</f>
        <v>30</v>
      </c>
      <c r="G154" s="7" t="str">
        <f>IF(Table3[[#This Row],[Stage]]="Closed",Table3[[#This Row],[Date of Update]]-(_xlfn.MINIFS(Table3[Date of Update],Table3[Ref], Table3[[#This Row],[Ref]])),"")</f>
        <v/>
      </c>
    </row>
    <row r="155" spans="1:7" x14ac:dyDescent="0.25">
      <c r="A155" s="4" t="s">
        <v>123</v>
      </c>
      <c r="B155" s="5">
        <v>44774</v>
      </c>
      <c r="C155" s="6" t="s">
        <v>8</v>
      </c>
      <c r="D155" s="6" t="s">
        <v>9</v>
      </c>
      <c r="E155" s="6" t="s">
        <v>45</v>
      </c>
      <c r="F155" s="6" cm="1">
        <f t="array" aca="1" ref="F155" ca="1">IF(Table3[[#This Row],[Stage]]="Closed",0,IF(IFERROR(
  IF(
    COUNTIF(A$2:A$1997, A155) &gt; 1,
    MIN(IF(A$2:A$1997=A155, IF(B$2:B$1997&gt;B155, B$2:B$1997))) - B155,
    TODAY() - Table3[[#This Row],[Date of Update]]
  ),
  TODAY()-Table3[[#This Row],[Date of Update]]
)&lt;=0,
TODAY()-Table3[[#This Row],[Date of Update]],
IFERROR(
  IF(
    COUNTIF(A$2:A$1997, A155) &gt; 1,
    MIN(IF(A$2:A$1997=A155, IF(B$2:B$1997&gt;B155, B$2:B$1997))) - B155,
    TODAY() - Table3[[#This Row],[Date of Update]]
  ),
  TODAY()-Table3[[#This Row],[Date of Update]]
)))</f>
        <v>30</v>
      </c>
      <c r="G155" s="7" t="str">
        <f>IF(Table3[[#This Row],[Stage]]="Closed",Table3[[#This Row],[Date of Update]]-(_xlfn.MINIFS(Table3[Date of Update],Table3[Ref], Table3[[#This Row],[Ref]])),"")</f>
        <v/>
      </c>
    </row>
    <row r="156" spans="1:7" x14ac:dyDescent="0.25">
      <c r="A156" s="4" t="s">
        <v>124</v>
      </c>
      <c r="B156" s="5">
        <v>44774</v>
      </c>
      <c r="C156" s="6" t="s">
        <v>8</v>
      </c>
      <c r="D156" s="6" t="s">
        <v>9</v>
      </c>
      <c r="E156" s="6" t="s">
        <v>45</v>
      </c>
      <c r="F156" s="6" cm="1">
        <f t="array" aca="1" ref="F156" ca="1">IF(Table3[[#This Row],[Stage]]="Closed",0,IF(IFERROR(
  IF(
    COUNTIF(A$2:A$1997, A156) &gt; 1,
    MIN(IF(A$2:A$1997=A156, IF(B$2:B$1997&gt;B156, B$2:B$1997))) - B156,
    TODAY() - Table3[[#This Row],[Date of Update]]
  ),
  TODAY()-Table3[[#This Row],[Date of Update]]
)&lt;=0,
TODAY()-Table3[[#This Row],[Date of Update]],
IFERROR(
  IF(
    COUNTIF(A$2:A$1997, A156) &gt; 1,
    MIN(IF(A$2:A$1997=A156, IF(B$2:B$1997&gt;B156, B$2:B$1997))) - B156,
    TODAY() - Table3[[#This Row],[Date of Update]]
  ),
  TODAY()-Table3[[#This Row],[Date of Update]]
)))</f>
        <v>30</v>
      </c>
      <c r="G156" s="7" t="str">
        <f>IF(Table3[[#This Row],[Stage]]="Closed",Table3[[#This Row],[Date of Update]]-(_xlfn.MINIFS(Table3[Date of Update],Table3[Ref], Table3[[#This Row],[Ref]])),"")</f>
        <v/>
      </c>
    </row>
    <row r="157" spans="1:7" x14ac:dyDescent="0.25">
      <c r="A157" s="4" t="s">
        <v>125</v>
      </c>
      <c r="B157" s="5">
        <v>44774</v>
      </c>
      <c r="C157" s="6" t="s">
        <v>8</v>
      </c>
      <c r="D157" s="6" t="s">
        <v>9</v>
      </c>
      <c r="E157" s="6" t="s">
        <v>45</v>
      </c>
      <c r="F157" s="6" cm="1">
        <f t="array" aca="1" ref="F157" ca="1">IF(Table3[[#This Row],[Stage]]="Closed",0,IF(IFERROR(
  IF(
    COUNTIF(A$2:A$1997, A157) &gt; 1,
    MIN(IF(A$2:A$1997=A157, IF(B$2:B$1997&gt;B157, B$2:B$1997))) - B157,
    TODAY() - Table3[[#This Row],[Date of Update]]
  ),
  TODAY()-Table3[[#This Row],[Date of Update]]
)&lt;=0,
TODAY()-Table3[[#This Row],[Date of Update]],
IFERROR(
  IF(
    COUNTIF(A$2:A$1997, A157) &gt; 1,
    MIN(IF(A$2:A$1997=A157, IF(B$2:B$1997&gt;B157, B$2:B$1997))) - B157,
    TODAY() - Table3[[#This Row],[Date of Update]]
  ),
  TODAY()-Table3[[#This Row],[Date of Update]]
)))</f>
        <v>30</v>
      </c>
      <c r="G157" s="7" t="str">
        <f>IF(Table3[[#This Row],[Stage]]="Closed",Table3[[#This Row],[Date of Update]]-(_xlfn.MINIFS(Table3[Date of Update],Table3[Ref], Table3[[#This Row],[Ref]])),"")</f>
        <v/>
      </c>
    </row>
    <row r="158" spans="1:7" x14ac:dyDescent="0.25">
      <c r="A158" s="4" t="s">
        <v>126</v>
      </c>
      <c r="B158" s="5">
        <v>44775</v>
      </c>
      <c r="C158" s="6" t="s">
        <v>8</v>
      </c>
      <c r="D158" s="6" t="s">
        <v>9</v>
      </c>
      <c r="E158" s="6" t="s">
        <v>45</v>
      </c>
      <c r="F158" s="6" cm="1">
        <f t="array" aca="1" ref="F158" ca="1">IF(Table3[[#This Row],[Stage]]="Closed",0,IF(IFERROR(
  IF(
    COUNTIF(A$2:A$1997, A158) &gt; 1,
    MIN(IF(A$2:A$1997=A158, IF(B$2:B$1997&gt;B158, B$2:B$1997))) - B158,
    TODAY() - Table3[[#This Row],[Date of Update]]
  ),
  TODAY()-Table3[[#This Row],[Date of Update]]
)&lt;=0,
TODAY()-Table3[[#This Row],[Date of Update]],
IFERROR(
  IF(
    COUNTIF(A$2:A$1997, A158) &gt; 1,
    MIN(IF(A$2:A$1997=A158, IF(B$2:B$1997&gt;B158, B$2:B$1997))) - B158,
    TODAY() - Table3[[#This Row],[Date of Update]]
  ),
  TODAY()-Table3[[#This Row],[Date of Update]]
)))</f>
        <v>30</v>
      </c>
      <c r="G158" s="7" t="str">
        <f>IF(Table3[[#This Row],[Stage]]="Closed",Table3[[#This Row],[Date of Update]]-(_xlfn.MINIFS(Table3[Date of Update],Table3[Ref], Table3[[#This Row],[Ref]])),"")</f>
        <v/>
      </c>
    </row>
    <row r="159" spans="1:7" x14ac:dyDescent="0.25">
      <c r="A159" s="4" t="s">
        <v>127</v>
      </c>
      <c r="B159" s="5">
        <v>44776</v>
      </c>
      <c r="C159" s="6" t="s">
        <v>8</v>
      </c>
      <c r="D159" s="6" t="s">
        <v>9</v>
      </c>
      <c r="E159" s="6" t="s">
        <v>45</v>
      </c>
      <c r="F159" s="6" cm="1">
        <f t="array" aca="1" ref="F159" ca="1">IF(Table3[[#This Row],[Stage]]="Closed",0,IF(IFERROR(
  IF(
    COUNTIF(A$2:A$1997, A159) &gt; 1,
    MIN(IF(A$2:A$1997=A159, IF(B$2:B$1997&gt;B159, B$2:B$1997))) - B159,
    TODAY() - Table3[[#This Row],[Date of Update]]
  ),
  TODAY()-Table3[[#This Row],[Date of Update]]
)&lt;=0,
TODAY()-Table3[[#This Row],[Date of Update]],
IFERROR(
  IF(
    COUNTIF(A$2:A$1997, A159) &gt; 1,
    MIN(IF(A$2:A$1997=A159, IF(B$2:B$1997&gt;B159, B$2:B$1997))) - B159,
    TODAY() - Table3[[#This Row],[Date of Update]]
  ),
  TODAY()-Table3[[#This Row],[Date of Update]]
)))</f>
        <v>30</v>
      </c>
      <c r="G159" s="7" t="str">
        <f>IF(Table3[[#This Row],[Stage]]="Closed",Table3[[#This Row],[Date of Update]]-(_xlfn.MINIFS(Table3[Date of Update],Table3[Ref], Table3[[#This Row],[Ref]])),"")</f>
        <v/>
      </c>
    </row>
    <row r="160" spans="1:7" x14ac:dyDescent="0.25">
      <c r="A160" s="4" t="s">
        <v>128</v>
      </c>
      <c r="B160" s="5">
        <v>44776</v>
      </c>
      <c r="C160" s="6" t="s">
        <v>8</v>
      </c>
      <c r="D160" s="6" t="s">
        <v>9</v>
      </c>
      <c r="E160" s="6"/>
      <c r="F160" s="6" cm="1">
        <f t="array" aca="1" ref="F160" ca="1">IF(Table3[[#This Row],[Stage]]="Closed",0,IF(IFERROR(
  IF(
    COUNTIF(A$2:A$1997, A160) &gt; 1,
    MIN(IF(A$2:A$1997=A160, IF(B$2:B$1997&gt;B160, B$2:B$1997))) - B160,
    TODAY() - Table3[[#This Row],[Date of Update]]
  ),
  TODAY()-Table3[[#This Row],[Date of Update]]
)&lt;=0,
TODAY()-Table3[[#This Row],[Date of Update]],
IFERROR(
  IF(
    COUNTIF(A$2:A$1997, A160) &gt; 1,
    MIN(IF(A$2:A$1997=A160, IF(B$2:B$1997&gt;B160, B$2:B$1997))) - B160,
    TODAY() - Table3[[#This Row],[Date of Update]]
  ),
  TODAY()-Table3[[#This Row],[Date of Update]]
)))</f>
        <v>22</v>
      </c>
      <c r="G160" s="7" t="str">
        <f>IF(Table3[[#This Row],[Stage]]="Closed",Table3[[#This Row],[Date of Update]]-(_xlfn.MINIFS(Table3[Date of Update],Table3[Ref], Table3[[#This Row],[Ref]])),"")</f>
        <v/>
      </c>
    </row>
    <row r="161" spans="1:7" x14ac:dyDescent="0.25">
      <c r="A161" s="4" t="s">
        <v>129</v>
      </c>
      <c r="B161" s="5">
        <v>44776</v>
      </c>
      <c r="C161" s="6" t="s">
        <v>8</v>
      </c>
      <c r="D161" s="6" t="s">
        <v>9</v>
      </c>
      <c r="E161" s="6" t="s">
        <v>45</v>
      </c>
      <c r="F161" s="6" cm="1">
        <f t="array" aca="1" ref="F161" ca="1">IF(Table3[[#This Row],[Stage]]="Closed",0,IF(IFERROR(
  IF(
    COUNTIF(A$2:A$1997, A161) &gt; 1,
    MIN(IF(A$2:A$1997=A161, IF(B$2:B$1997&gt;B161, B$2:B$1997))) - B161,
    TODAY() - Table3[[#This Row],[Date of Update]]
  ),
  TODAY()-Table3[[#This Row],[Date of Update]]
)&lt;=0,
TODAY()-Table3[[#This Row],[Date of Update]],
IFERROR(
  IF(
    COUNTIF(A$2:A$1997, A161) &gt; 1,
    MIN(IF(A$2:A$1997=A161, IF(B$2:B$1997&gt;B161, B$2:B$1997))) - B161,
    TODAY() - Table3[[#This Row],[Date of Update]]
  ),
  TODAY()-Table3[[#This Row],[Date of Update]]
)))</f>
        <v>30</v>
      </c>
      <c r="G161" s="7" t="str">
        <f>IF(Table3[[#This Row],[Stage]]="Closed",Table3[[#This Row],[Date of Update]]-(_xlfn.MINIFS(Table3[Date of Update],Table3[Ref], Table3[[#This Row],[Ref]])),"")</f>
        <v/>
      </c>
    </row>
    <row r="162" spans="1:7" x14ac:dyDescent="0.25">
      <c r="A162" s="4" t="s">
        <v>130</v>
      </c>
      <c r="B162" s="5">
        <v>44777</v>
      </c>
      <c r="C162" s="6" t="s">
        <v>8</v>
      </c>
      <c r="D162" s="6" t="s">
        <v>9</v>
      </c>
      <c r="E162" s="6"/>
      <c r="F162" s="6" cm="1">
        <f t="array" aca="1" ref="F162" ca="1">IF(Table3[[#This Row],[Stage]]="Closed",0,IF(IFERROR(
  IF(
    COUNTIF(A$2:A$1997, A162) &gt; 1,
    MIN(IF(A$2:A$1997=A162, IF(B$2:B$1997&gt;B162, B$2:B$1997))) - B162,
    TODAY() - Table3[[#This Row],[Date of Update]]
  ),
  TODAY()-Table3[[#This Row],[Date of Update]]
)&lt;=0,
TODAY()-Table3[[#This Row],[Date of Update]],
IFERROR(
  IF(
    COUNTIF(A$2:A$1997, A162) &gt; 1,
    MIN(IF(A$2:A$1997=A162, IF(B$2:B$1997&gt;B162, B$2:B$1997))) - B162,
    TODAY() - Table3[[#This Row],[Date of Update]]
  ),
  TODAY()-Table3[[#This Row],[Date of Update]]
)))</f>
        <v>68</v>
      </c>
      <c r="G162" s="7" t="str">
        <f>IF(Table3[[#This Row],[Stage]]="Closed",Table3[[#This Row],[Date of Update]]-(_xlfn.MINIFS(Table3[Date of Update],Table3[Ref], Table3[[#This Row],[Ref]])),"")</f>
        <v/>
      </c>
    </row>
    <row r="163" spans="1:7" x14ac:dyDescent="0.25">
      <c r="A163" s="4" t="s">
        <v>131</v>
      </c>
      <c r="B163" s="5">
        <v>44777</v>
      </c>
      <c r="C163" s="6" t="s">
        <v>8</v>
      </c>
      <c r="D163" s="6" t="s">
        <v>9</v>
      </c>
      <c r="E163" s="6" t="s">
        <v>45</v>
      </c>
      <c r="F163" s="6" cm="1">
        <f t="array" aca="1" ref="F163" ca="1">IF(Table3[[#This Row],[Stage]]="Closed",0,IF(IFERROR(
  IF(
    COUNTIF(A$2:A$1997, A163) &gt; 1,
    MIN(IF(A$2:A$1997=A163, IF(B$2:B$1997&gt;B163, B$2:B$1997))) - B163,
    TODAY() - Table3[[#This Row],[Date of Update]]
  ),
  TODAY()-Table3[[#This Row],[Date of Update]]
)&lt;=0,
TODAY()-Table3[[#This Row],[Date of Update]],
IFERROR(
  IF(
    COUNTIF(A$2:A$1997, A163) &gt; 1,
    MIN(IF(A$2:A$1997=A163, IF(B$2:B$1997&gt;B163, B$2:B$1997))) - B163,
    TODAY() - Table3[[#This Row],[Date of Update]]
  ),
  TODAY()-Table3[[#This Row],[Date of Update]]
)))</f>
        <v>30</v>
      </c>
      <c r="G163" s="7" t="str">
        <f>IF(Table3[[#This Row],[Stage]]="Closed",Table3[[#This Row],[Date of Update]]-(_xlfn.MINIFS(Table3[Date of Update],Table3[Ref], Table3[[#This Row],[Ref]])),"")</f>
        <v/>
      </c>
    </row>
    <row r="164" spans="1:7" x14ac:dyDescent="0.25">
      <c r="A164" s="4" t="s">
        <v>132</v>
      </c>
      <c r="B164" s="5">
        <v>44781</v>
      </c>
      <c r="C164" s="6" t="s">
        <v>8</v>
      </c>
      <c r="D164" s="6" t="s">
        <v>9</v>
      </c>
      <c r="E164" s="6" t="s">
        <v>80</v>
      </c>
      <c r="F164" s="6" cm="1">
        <f t="array" aca="1" ref="F164" ca="1">IF(Table3[[#This Row],[Stage]]="Closed",0,IF(IFERROR(
  IF(
    COUNTIF(A$2:A$1997, A164) &gt; 1,
    MIN(IF(A$2:A$1997=A164, IF(B$2:B$1997&gt;B164, B$2:B$1997))) - B164,
    TODAY() - Table3[[#This Row],[Date of Update]]
  ),
  TODAY()-Table3[[#This Row],[Date of Update]]
)&lt;=0,
TODAY()-Table3[[#This Row],[Date of Update]],
IFERROR(
  IF(
    COUNTIF(A$2:A$1997, A164) &gt; 1,
    MIN(IF(A$2:A$1997=A164, IF(B$2:B$1997&gt;B164, B$2:B$1997))) - B164,
    TODAY() - Table3[[#This Row],[Date of Update]]
  ),
  TODAY()-Table3[[#This Row],[Date of Update]]
)))</f>
        <v>267</v>
      </c>
      <c r="G164" s="7" t="str">
        <f>IF(Table3[[#This Row],[Stage]]="Closed",Table3[[#This Row],[Date of Update]]-(_xlfn.MINIFS(Table3[Date of Update],Table3[Ref], Table3[[#This Row],[Ref]])),"")</f>
        <v/>
      </c>
    </row>
    <row r="165" spans="1:7" x14ac:dyDescent="0.25">
      <c r="A165" s="4" t="s">
        <v>133</v>
      </c>
      <c r="B165" s="5">
        <v>44782</v>
      </c>
      <c r="C165" s="6" t="s">
        <v>8</v>
      </c>
      <c r="D165" s="6" t="s">
        <v>9</v>
      </c>
      <c r="E165" s="6" t="s">
        <v>134</v>
      </c>
      <c r="F165" s="6" cm="1">
        <f t="array" aca="1" ref="F165" ca="1">IF(Table3[[#This Row],[Stage]]="Closed",0,IF(IFERROR(
  IF(
    COUNTIF(A$2:A$1997, A165) &gt; 1,
    MIN(IF(A$2:A$1997=A165, IF(B$2:B$1997&gt;B165, B$2:B$1997))) - B165,
    TODAY() - Table3[[#This Row],[Date of Update]]
  ),
  TODAY()-Table3[[#This Row],[Date of Update]]
)&lt;=0,
TODAY()-Table3[[#This Row],[Date of Update]],
IFERROR(
  IF(
    COUNTIF(A$2:A$1997, A165) &gt; 1,
    MIN(IF(A$2:A$1997=A165, IF(B$2:B$1997&gt;B165, B$2:B$1997))) - B165,
    TODAY() - Table3[[#This Row],[Date of Update]]
  ),
  TODAY()-Table3[[#This Row],[Date of Update]]
)))</f>
        <v>132</v>
      </c>
      <c r="G165" s="7" t="str">
        <f>IF(Table3[[#This Row],[Stage]]="Closed",Table3[[#This Row],[Date of Update]]-(_xlfn.MINIFS(Table3[Date of Update],Table3[Ref], Table3[[#This Row],[Ref]])),"")</f>
        <v/>
      </c>
    </row>
    <row r="166" spans="1:7" x14ac:dyDescent="0.25">
      <c r="A166" s="4" t="s">
        <v>135</v>
      </c>
      <c r="B166" s="5">
        <v>44782</v>
      </c>
      <c r="C166" s="6" t="s">
        <v>8</v>
      </c>
      <c r="D166" s="6" t="s">
        <v>9</v>
      </c>
      <c r="E166" s="6" t="s">
        <v>136</v>
      </c>
      <c r="F166" s="6" cm="1">
        <f t="array" aca="1" ref="F166" ca="1">IF(Table3[[#This Row],[Stage]]="Closed",0,IF(IFERROR(
  IF(
    COUNTIF(A$2:A$1997, A166) &gt; 1,
    MIN(IF(A$2:A$1997=A166, IF(B$2:B$1997&gt;B166, B$2:B$1997))) - B166,
    TODAY() - Table3[[#This Row],[Date of Update]]
  ),
  TODAY()-Table3[[#This Row],[Date of Update]]
)&lt;=0,
TODAY()-Table3[[#This Row],[Date of Update]],
IFERROR(
  IF(
    COUNTIF(A$2:A$1997, A166) &gt; 1,
    MIN(IF(A$2:A$1997=A166, IF(B$2:B$1997&gt;B166, B$2:B$1997))) - B166,
    TODAY() - Table3[[#This Row],[Date of Update]]
  ),
  TODAY()-Table3[[#This Row],[Date of Update]]
)))</f>
        <v>132</v>
      </c>
      <c r="G166" s="7" t="str">
        <f>IF(Table3[[#This Row],[Stage]]="Closed",Table3[[#This Row],[Date of Update]]-(_xlfn.MINIFS(Table3[Date of Update],Table3[Ref], Table3[[#This Row],[Ref]])),"")</f>
        <v/>
      </c>
    </row>
    <row r="167" spans="1:7" x14ac:dyDescent="0.25">
      <c r="A167" s="4" t="s">
        <v>137</v>
      </c>
      <c r="B167" s="5">
        <v>44782</v>
      </c>
      <c r="C167" s="6" t="s">
        <v>8</v>
      </c>
      <c r="D167" s="6" t="s">
        <v>9</v>
      </c>
      <c r="E167" s="6"/>
      <c r="F167" s="6" cm="1">
        <f t="array" aca="1" ref="F167" ca="1">IF(Table3[[#This Row],[Stage]]="Closed",0,IF(IFERROR(
  IF(
    COUNTIF(A$2:A$1997, A167) &gt; 1,
    MIN(IF(A$2:A$1997=A167, IF(B$2:B$1997&gt;B167, B$2:B$1997))) - B167,
    TODAY() - Table3[[#This Row],[Date of Update]]
  ),
  TODAY()-Table3[[#This Row],[Date of Update]]
)&lt;=0,
TODAY()-Table3[[#This Row],[Date of Update]],
IFERROR(
  IF(
    COUNTIF(A$2:A$1997, A167) &gt; 1,
    MIN(IF(A$2:A$1997=A167, IF(B$2:B$1997&gt;B167, B$2:B$1997))) - B167,
    TODAY() - Table3[[#This Row],[Date of Update]]
  ),
  TODAY()-Table3[[#This Row],[Date of Update]]
)))</f>
        <v>254</v>
      </c>
      <c r="G167" s="7" t="str">
        <f>IF(Table3[[#This Row],[Stage]]="Closed",Table3[[#This Row],[Date of Update]]-(_xlfn.MINIFS(Table3[Date of Update],Table3[Ref], Table3[[#This Row],[Ref]])),"")</f>
        <v/>
      </c>
    </row>
    <row r="168" spans="1:7" x14ac:dyDescent="0.25">
      <c r="A168" s="4" t="s">
        <v>138</v>
      </c>
      <c r="B168" s="5">
        <v>44782</v>
      </c>
      <c r="C168" s="6" t="s">
        <v>8</v>
      </c>
      <c r="D168" s="6" t="s">
        <v>9</v>
      </c>
      <c r="E168" s="6" t="s">
        <v>139</v>
      </c>
      <c r="F168" s="6" cm="1">
        <f t="array" aca="1" ref="F168" ca="1">IF(Table3[[#This Row],[Stage]]="Closed",0,IF(IFERROR(
  IF(
    COUNTIF(A$2:A$1997, A168) &gt; 1,
    MIN(IF(A$2:A$1997=A168, IF(B$2:B$1997&gt;B168, B$2:B$1997))) - B168,
    TODAY() - Table3[[#This Row],[Date of Update]]
  ),
  TODAY()-Table3[[#This Row],[Date of Update]]
)&lt;=0,
TODAY()-Table3[[#This Row],[Date of Update]],
IFERROR(
  IF(
    COUNTIF(A$2:A$1997, A168) &gt; 1,
    MIN(IF(A$2:A$1997=A168, IF(B$2:B$1997&gt;B168, B$2:B$1997))) - B168,
    TODAY() - Table3[[#This Row],[Date of Update]]
  ),
  TODAY()-Table3[[#This Row],[Date of Update]]
)))</f>
        <v>29</v>
      </c>
      <c r="G168" s="7" t="str">
        <f>IF(Table3[[#This Row],[Stage]]="Closed",Table3[[#This Row],[Date of Update]]-(_xlfn.MINIFS(Table3[Date of Update],Table3[Ref], Table3[[#This Row],[Ref]])),"")</f>
        <v/>
      </c>
    </row>
    <row r="169" spans="1:7" x14ac:dyDescent="0.25">
      <c r="A169" s="4" t="s">
        <v>93</v>
      </c>
      <c r="B169" s="5">
        <v>44782</v>
      </c>
      <c r="C169" s="6" t="s">
        <v>17</v>
      </c>
      <c r="D169" s="6" t="s">
        <v>9</v>
      </c>
      <c r="E169" s="6"/>
      <c r="F169" s="6" cm="1">
        <f t="array" aca="1" ref="F169" ca="1">IF(Table3[[#This Row],[Stage]]="Closed",0,IF(IFERROR(
  IF(
    COUNTIF(A$2:A$1997, A169) &gt; 1,
    MIN(IF(A$2:A$1997=A169, IF(B$2:B$1997&gt;B169, B$2:B$1997))) - B169,
    TODAY() - Table3[[#This Row],[Date of Update]]
  ),
  TODAY()-Table3[[#This Row],[Date of Update]]
)&lt;=0,
TODAY()-Table3[[#This Row],[Date of Update]],
IFERROR(
  IF(
    COUNTIF(A$2:A$1997, A169) &gt; 1,
    MIN(IF(A$2:A$1997=A169, IF(B$2:B$1997&gt;B169, B$2:B$1997))) - B169,
    TODAY() - Table3[[#This Row],[Date of Update]]
  ),
  TODAY()-Table3[[#This Row],[Date of Update]]
)))</f>
        <v>0</v>
      </c>
      <c r="G169" s="7">
        <f>IF(Table3[[#This Row],[Stage]]="Closed",Table3[[#This Row],[Date of Update]]-(_xlfn.MINIFS(Table3[Date of Update],Table3[Ref], Table3[[#This Row],[Ref]])),"")</f>
        <v>36</v>
      </c>
    </row>
    <row r="170" spans="1:7" x14ac:dyDescent="0.25">
      <c r="A170" s="4" t="s">
        <v>140</v>
      </c>
      <c r="B170" s="5">
        <v>44784</v>
      </c>
      <c r="C170" s="6" t="s">
        <v>8</v>
      </c>
      <c r="D170" s="6" t="s">
        <v>9</v>
      </c>
      <c r="E170" s="6"/>
      <c r="F170" s="6" cm="1">
        <f t="array" aca="1" ref="F170" ca="1">IF(Table3[[#This Row],[Stage]]="Closed",0,IF(IFERROR(
  IF(
    COUNTIF(A$2:A$1997, A170) &gt; 1,
    MIN(IF(A$2:A$1997=A170, IF(B$2:B$1997&gt;B170, B$2:B$1997))) - B170,
    TODAY() - Table3[[#This Row],[Date of Update]]
  ),
  TODAY()-Table3[[#This Row],[Date of Update]]
)&lt;=0,
TODAY()-Table3[[#This Row],[Date of Update]],
IFERROR(
  IF(
    COUNTIF(A$2:A$1997, A170) &gt; 1,
    MIN(IF(A$2:A$1997=A170, IF(B$2:B$1997&gt;B170, B$2:B$1997))) - B170,
    TODAY() - Table3[[#This Row],[Date of Update]]
  ),
  TODAY()-Table3[[#This Row],[Date of Update]]
)))</f>
        <v>30</v>
      </c>
      <c r="G170" s="7" t="str">
        <f>IF(Table3[[#This Row],[Stage]]="Closed",Table3[[#This Row],[Date of Update]]-(_xlfn.MINIFS(Table3[Date of Update],Table3[Ref], Table3[[#This Row],[Ref]])),"")</f>
        <v/>
      </c>
    </row>
    <row r="171" spans="1:7" x14ac:dyDescent="0.25">
      <c r="A171" s="4" t="s">
        <v>141</v>
      </c>
      <c r="B171" s="5">
        <v>44784</v>
      </c>
      <c r="C171" s="6" t="s">
        <v>8</v>
      </c>
      <c r="D171" s="6" t="s">
        <v>9</v>
      </c>
      <c r="E171" s="6" t="s">
        <v>142</v>
      </c>
      <c r="F171" s="6" cm="1">
        <f t="array" aca="1" ref="F171" ca="1">IF(Table3[[#This Row],[Stage]]="Closed",0,IF(IFERROR(
  IF(
    COUNTIF(A$2:A$1997, A171) &gt; 1,
    MIN(IF(A$2:A$1997=A171, IF(B$2:B$1997&gt;B171, B$2:B$1997))) - B171,
    TODAY() - Table3[[#This Row],[Date of Update]]
  ),
  TODAY()-Table3[[#This Row],[Date of Update]]
)&lt;=0,
TODAY()-Table3[[#This Row],[Date of Update]],
IFERROR(
  IF(
    COUNTIF(A$2:A$1997, A171) &gt; 1,
    MIN(IF(A$2:A$1997=A171, IF(B$2:B$1997&gt;B171, B$2:B$1997))) - B171,
    TODAY() - Table3[[#This Row],[Date of Update]]
  ),
  TODAY()-Table3[[#This Row],[Date of Update]]
)))</f>
        <v>130</v>
      </c>
      <c r="G171" s="7" t="str">
        <f>IF(Table3[[#This Row],[Stage]]="Closed",Table3[[#This Row],[Date of Update]]-(_xlfn.MINIFS(Table3[Date of Update],Table3[Ref], Table3[[#This Row],[Ref]])),"")</f>
        <v/>
      </c>
    </row>
    <row r="172" spans="1:7" x14ac:dyDescent="0.25">
      <c r="A172" s="4" t="s">
        <v>143</v>
      </c>
      <c r="B172" s="5">
        <v>44788</v>
      </c>
      <c r="C172" s="6" t="s">
        <v>8</v>
      </c>
      <c r="D172" s="6" t="s">
        <v>9</v>
      </c>
      <c r="E172" s="6" t="s">
        <v>144</v>
      </c>
      <c r="F172" s="6" cm="1">
        <f t="array" aca="1" ref="F172" ca="1">IF(Table3[[#This Row],[Stage]]="Closed",0,IF(IFERROR(
  IF(
    COUNTIF(A$2:A$1997, A172) &gt; 1,
    MIN(IF(A$2:A$1997=A172, IF(B$2:B$1997&gt;B172, B$2:B$1997))) - B172,
    TODAY() - Table3[[#This Row],[Date of Update]]
  ),
  TODAY()-Table3[[#This Row],[Date of Update]]
)&lt;=0,
TODAY()-Table3[[#This Row],[Date of Update]],
IFERROR(
  IF(
    COUNTIF(A$2:A$1997, A172) &gt; 1,
    MIN(IF(A$2:A$1997=A172, IF(B$2:B$1997&gt;B172, B$2:B$1997))) - B172,
    TODAY() - Table3[[#This Row],[Date of Update]]
  ),
  TODAY()-Table3[[#This Row],[Date of Update]]
)))</f>
        <v>30</v>
      </c>
      <c r="G172" s="7" t="str">
        <f>IF(Table3[[#This Row],[Stage]]="Closed",Table3[[#This Row],[Date of Update]]-(_xlfn.MINIFS(Table3[Date of Update],Table3[Ref], Table3[[#This Row],[Ref]])),"")</f>
        <v/>
      </c>
    </row>
    <row r="173" spans="1:7" x14ac:dyDescent="0.25">
      <c r="A173" s="4" t="s">
        <v>145</v>
      </c>
      <c r="B173" s="5">
        <v>44788</v>
      </c>
      <c r="C173" s="6" t="s">
        <v>8</v>
      </c>
      <c r="D173" s="6" t="s">
        <v>9</v>
      </c>
      <c r="E173" s="6" t="s">
        <v>146</v>
      </c>
      <c r="F173" s="6" cm="1">
        <f t="array" aca="1" ref="F173" ca="1">IF(Table3[[#This Row],[Stage]]="Closed",0,IF(IFERROR(
  IF(
    COUNTIF(A$2:A$1997, A173) &gt; 1,
    MIN(IF(A$2:A$1997=A173, IF(B$2:B$1997&gt;B173, B$2:B$1997))) - B173,
    TODAY() - Table3[[#This Row],[Date of Update]]
  ),
  TODAY()-Table3[[#This Row],[Date of Update]]
)&lt;=0,
TODAY()-Table3[[#This Row],[Date of Update]],
IFERROR(
  IF(
    COUNTIF(A$2:A$1997, A173) &gt; 1,
    MIN(IF(A$2:A$1997=A173, IF(B$2:B$1997&gt;B173, B$2:B$1997))) - B173,
    TODAY() - Table3[[#This Row],[Date of Update]]
  ),
  TODAY()-Table3[[#This Row],[Date of Update]]
)))</f>
        <v>30</v>
      </c>
      <c r="G173" s="7" t="str">
        <f>IF(Table3[[#This Row],[Stage]]="Closed",Table3[[#This Row],[Date of Update]]-(_xlfn.MINIFS(Table3[Date of Update],Table3[Ref], Table3[[#This Row],[Ref]])),"")</f>
        <v/>
      </c>
    </row>
    <row r="174" spans="1:7" x14ac:dyDescent="0.25">
      <c r="A174" s="4" t="s">
        <v>147</v>
      </c>
      <c r="B174" s="5">
        <v>44789</v>
      </c>
      <c r="C174" s="6" t="s">
        <v>8</v>
      </c>
      <c r="D174" s="6" t="s">
        <v>9</v>
      </c>
      <c r="E174" s="6" t="s">
        <v>45</v>
      </c>
      <c r="F174" s="6" cm="1">
        <f t="array" aca="1" ref="F174" ca="1">IF(Table3[[#This Row],[Stage]]="Closed",0,IF(IFERROR(
  IF(
    COUNTIF(A$2:A$1997, A174) &gt; 1,
    MIN(IF(A$2:A$1997=A174, IF(B$2:B$1997&gt;B174, B$2:B$1997))) - B174,
    TODAY() - Table3[[#This Row],[Date of Update]]
  ),
  TODAY()-Table3[[#This Row],[Date of Update]]
)&lt;=0,
TODAY()-Table3[[#This Row],[Date of Update]],
IFERROR(
  IF(
    COUNTIF(A$2:A$1997, A174) &gt; 1,
    MIN(IF(A$2:A$1997=A174, IF(B$2:B$1997&gt;B174, B$2:B$1997))) - B174,
    TODAY() - Table3[[#This Row],[Date of Update]]
  ),
  TODAY()-Table3[[#This Row],[Date of Update]]
)))</f>
        <v>31</v>
      </c>
      <c r="G174" s="7" t="str">
        <f>IF(Table3[[#This Row],[Stage]]="Closed",Table3[[#This Row],[Date of Update]]-(_xlfn.MINIFS(Table3[Date of Update],Table3[Ref], Table3[[#This Row],[Ref]])),"")</f>
        <v/>
      </c>
    </row>
    <row r="175" spans="1:7" x14ac:dyDescent="0.25">
      <c r="A175" s="4" t="s">
        <v>103</v>
      </c>
      <c r="B175" s="5">
        <v>44790</v>
      </c>
      <c r="C175" s="6" t="s">
        <v>17</v>
      </c>
      <c r="D175" s="6" t="s">
        <v>9</v>
      </c>
      <c r="E175" s="6" t="s">
        <v>45</v>
      </c>
      <c r="F175" s="6" cm="1">
        <f t="array" aca="1" ref="F175" ca="1">IF(Table3[[#This Row],[Stage]]="Closed",0,IF(IFERROR(
  IF(
    COUNTIF(A$2:A$1997, A175) &gt; 1,
    MIN(IF(A$2:A$1997=A175, IF(B$2:B$1997&gt;B175, B$2:B$1997))) - B175,
    TODAY() - Table3[[#This Row],[Date of Update]]
  ),
  TODAY()-Table3[[#This Row],[Date of Update]]
)&lt;=0,
TODAY()-Table3[[#This Row],[Date of Update]],
IFERROR(
  IF(
    COUNTIF(A$2:A$1997, A175) &gt; 1,
    MIN(IF(A$2:A$1997=A175, IF(B$2:B$1997&gt;B175, B$2:B$1997))) - B175,
    TODAY() - Table3[[#This Row],[Date of Update]]
  ),
  TODAY()-Table3[[#This Row],[Date of Update]]
)))</f>
        <v>0</v>
      </c>
      <c r="G175" s="7">
        <f>IF(Table3[[#This Row],[Stage]]="Closed",Table3[[#This Row],[Date of Update]]-(_xlfn.MINIFS(Table3[Date of Update],Table3[Ref], Table3[[#This Row],[Ref]])),"")</f>
        <v>30</v>
      </c>
    </row>
    <row r="176" spans="1:7" x14ac:dyDescent="0.25">
      <c r="A176" s="4" t="s">
        <v>128</v>
      </c>
      <c r="B176" s="5">
        <v>44798</v>
      </c>
      <c r="C176" s="6" t="s">
        <v>17</v>
      </c>
      <c r="D176" s="6" t="s">
        <v>9</v>
      </c>
      <c r="E176" s="6"/>
      <c r="F176" s="6" cm="1">
        <f t="array" aca="1" ref="F176" ca="1">IF(Table3[[#This Row],[Stage]]="Closed",0,IF(IFERROR(
  IF(
    COUNTIF(A$2:A$1997, A176) &gt; 1,
    MIN(IF(A$2:A$1997=A176, IF(B$2:B$1997&gt;B176, B$2:B$1997))) - B176,
    TODAY() - Table3[[#This Row],[Date of Update]]
  ),
  TODAY()-Table3[[#This Row],[Date of Update]]
)&lt;=0,
TODAY()-Table3[[#This Row],[Date of Update]],
IFERROR(
  IF(
    COUNTIF(A$2:A$1997, A176) &gt; 1,
    MIN(IF(A$2:A$1997=A176, IF(B$2:B$1997&gt;B176, B$2:B$1997))) - B176,
    TODAY() - Table3[[#This Row],[Date of Update]]
  ),
  TODAY()-Table3[[#This Row],[Date of Update]]
)))</f>
        <v>0</v>
      </c>
      <c r="G176" s="7">
        <f>IF(Table3[[#This Row],[Stage]]="Closed",Table3[[#This Row],[Date of Update]]-(_xlfn.MINIFS(Table3[Date of Update],Table3[Ref], Table3[[#This Row],[Ref]])),"")</f>
        <v>22</v>
      </c>
    </row>
    <row r="177" spans="1:7" x14ac:dyDescent="0.25">
      <c r="A177" s="4" t="s">
        <v>115</v>
      </c>
      <c r="B177" s="5">
        <v>44800</v>
      </c>
      <c r="C177" s="6" t="s">
        <v>17</v>
      </c>
      <c r="D177" s="6" t="s">
        <v>9</v>
      </c>
      <c r="E177" s="6" t="s">
        <v>45</v>
      </c>
      <c r="F177" s="6" cm="1">
        <f t="array" aca="1" ref="F177" ca="1">IF(Table3[[#This Row],[Stage]]="Closed",0,IF(IFERROR(
  IF(
    COUNTIF(A$2:A$1997, A177) &gt; 1,
    MIN(IF(A$2:A$1997=A177, IF(B$2:B$1997&gt;B177, B$2:B$1997))) - B177,
    TODAY() - Table3[[#This Row],[Date of Update]]
  ),
  TODAY()-Table3[[#This Row],[Date of Update]]
)&lt;=0,
TODAY()-Table3[[#This Row],[Date of Update]],
IFERROR(
  IF(
    COUNTIF(A$2:A$1997, A177) &gt; 1,
    MIN(IF(A$2:A$1997=A177, IF(B$2:B$1997&gt;B177, B$2:B$1997))) - B177,
    TODAY() - Table3[[#This Row],[Date of Update]]
  ),
  TODAY()-Table3[[#This Row],[Date of Update]]
)))</f>
        <v>0</v>
      </c>
      <c r="G177" s="7">
        <f>IF(Table3[[#This Row],[Stage]]="Closed",Table3[[#This Row],[Date of Update]]-(_xlfn.MINIFS(Table3[Date of Update],Table3[Ref], Table3[[#This Row],[Ref]])),"")</f>
        <v>30</v>
      </c>
    </row>
    <row r="178" spans="1:7" x14ac:dyDescent="0.25">
      <c r="A178" s="4" t="s">
        <v>116</v>
      </c>
      <c r="B178" s="5">
        <v>44800</v>
      </c>
      <c r="C178" s="6" t="s">
        <v>17</v>
      </c>
      <c r="D178" s="6" t="s">
        <v>9</v>
      </c>
      <c r="E178" s="6" t="s">
        <v>45</v>
      </c>
      <c r="F178" s="6" cm="1">
        <f t="array" aca="1" ref="F178" ca="1">IF(Table3[[#This Row],[Stage]]="Closed",0,IF(IFERROR(
  IF(
    COUNTIF(A$2:A$1997, A178) &gt; 1,
    MIN(IF(A$2:A$1997=A178, IF(B$2:B$1997&gt;B178, B$2:B$1997))) - B178,
    TODAY() - Table3[[#This Row],[Date of Update]]
  ),
  TODAY()-Table3[[#This Row],[Date of Update]]
)&lt;=0,
TODAY()-Table3[[#This Row],[Date of Update]],
IFERROR(
  IF(
    COUNTIF(A$2:A$1997, A178) &gt; 1,
    MIN(IF(A$2:A$1997=A178, IF(B$2:B$1997&gt;B178, B$2:B$1997))) - B178,
    TODAY() - Table3[[#This Row],[Date of Update]]
  ),
  TODAY()-Table3[[#This Row],[Date of Update]]
)))</f>
        <v>0</v>
      </c>
      <c r="G178" s="7">
        <f>IF(Table3[[#This Row],[Stage]]="Closed",Table3[[#This Row],[Date of Update]]-(_xlfn.MINIFS(Table3[Date of Update],Table3[Ref], Table3[[#This Row],[Ref]])),"")</f>
        <v>30</v>
      </c>
    </row>
    <row r="179" spans="1:7" x14ac:dyDescent="0.25">
      <c r="A179" s="4" t="s">
        <v>117</v>
      </c>
      <c r="B179" s="5">
        <v>44800</v>
      </c>
      <c r="C179" s="6" t="s">
        <v>17</v>
      </c>
      <c r="D179" s="6" t="s">
        <v>9</v>
      </c>
      <c r="E179" s="6" t="s">
        <v>45</v>
      </c>
      <c r="F179" s="6" cm="1">
        <f t="array" aca="1" ref="F179" ca="1">IF(Table3[[#This Row],[Stage]]="Closed",0,IF(IFERROR(
  IF(
    COUNTIF(A$2:A$1997, A179) &gt; 1,
    MIN(IF(A$2:A$1997=A179, IF(B$2:B$1997&gt;B179, B$2:B$1997))) - B179,
    TODAY() - Table3[[#This Row],[Date of Update]]
  ),
  TODAY()-Table3[[#This Row],[Date of Update]]
)&lt;=0,
TODAY()-Table3[[#This Row],[Date of Update]],
IFERROR(
  IF(
    COUNTIF(A$2:A$1997, A179) &gt; 1,
    MIN(IF(A$2:A$1997=A179, IF(B$2:B$1997&gt;B179, B$2:B$1997))) - B179,
    TODAY() - Table3[[#This Row],[Date of Update]]
  ),
  TODAY()-Table3[[#This Row],[Date of Update]]
)))</f>
        <v>0</v>
      </c>
      <c r="G179" s="7">
        <f>IF(Table3[[#This Row],[Stage]]="Closed",Table3[[#This Row],[Date of Update]]-(_xlfn.MINIFS(Table3[Date of Update],Table3[Ref], Table3[[#This Row],[Ref]])),"")</f>
        <v>30</v>
      </c>
    </row>
    <row r="180" spans="1:7" x14ac:dyDescent="0.25">
      <c r="A180" s="4" t="s">
        <v>118</v>
      </c>
      <c r="B180" s="5">
        <v>44800</v>
      </c>
      <c r="C180" s="6" t="s">
        <v>17</v>
      </c>
      <c r="D180" s="6" t="s">
        <v>9</v>
      </c>
      <c r="E180" s="6" t="s">
        <v>45</v>
      </c>
      <c r="F180" s="6" cm="1">
        <f t="array" aca="1" ref="F180" ca="1">IF(Table3[[#This Row],[Stage]]="Closed",0,IF(IFERROR(
  IF(
    COUNTIF(A$2:A$1997, A180) &gt; 1,
    MIN(IF(A$2:A$1997=A180, IF(B$2:B$1997&gt;B180, B$2:B$1997))) - B180,
    TODAY() - Table3[[#This Row],[Date of Update]]
  ),
  TODAY()-Table3[[#This Row],[Date of Update]]
)&lt;=0,
TODAY()-Table3[[#This Row],[Date of Update]],
IFERROR(
  IF(
    COUNTIF(A$2:A$1997, A180) &gt; 1,
    MIN(IF(A$2:A$1997=A180, IF(B$2:B$1997&gt;B180, B$2:B$1997))) - B180,
    TODAY() - Table3[[#This Row],[Date of Update]]
  ),
  TODAY()-Table3[[#This Row],[Date of Update]]
)))</f>
        <v>0</v>
      </c>
      <c r="G180" s="7">
        <f>IF(Table3[[#This Row],[Stage]]="Closed",Table3[[#This Row],[Date of Update]]-(_xlfn.MINIFS(Table3[Date of Update],Table3[Ref], Table3[[#This Row],[Ref]])),"")</f>
        <v>30</v>
      </c>
    </row>
    <row r="181" spans="1:7" x14ac:dyDescent="0.25">
      <c r="A181" s="4" t="s">
        <v>119</v>
      </c>
      <c r="B181" s="5">
        <v>44800</v>
      </c>
      <c r="C181" s="6" t="s">
        <v>17</v>
      </c>
      <c r="D181" s="6" t="s">
        <v>9</v>
      </c>
      <c r="E181" s="6" t="s">
        <v>45</v>
      </c>
      <c r="F181" s="6" cm="1">
        <f t="array" aca="1" ref="F181" ca="1">IF(Table3[[#This Row],[Stage]]="Closed",0,IF(IFERROR(
  IF(
    COUNTIF(A$2:A$1997, A181) &gt; 1,
    MIN(IF(A$2:A$1997=A181, IF(B$2:B$1997&gt;B181, B$2:B$1997))) - B181,
    TODAY() - Table3[[#This Row],[Date of Update]]
  ),
  TODAY()-Table3[[#This Row],[Date of Update]]
)&lt;=0,
TODAY()-Table3[[#This Row],[Date of Update]],
IFERROR(
  IF(
    COUNTIF(A$2:A$1997, A181) &gt; 1,
    MIN(IF(A$2:A$1997=A181, IF(B$2:B$1997&gt;B181, B$2:B$1997))) - B181,
    TODAY() - Table3[[#This Row],[Date of Update]]
  ),
  TODAY()-Table3[[#This Row],[Date of Update]]
)))</f>
        <v>0</v>
      </c>
      <c r="G181" s="7">
        <f>IF(Table3[[#This Row],[Stage]]="Closed",Table3[[#This Row],[Date of Update]]-(_xlfn.MINIFS(Table3[Date of Update],Table3[Ref], Table3[[#This Row],[Ref]])),"")</f>
        <v>30</v>
      </c>
    </row>
    <row r="182" spans="1:7" x14ac:dyDescent="0.25">
      <c r="A182" s="4" t="s">
        <v>120</v>
      </c>
      <c r="B182" s="5">
        <v>44800</v>
      </c>
      <c r="C182" s="6" t="s">
        <v>17</v>
      </c>
      <c r="D182" s="6" t="s">
        <v>9</v>
      </c>
      <c r="E182" s="6" t="s">
        <v>45</v>
      </c>
      <c r="F182" s="6" cm="1">
        <f t="array" aca="1" ref="F182" ca="1">IF(Table3[[#This Row],[Stage]]="Closed",0,IF(IFERROR(
  IF(
    COUNTIF(A$2:A$1997, A182) &gt; 1,
    MIN(IF(A$2:A$1997=A182, IF(B$2:B$1997&gt;B182, B$2:B$1997))) - B182,
    TODAY() - Table3[[#This Row],[Date of Update]]
  ),
  TODAY()-Table3[[#This Row],[Date of Update]]
)&lt;=0,
TODAY()-Table3[[#This Row],[Date of Update]],
IFERROR(
  IF(
    COUNTIF(A$2:A$1997, A182) &gt; 1,
    MIN(IF(A$2:A$1997=A182, IF(B$2:B$1997&gt;B182, B$2:B$1997))) - B182,
    TODAY() - Table3[[#This Row],[Date of Update]]
  ),
  TODAY()-Table3[[#This Row],[Date of Update]]
)))</f>
        <v>0</v>
      </c>
      <c r="G182" s="7">
        <f>IF(Table3[[#This Row],[Stage]]="Closed",Table3[[#This Row],[Date of Update]]-(_xlfn.MINIFS(Table3[Date of Update],Table3[Ref], Table3[[#This Row],[Ref]])),"")</f>
        <v>30</v>
      </c>
    </row>
    <row r="183" spans="1:7" x14ac:dyDescent="0.25">
      <c r="A183" s="4" t="s">
        <v>121</v>
      </c>
      <c r="B183" s="5">
        <v>44804</v>
      </c>
      <c r="C183" s="6" t="s">
        <v>17</v>
      </c>
      <c r="D183" s="6" t="s">
        <v>9</v>
      </c>
      <c r="E183" s="6" t="s">
        <v>45</v>
      </c>
      <c r="F183" s="6" cm="1">
        <f t="array" aca="1" ref="F183" ca="1">IF(Table3[[#This Row],[Stage]]="Closed",0,IF(IFERROR(
  IF(
    COUNTIF(A$2:A$1997, A183) &gt; 1,
    MIN(IF(A$2:A$1997=A183, IF(B$2:B$1997&gt;B183, B$2:B$1997))) - B183,
    TODAY() - Table3[[#This Row],[Date of Update]]
  ),
  TODAY()-Table3[[#This Row],[Date of Update]]
)&lt;=0,
TODAY()-Table3[[#This Row],[Date of Update]],
IFERROR(
  IF(
    COUNTIF(A$2:A$1997, A183) &gt; 1,
    MIN(IF(A$2:A$1997=A183, IF(B$2:B$1997&gt;B183, B$2:B$1997))) - B183,
    TODAY() - Table3[[#This Row],[Date of Update]]
  ),
  TODAY()-Table3[[#This Row],[Date of Update]]
)))</f>
        <v>0</v>
      </c>
      <c r="G183" s="7">
        <f>IF(Table3[[#This Row],[Stage]]="Closed",Table3[[#This Row],[Date of Update]]-(_xlfn.MINIFS(Table3[Date of Update],Table3[Ref], Table3[[#This Row],[Ref]])),"")</f>
        <v>30</v>
      </c>
    </row>
    <row r="184" spans="1:7" x14ac:dyDescent="0.25">
      <c r="A184" s="4" t="s">
        <v>122</v>
      </c>
      <c r="B184" s="5">
        <v>44804</v>
      </c>
      <c r="C184" s="6" t="s">
        <v>17</v>
      </c>
      <c r="D184" s="6" t="s">
        <v>9</v>
      </c>
      <c r="E184" s="6" t="s">
        <v>45</v>
      </c>
      <c r="F184" s="6" cm="1">
        <f t="array" aca="1" ref="F184" ca="1">IF(Table3[[#This Row],[Stage]]="Closed",0,IF(IFERROR(
  IF(
    COUNTIF(A$2:A$1997, A184) &gt; 1,
    MIN(IF(A$2:A$1997=A184, IF(B$2:B$1997&gt;B184, B$2:B$1997))) - B184,
    TODAY() - Table3[[#This Row],[Date of Update]]
  ),
  TODAY()-Table3[[#This Row],[Date of Update]]
)&lt;=0,
TODAY()-Table3[[#This Row],[Date of Update]],
IFERROR(
  IF(
    COUNTIF(A$2:A$1997, A184) &gt; 1,
    MIN(IF(A$2:A$1997=A184, IF(B$2:B$1997&gt;B184, B$2:B$1997))) - B184,
    TODAY() - Table3[[#This Row],[Date of Update]]
  ),
  TODAY()-Table3[[#This Row],[Date of Update]]
)))</f>
        <v>0</v>
      </c>
      <c r="G184" s="7">
        <f>IF(Table3[[#This Row],[Stage]]="Closed",Table3[[#This Row],[Date of Update]]-(_xlfn.MINIFS(Table3[Date of Update],Table3[Ref], Table3[[#This Row],[Ref]])),"")</f>
        <v>30</v>
      </c>
    </row>
    <row r="185" spans="1:7" x14ac:dyDescent="0.25">
      <c r="A185" s="4" t="s">
        <v>123</v>
      </c>
      <c r="B185" s="5">
        <v>44804</v>
      </c>
      <c r="C185" s="6" t="s">
        <v>17</v>
      </c>
      <c r="D185" s="6" t="s">
        <v>9</v>
      </c>
      <c r="E185" s="6" t="s">
        <v>45</v>
      </c>
      <c r="F185" s="6" cm="1">
        <f t="array" aca="1" ref="F185" ca="1">IF(Table3[[#This Row],[Stage]]="Closed",0,IF(IFERROR(
  IF(
    COUNTIF(A$2:A$1997, A185) &gt; 1,
    MIN(IF(A$2:A$1997=A185, IF(B$2:B$1997&gt;B185, B$2:B$1997))) - B185,
    TODAY() - Table3[[#This Row],[Date of Update]]
  ),
  TODAY()-Table3[[#This Row],[Date of Update]]
)&lt;=0,
TODAY()-Table3[[#This Row],[Date of Update]],
IFERROR(
  IF(
    COUNTIF(A$2:A$1997, A185) &gt; 1,
    MIN(IF(A$2:A$1997=A185, IF(B$2:B$1997&gt;B185, B$2:B$1997))) - B185,
    TODAY() - Table3[[#This Row],[Date of Update]]
  ),
  TODAY()-Table3[[#This Row],[Date of Update]]
)))</f>
        <v>0</v>
      </c>
      <c r="G185" s="7">
        <f>IF(Table3[[#This Row],[Stage]]="Closed",Table3[[#This Row],[Date of Update]]-(_xlfn.MINIFS(Table3[Date of Update],Table3[Ref], Table3[[#This Row],[Ref]])),"")</f>
        <v>30</v>
      </c>
    </row>
    <row r="186" spans="1:7" x14ac:dyDescent="0.25">
      <c r="A186" s="4" t="s">
        <v>124</v>
      </c>
      <c r="B186" s="5">
        <v>44804</v>
      </c>
      <c r="C186" s="6" t="s">
        <v>17</v>
      </c>
      <c r="D186" s="6" t="s">
        <v>9</v>
      </c>
      <c r="E186" s="6" t="s">
        <v>45</v>
      </c>
      <c r="F186" s="6" cm="1">
        <f t="array" aca="1" ref="F186" ca="1">IF(Table3[[#This Row],[Stage]]="Closed",0,IF(IFERROR(
  IF(
    COUNTIF(A$2:A$1997, A186) &gt; 1,
    MIN(IF(A$2:A$1997=A186, IF(B$2:B$1997&gt;B186, B$2:B$1997))) - B186,
    TODAY() - Table3[[#This Row],[Date of Update]]
  ),
  TODAY()-Table3[[#This Row],[Date of Update]]
)&lt;=0,
TODAY()-Table3[[#This Row],[Date of Update]],
IFERROR(
  IF(
    COUNTIF(A$2:A$1997, A186) &gt; 1,
    MIN(IF(A$2:A$1997=A186, IF(B$2:B$1997&gt;B186, B$2:B$1997))) - B186,
    TODAY() - Table3[[#This Row],[Date of Update]]
  ),
  TODAY()-Table3[[#This Row],[Date of Update]]
)))</f>
        <v>0</v>
      </c>
      <c r="G186" s="7">
        <f>IF(Table3[[#This Row],[Stage]]="Closed",Table3[[#This Row],[Date of Update]]-(_xlfn.MINIFS(Table3[Date of Update],Table3[Ref], Table3[[#This Row],[Ref]])),"")</f>
        <v>30</v>
      </c>
    </row>
    <row r="187" spans="1:7" x14ac:dyDescent="0.25">
      <c r="A187" s="4" t="s">
        <v>125</v>
      </c>
      <c r="B187" s="5">
        <v>44804</v>
      </c>
      <c r="C187" s="6" t="s">
        <v>17</v>
      </c>
      <c r="D187" s="6" t="s">
        <v>9</v>
      </c>
      <c r="E187" s="6" t="s">
        <v>45</v>
      </c>
      <c r="F187" s="6" cm="1">
        <f t="array" aca="1" ref="F187" ca="1">IF(Table3[[#This Row],[Stage]]="Closed",0,IF(IFERROR(
  IF(
    COUNTIF(A$2:A$1997, A187) &gt; 1,
    MIN(IF(A$2:A$1997=A187, IF(B$2:B$1997&gt;B187, B$2:B$1997))) - B187,
    TODAY() - Table3[[#This Row],[Date of Update]]
  ),
  TODAY()-Table3[[#This Row],[Date of Update]]
)&lt;=0,
TODAY()-Table3[[#This Row],[Date of Update]],
IFERROR(
  IF(
    COUNTIF(A$2:A$1997, A187) &gt; 1,
    MIN(IF(A$2:A$1997=A187, IF(B$2:B$1997&gt;B187, B$2:B$1997))) - B187,
    TODAY() - Table3[[#This Row],[Date of Update]]
  ),
  TODAY()-Table3[[#This Row],[Date of Update]]
)))</f>
        <v>0</v>
      </c>
      <c r="G187" s="7">
        <f>IF(Table3[[#This Row],[Stage]]="Closed",Table3[[#This Row],[Date of Update]]-(_xlfn.MINIFS(Table3[Date of Update],Table3[Ref], Table3[[#This Row],[Ref]])),"")</f>
        <v>30</v>
      </c>
    </row>
    <row r="188" spans="1:7" x14ac:dyDescent="0.25">
      <c r="A188" s="4" t="s">
        <v>126</v>
      </c>
      <c r="B188" s="5">
        <v>44805</v>
      </c>
      <c r="C188" s="6" t="s">
        <v>17</v>
      </c>
      <c r="D188" s="6" t="s">
        <v>9</v>
      </c>
      <c r="E188" s="6" t="s">
        <v>45</v>
      </c>
      <c r="F188" s="6" cm="1">
        <f t="array" aca="1" ref="F188" ca="1">IF(Table3[[#This Row],[Stage]]="Closed",0,IF(IFERROR(
  IF(
    COUNTIF(A$2:A$1997, A188) &gt; 1,
    MIN(IF(A$2:A$1997=A188, IF(B$2:B$1997&gt;B188, B$2:B$1997))) - B188,
    TODAY() - Table3[[#This Row],[Date of Update]]
  ),
  TODAY()-Table3[[#This Row],[Date of Update]]
)&lt;=0,
TODAY()-Table3[[#This Row],[Date of Update]],
IFERROR(
  IF(
    COUNTIF(A$2:A$1997, A188) &gt; 1,
    MIN(IF(A$2:A$1997=A188, IF(B$2:B$1997&gt;B188, B$2:B$1997))) - B188,
    TODAY() - Table3[[#This Row],[Date of Update]]
  ),
  TODAY()-Table3[[#This Row],[Date of Update]]
)))</f>
        <v>0</v>
      </c>
      <c r="G188" s="7">
        <f>IF(Table3[[#This Row],[Stage]]="Closed",Table3[[#This Row],[Date of Update]]-(_xlfn.MINIFS(Table3[Date of Update],Table3[Ref], Table3[[#This Row],[Ref]])),"")</f>
        <v>30</v>
      </c>
    </row>
    <row r="189" spans="1:7" x14ac:dyDescent="0.25">
      <c r="A189" s="4" t="s">
        <v>69</v>
      </c>
      <c r="B189" s="5">
        <v>44806</v>
      </c>
      <c r="C189" s="6" t="s">
        <v>17</v>
      </c>
      <c r="D189" s="6" t="s">
        <v>9</v>
      </c>
      <c r="E189" s="6"/>
      <c r="F189" s="6" cm="1">
        <f t="array" aca="1" ref="F189" ca="1">IF(Table3[[#This Row],[Stage]]="Closed",0,IF(IFERROR(
  IF(
    COUNTIF(A$2:A$1997, A189) &gt; 1,
    MIN(IF(A$2:A$1997=A189, IF(B$2:B$1997&gt;B189, B$2:B$1997))) - B189,
    TODAY() - Table3[[#This Row],[Date of Update]]
  ),
  TODAY()-Table3[[#This Row],[Date of Update]]
)&lt;=0,
TODAY()-Table3[[#This Row],[Date of Update]],
IFERROR(
  IF(
    COUNTIF(A$2:A$1997, A189) &gt; 1,
    MIN(IF(A$2:A$1997=A189, IF(B$2:B$1997&gt;B189, B$2:B$1997))) - B189,
    TODAY() - Table3[[#This Row],[Date of Update]]
  ),
  TODAY()-Table3[[#This Row],[Date of Update]]
)))</f>
        <v>0</v>
      </c>
      <c r="G189" s="7">
        <f>IF(Table3[[#This Row],[Stage]]="Closed",Table3[[#This Row],[Date of Update]]-(_xlfn.MINIFS(Table3[Date of Update],Table3[Ref], Table3[[#This Row],[Ref]])),"")</f>
        <v>95</v>
      </c>
    </row>
    <row r="190" spans="1:7" x14ac:dyDescent="0.25">
      <c r="A190" s="4" t="s">
        <v>127</v>
      </c>
      <c r="B190" s="5">
        <v>44806</v>
      </c>
      <c r="C190" s="6" t="s">
        <v>17</v>
      </c>
      <c r="D190" s="6" t="s">
        <v>9</v>
      </c>
      <c r="E190" s="6" t="s">
        <v>45</v>
      </c>
      <c r="F190" s="6" cm="1">
        <f t="array" aca="1" ref="F190" ca="1">IF(Table3[[#This Row],[Stage]]="Closed",0,IF(IFERROR(
  IF(
    COUNTIF(A$2:A$1997, A190) &gt; 1,
    MIN(IF(A$2:A$1997=A190, IF(B$2:B$1997&gt;B190, B$2:B$1997))) - B190,
    TODAY() - Table3[[#This Row],[Date of Update]]
  ),
  TODAY()-Table3[[#This Row],[Date of Update]]
)&lt;=0,
TODAY()-Table3[[#This Row],[Date of Update]],
IFERROR(
  IF(
    COUNTIF(A$2:A$1997, A190) &gt; 1,
    MIN(IF(A$2:A$1997=A190, IF(B$2:B$1997&gt;B190, B$2:B$1997))) - B190,
    TODAY() - Table3[[#This Row],[Date of Update]]
  ),
  TODAY()-Table3[[#This Row],[Date of Update]]
)))</f>
        <v>0</v>
      </c>
      <c r="G190" s="7">
        <f>IF(Table3[[#This Row],[Stage]]="Closed",Table3[[#This Row],[Date of Update]]-(_xlfn.MINIFS(Table3[Date of Update],Table3[Ref], Table3[[#This Row],[Ref]])),"")</f>
        <v>30</v>
      </c>
    </row>
    <row r="191" spans="1:7" x14ac:dyDescent="0.25">
      <c r="A191" s="4" t="s">
        <v>129</v>
      </c>
      <c r="B191" s="5">
        <v>44806</v>
      </c>
      <c r="C191" s="6" t="s">
        <v>17</v>
      </c>
      <c r="D191" s="6" t="s">
        <v>9</v>
      </c>
      <c r="E191" s="6" t="s">
        <v>45</v>
      </c>
      <c r="F191" s="6" cm="1">
        <f t="array" aca="1" ref="F191" ca="1">IF(Table3[[#This Row],[Stage]]="Closed",0,IF(IFERROR(
  IF(
    COUNTIF(A$2:A$1997, A191) &gt; 1,
    MIN(IF(A$2:A$1997=A191, IF(B$2:B$1997&gt;B191, B$2:B$1997))) - B191,
    TODAY() - Table3[[#This Row],[Date of Update]]
  ),
  TODAY()-Table3[[#This Row],[Date of Update]]
)&lt;=0,
TODAY()-Table3[[#This Row],[Date of Update]],
IFERROR(
  IF(
    COUNTIF(A$2:A$1997, A191) &gt; 1,
    MIN(IF(A$2:A$1997=A191, IF(B$2:B$1997&gt;B191, B$2:B$1997))) - B191,
    TODAY() - Table3[[#This Row],[Date of Update]]
  ),
  TODAY()-Table3[[#This Row],[Date of Update]]
)))</f>
        <v>0</v>
      </c>
      <c r="G191" s="7">
        <f>IF(Table3[[#This Row],[Stage]]="Closed",Table3[[#This Row],[Date of Update]]-(_xlfn.MINIFS(Table3[Date of Update],Table3[Ref], Table3[[#This Row],[Ref]])),"")</f>
        <v>30</v>
      </c>
    </row>
    <row r="192" spans="1:7" x14ac:dyDescent="0.25">
      <c r="A192" s="4" t="s">
        <v>131</v>
      </c>
      <c r="B192" s="5">
        <v>44807</v>
      </c>
      <c r="C192" s="6" t="s">
        <v>17</v>
      </c>
      <c r="D192" s="6" t="s">
        <v>9</v>
      </c>
      <c r="E192" s="6" t="s">
        <v>45</v>
      </c>
      <c r="F192" s="6" cm="1">
        <f t="array" aca="1" ref="F192" ca="1">IF(Table3[[#This Row],[Stage]]="Closed",0,IF(IFERROR(
  IF(
    COUNTIF(A$2:A$1997, A192) &gt; 1,
    MIN(IF(A$2:A$1997=A192, IF(B$2:B$1997&gt;B192, B$2:B$1997))) - B192,
    TODAY() - Table3[[#This Row],[Date of Update]]
  ),
  TODAY()-Table3[[#This Row],[Date of Update]]
)&lt;=0,
TODAY()-Table3[[#This Row],[Date of Update]],
IFERROR(
  IF(
    COUNTIF(A$2:A$1997, A192) &gt; 1,
    MIN(IF(A$2:A$1997=A192, IF(B$2:B$1997&gt;B192, B$2:B$1997))) - B192,
    TODAY() - Table3[[#This Row],[Date of Update]]
  ),
  TODAY()-Table3[[#This Row],[Date of Update]]
)))</f>
        <v>0</v>
      </c>
      <c r="G192" s="7">
        <f>IF(Table3[[#This Row],[Stage]]="Closed",Table3[[#This Row],[Date of Update]]-(_xlfn.MINIFS(Table3[Date of Update],Table3[Ref], Table3[[#This Row],[Ref]])),"")</f>
        <v>30</v>
      </c>
    </row>
    <row r="193" spans="1:7" x14ac:dyDescent="0.25">
      <c r="A193" s="4" t="s">
        <v>97</v>
      </c>
      <c r="B193" s="5">
        <v>44809</v>
      </c>
      <c r="C193" s="6" t="s">
        <v>17</v>
      </c>
      <c r="D193" s="6" t="s">
        <v>9</v>
      </c>
      <c r="E193" s="6"/>
      <c r="F193" s="6" cm="1">
        <f t="array" aca="1" ref="F193" ca="1">IF(Table3[[#This Row],[Stage]]="Closed",0,IF(IFERROR(
  IF(
    COUNTIF(A$2:A$1997, A193) &gt; 1,
    MIN(IF(A$2:A$1997=A193, IF(B$2:B$1997&gt;B193, B$2:B$1997))) - B193,
    TODAY() - Table3[[#This Row],[Date of Update]]
  ),
  TODAY()-Table3[[#This Row],[Date of Update]]
)&lt;=0,
TODAY()-Table3[[#This Row],[Date of Update]],
IFERROR(
  IF(
    COUNTIF(A$2:A$1997, A193) &gt; 1,
    MIN(IF(A$2:A$1997=A193, IF(B$2:B$1997&gt;B193, B$2:B$1997))) - B193,
    TODAY() - Table3[[#This Row],[Date of Update]]
  ),
  TODAY()-Table3[[#This Row],[Date of Update]]
)))</f>
        <v>0</v>
      </c>
      <c r="G193" s="7">
        <f>IF(Table3[[#This Row],[Stage]]="Closed",Table3[[#This Row],[Date of Update]]-(_xlfn.MINIFS(Table3[Date of Update],Table3[Ref], Table3[[#This Row],[Ref]])),"")</f>
        <v>59</v>
      </c>
    </row>
    <row r="194" spans="1:7" x14ac:dyDescent="0.25">
      <c r="A194" s="4" t="s">
        <v>89</v>
      </c>
      <c r="B194" s="5">
        <v>44811</v>
      </c>
      <c r="C194" s="6" t="s">
        <v>17</v>
      </c>
      <c r="D194" s="6" t="s">
        <v>9</v>
      </c>
      <c r="E194" s="6" t="s">
        <v>90</v>
      </c>
      <c r="F194" s="6" cm="1">
        <f t="array" aca="1" ref="F194" ca="1">IF(Table3[[#This Row],[Stage]]="Closed",0,IF(IFERROR(
  IF(
    COUNTIF(A$2:A$1997, A194) &gt; 1,
    MIN(IF(A$2:A$1997=A194, IF(B$2:B$1997&gt;B194, B$2:B$1997))) - B194,
    TODAY() - Table3[[#This Row],[Date of Update]]
  ),
  TODAY()-Table3[[#This Row],[Date of Update]]
)&lt;=0,
TODAY()-Table3[[#This Row],[Date of Update]],
IFERROR(
  IF(
    COUNTIF(A$2:A$1997, A194) &gt; 1,
    MIN(IF(A$2:A$1997=A194, IF(B$2:B$1997&gt;B194, B$2:B$1997))) - B194,
    TODAY() - Table3[[#This Row],[Date of Update]]
  ),
  TODAY()-Table3[[#This Row],[Date of Update]]
)))</f>
        <v>0</v>
      </c>
      <c r="G194" s="7">
        <f>IF(Table3[[#This Row],[Stage]]="Closed",Table3[[#This Row],[Date of Update]]-(_xlfn.MINIFS(Table3[Date of Update],Table3[Ref], Table3[[#This Row],[Ref]])),"")</f>
        <v>71</v>
      </c>
    </row>
    <row r="195" spans="1:7" x14ac:dyDescent="0.25">
      <c r="A195" s="4" t="s">
        <v>138</v>
      </c>
      <c r="B195" s="5">
        <v>44811</v>
      </c>
      <c r="C195" s="6" t="s">
        <v>17</v>
      </c>
      <c r="D195" s="6" t="s">
        <v>9</v>
      </c>
      <c r="E195" s="6" t="s">
        <v>139</v>
      </c>
      <c r="F195" s="6" cm="1">
        <f t="array" aca="1" ref="F195" ca="1">IF(Table3[[#This Row],[Stage]]="Closed",0,IF(IFERROR(
  IF(
    COUNTIF(A$2:A$1997, A195) &gt; 1,
    MIN(IF(A$2:A$1997=A195, IF(B$2:B$1997&gt;B195, B$2:B$1997))) - B195,
    TODAY() - Table3[[#This Row],[Date of Update]]
  ),
  TODAY()-Table3[[#This Row],[Date of Update]]
)&lt;=0,
TODAY()-Table3[[#This Row],[Date of Update]],
IFERROR(
  IF(
    COUNTIF(A$2:A$1997, A195) &gt; 1,
    MIN(IF(A$2:A$1997=A195, IF(B$2:B$1997&gt;B195, B$2:B$1997))) - B195,
    TODAY() - Table3[[#This Row],[Date of Update]]
  ),
  TODAY()-Table3[[#This Row],[Date of Update]]
)))</f>
        <v>0</v>
      </c>
      <c r="G195" s="7">
        <f>IF(Table3[[#This Row],[Stage]]="Closed",Table3[[#This Row],[Date of Update]]-(_xlfn.MINIFS(Table3[Date of Update],Table3[Ref], Table3[[#This Row],[Ref]])),"")</f>
        <v>29</v>
      </c>
    </row>
    <row r="196" spans="1:7" x14ac:dyDescent="0.25">
      <c r="A196" s="4" t="s">
        <v>148</v>
      </c>
      <c r="B196" s="5">
        <v>44813</v>
      </c>
      <c r="C196" s="6" t="s">
        <v>8</v>
      </c>
      <c r="D196" s="6" t="s">
        <v>9</v>
      </c>
      <c r="E196" s="6" t="s">
        <v>149</v>
      </c>
      <c r="F196" s="6" cm="1">
        <f t="array" aca="1" ref="F196" ca="1">IF(Table3[[#This Row],[Stage]]="Closed",0,IF(IFERROR(
  IF(
    COUNTIF(A$2:A$1997, A196) &gt; 1,
    MIN(IF(A$2:A$1997=A196, IF(B$2:B$1997&gt;B196, B$2:B$1997))) - B196,
    TODAY() - Table3[[#This Row],[Date of Update]]
  ),
  TODAY()-Table3[[#This Row],[Date of Update]]
)&lt;=0,
TODAY()-Table3[[#This Row],[Date of Update]],
IFERROR(
  IF(
    COUNTIF(A$2:A$1997, A196) &gt; 1,
    MIN(IF(A$2:A$1997=A196, IF(B$2:B$1997&gt;B196, B$2:B$1997))) - B196,
    TODAY() - Table3[[#This Row],[Date of Update]]
  ),
  TODAY()-Table3[[#This Row],[Date of Update]]
)))</f>
        <v>175</v>
      </c>
      <c r="G196" s="7" t="str">
        <f>IF(Table3[[#This Row],[Stage]]="Closed",Table3[[#This Row],[Date of Update]]-(_xlfn.MINIFS(Table3[Date of Update],Table3[Ref], Table3[[#This Row],[Ref]])),"")</f>
        <v/>
      </c>
    </row>
    <row r="197" spans="1:7" x14ac:dyDescent="0.25">
      <c r="A197" s="4" t="s">
        <v>150</v>
      </c>
      <c r="B197" s="5">
        <v>44813</v>
      </c>
      <c r="C197" s="6" t="s">
        <v>8</v>
      </c>
      <c r="D197" s="6" t="s">
        <v>9</v>
      </c>
      <c r="E197" s="6" t="s">
        <v>149</v>
      </c>
      <c r="F197" s="6" cm="1">
        <f t="array" aca="1" ref="F197" ca="1">IF(Table3[[#This Row],[Stage]]="Closed",0,IF(IFERROR(
  IF(
    COUNTIF(A$2:A$1997, A197) &gt; 1,
    MIN(IF(A$2:A$1997=A197, IF(B$2:B$1997&gt;B197, B$2:B$1997))) - B197,
    TODAY() - Table3[[#This Row],[Date of Update]]
  ),
  TODAY()-Table3[[#This Row],[Date of Update]]
)&lt;=0,
TODAY()-Table3[[#This Row],[Date of Update]],
IFERROR(
  IF(
    COUNTIF(A$2:A$1997, A197) &gt; 1,
    MIN(IF(A$2:A$1997=A197, IF(B$2:B$1997&gt;B197, B$2:B$1997))) - B197,
    TODAY() - Table3[[#This Row],[Date of Update]]
  ),
  TODAY()-Table3[[#This Row],[Date of Update]]
)))</f>
        <v>175</v>
      </c>
      <c r="G197" s="7" t="str">
        <f>IF(Table3[[#This Row],[Stage]]="Closed",Table3[[#This Row],[Date of Update]]-(_xlfn.MINIFS(Table3[Date of Update],Table3[Ref], Table3[[#This Row],[Ref]])),"")</f>
        <v/>
      </c>
    </row>
    <row r="198" spans="1:7" x14ac:dyDescent="0.25">
      <c r="A198" s="4" t="s">
        <v>140</v>
      </c>
      <c r="B198" s="5">
        <v>44814</v>
      </c>
      <c r="C198" s="6" t="s">
        <v>17</v>
      </c>
      <c r="D198" s="6" t="s">
        <v>9</v>
      </c>
      <c r="E198" s="6"/>
      <c r="F198" s="6" cm="1">
        <f t="array" aca="1" ref="F198" ca="1">IF(Table3[[#This Row],[Stage]]="Closed",0,IF(IFERROR(
  IF(
    COUNTIF(A$2:A$1997, A198) &gt; 1,
    MIN(IF(A$2:A$1997=A198, IF(B$2:B$1997&gt;B198, B$2:B$1997))) - B198,
    TODAY() - Table3[[#This Row],[Date of Update]]
  ),
  TODAY()-Table3[[#This Row],[Date of Update]]
)&lt;=0,
TODAY()-Table3[[#This Row],[Date of Update]],
IFERROR(
  IF(
    COUNTIF(A$2:A$1997, A198) &gt; 1,
    MIN(IF(A$2:A$1997=A198, IF(B$2:B$1997&gt;B198, B$2:B$1997))) - B198,
    TODAY() - Table3[[#This Row],[Date of Update]]
  ),
  TODAY()-Table3[[#This Row],[Date of Update]]
)))</f>
        <v>0</v>
      </c>
      <c r="G198" s="7">
        <f>IF(Table3[[#This Row],[Stage]]="Closed",Table3[[#This Row],[Date of Update]]-(_xlfn.MINIFS(Table3[Date of Update],Table3[Ref], Table3[[#This Row],[Ref]])),"")</f>
        <v>30</v>
      </c>
    </row>
    <row r="199" spans="1:7" x14ac:dyDescent="0.25">
      <c r="A199" s="4" t="s">
        <v>91</v>
      </c>
      <c r="B199" s="5">
        <v>44816</v>
      </c>
      <c r="C199" s="6" t="s">
        <v>17</v>
      </c>
      <c r="D199" s="6" t="s">
        <v>9</v>
      </c>
      <c r="E199" s="6" t="s">
        <v>58</v>
      </c>
      <c r="F199" s="6" cm="1">
        <f t="array" aca="1" ref="F199" ca="1">IF(Table3[[#This Row],[Stage]]="Closed",0,IF(IFERROR(
  IF(
    COUNTIF(A$2:A$1997, A199) &gt; 1,
    MIN(IF(A$2:A$1997=A199, IF(B$2:B$1997&gt;B199, B$2:B$1997))) - B199,
    TODAY() - Table3[[#This Row],[Date of Update]]
  ),
  TODAY()-Table3[[#This Row],[Date of Update]]
)&lt;=0,
TODAY()-Table3[[#This Row],[Date of Update]],
IFERROR(
  IF(
    COUNTIF(A$2:A$1997, A199) &gt; 1,
    MIN(IF(A$2:A$1997=A199, IF(B$2:B$1997&gt;B199, B$2:B$1997))) - B199,
    TODAY() - Table3[[#This Row],[Date of Update]]
  ),
  TODAY()-Table3[[#This Row],[Date of Update]]
)))</f>
        <v>0</v>
      </c>
      <c r="G199" s="7">
        <f>IF(Table3[[#This Row],[Stage]]="Closed",Table3[[#This Row],[Date of Update]]-(_xlfn.MINIFS(Table3[Date of Update],Table3[Ref], Table3[[#This Row],[Ref]])),"")</f>
        <v>76</v>
      </c>
    </row>
    <row r="200" spans="1:7" x14ac:dyDescent="0.25">
      <c r="A200" s="4" t="s">
        <v>64</v>
      </c>
      <c r="B200" s="5">
        <v>44816</v>
      </c>
      <c r="C200" s="6" t="s">
        <v>17</v>
      </c>
      <c r="D200" s="6" t="s">
        <v>9</v>
      </c>
      <c r="E200" s="6" t="s">
        <v>58</v>
      </c>
      <c r="F200" s="6" cm="1">
        <f t="array" aca="1" ref="F200" ca="1">IF(Table3[[#This Row],[Stage]]="Closed",0,IF(IFERROR(
  IF(
    COUNTIF(A$2:A$1997, A200) &gt; 1,
    MIN(IF(A$2:A$1997=A200, IF(B$2:B$1997&gt;B200, B$2:B$1997))) - B200,
    TODAY() - Table3[[#This Row],[Date of Update]]
  ),
  TODAY()-Table3[[#This Row],[Date of Update]]
)&lt;=0,
TODAY()-Table3[[#This Row],[Date of Update]],
IFERROR(
  IF(
    COUNTIF(A$2:A$1997, A200) &gt; 1,
    MIN(IF(A$2:A$1997=A200, IF(B$2:B$1997&gt;B200, B$2:B$1997))) - B200,
    TODAY() - Table3[[#This Row],[Date of Update]]
  ),
  TODAY()-Table3[[#This Row],[Date of Update]]
)))</f>
        <v>0</v>
      </c>
      <c r="G200" s="7">
        <f>IF(Table3[[#This Row],[Stage]]="Closed",Table3[[#This Row],[Date of Update]]-(_xlfn.MINIFS(Table3[Date of Update],Table3[Ref], Table3[[#This Row],[Ref]])),"")</f>
        <v>110</v>
      </c>
    </row>
    <row r="201" spans="1:7" x14ac:dyDescent="0.25">
      <c r="A201" s="4" t="s">
        <v>151</v>
      </c>
      <c r="B201" s="5">
        <v>44816</v>
      </c>
      <c r="C201" s="6" t="s">
        <v>8</v>
      </c>
      <c r="D201" s="6" t="s">
        <v>9</v>
      </c>
      <c r="E201" s="6" t="s">
        <v>152</v>
      </c>
      <c r="F201" s="6" cm="1">
        <f t="array" aca="1" ref="F201" ca="1">IF(Table3[[#This Row],[Stage]]="Closed",0,IF(IFERROR(
  IF(
    COUNTIF(A$2:A$1997, A201) &gt; 1,
    MIN(IF(A$2:A$1997=A201, IF(B$2:B$1997&gt;B201, B$2:B$1997))) - B201,
    TODAY() - Table3[[#This Row],[Date of Update]]
  ),
  TODAY()-Table3[[#This Row],[Date of Update]]
)&lt;=0,
TODAY()-Table3[[#This Row],[Date of Update]],
IFERROR(
  IF(
    COUNTIF(A$2:A$1997, A201) &gt; 1,
    MIN(IF(A$2:A$1997=A201, IF(B$2:B$1997&gt;B201, B$2:B$1997))) - B201,
    TODAY() - Table3[[#This Row],[Date of Update]]
  ),
  TODAY()-Table3[[#This Row],[Date of Update]]
)))</f>
        <v>172</v>
      </c>
      <c r="G201" s="7" t="str">
        <f>IF(Table3[[#This Row],[Stage]]="Closed",Table3[[#This Row],[Date of Update]]-(_xlfn.MINIFS(Table3[Date of Update],Table3[Ref], Table3[[#This Row],[Ref]])),"")</f>
        <v/>
      </c>
    </row>
    <row r="202" spans="1:7" x14ac:dyDescent="0.25">
      <c r="A202" s="4" t="s">
        <v>78</v>
      </c>
      <c r="B202" s="5">
        <v>44816</v>
      </c>
      <c r="C202" s="6" t="s">
        <v>17</v>
      </c>
      <c r="D202" s="6" t="s">
        <v>9</v>
      </c>
      <c r="E202" s="6" t="s">
        <v>58</v>
      </c>
      <c r="F202" s="6" cm="1">
        <f t="array" aca="1" ref="F202" ca="1">IF(Table3[[#This Row],[Stage]]="Closed",0,IF(IFERROR(
  IF(
    COUNTIF(A$2:A$1997, A202) &gt; 1,
    MIN(IF(A$2:A$1997=A202, IF(B$2:B$1997&gt;B202, B$2:B$1997))) - B202,
    TODAY() - Table3[[#This Row],[Date of Update]]
  ),
  TODAY()-Table3[[#This Row],[Date of Update]]
)&lt;=0,
TODAY()-Table3[[#This Row],[Date of Update]],
IFERROR(
  IF(
    COUNTIF(A$2:A$1997, A202) &gt; 1,
    MIN(IF(A$2:A$1997=A202, IF(B$2:B$1997&gt;B202, B$2:B$1997))) - B202,
    TODAY() - Table3[[#This Row],[Date of Update]]
  ),
  TODAY()-Table3[[#This Row],[Date of Update]]
)))</f>
        <v>0</v>
      </c>
      <c r="G202" s="7">
        <f>IF(Table3[[#This Row],[Stage]]="Closed",Table3[[#This Row],[Date of Update]]-(_xlfn.MINIFS(Table3[Date of Update],Table3[Ref], Table3[[#This Row],[Ref]])),"")</f>
        <v>96</v>
      </c>
    </row>
    <row r="203" spans="1:7" x14ac:dyDescent="0.25">
      <c r="A203" s="4" t="s">
        <v>59</v>
      </c>
      <c r="B203" s="5">
        <v>44816</v>
      </c>
      <c r="C203" s="6" t="s">
        <v>17</v>
      </c>
      <c r="D203" s="6" t="s">
        <v>9</v>
      </c>
      <c r="E203" s="6" t="s">
        <v>58</v>
      </c>
      <c r="F203" s="6" cm="1">
        <f t="array" aca="1" ref="F203" ca="1">IF(Table3[[#This Row],[Stage]]="Closed",0,IF(IFERROR(
  IF(
    COUNTIF(A$2:A$1997, A203) &gt; 1,
    MIN(IF(A$2:A$1997=A203, IF(B$2:B$1997&gt;B203, B$2:B$1997))) - B203,
    TODAY() - Table3[[#This Row],[Date of Update]]
  ),
  TODAY()-Table3[[#This Row],[Date of Update]]
)&lt;=0,
TODAY()-Table3[[#This Row],[Date of Update]],
IFERROR(
  IF(
    COUNTIF(A$2:A$1997, A203) &gt; 1,
    MIN(IF(A$2:A$1997=A203, IF(B$2:B$1997&gt;B203, B$2:B$1997))) - B203,
    TODAY() - Table3[[#This Row],[Date of Update]]
  ),
  TODAY()-Table3[[#This Row],[Date of Update]]
)))</f>
        <v>0</v>
      </c>
      <c r="G203" s="7">
        <f>IF(Table3[[#This Row],[Stage]]="Closed",Table3[[#This Row],[Date of Update]]-(_xlfn.MINIFS(Table3[Date of Update],Table3[Ref], Table3[[#This Row],[Ref]])),"")</f>
        <v>123</v>
      </c>
    </row>
    <row r="204" spans="1:7" x14ac:dyDescent="0.25">
      <c r="A204" s="4" t="s">
        <v>57</v>
      </c>
      <c r="B204" s="5">
        <v>44816</v>
      </c>
      <c r="C204" s="6" t="s">
        <v>17</v>
      </c>
      <c r="D204" s="6" t="s">
        <v>9</v>
      </c>
      <c r="E204" s="6" t="s">
        <v>58</v>
      </c>
      <c r="F204" s="6" cm="1">
        <f t="array" aca="1" ref="F204" ca="1">IF(Table3[[#This Row],[Stage]]="Closed",0,IF(IFERROR(
  IF(
    COUNTIF(A$2:A$1997, A204) &gt; 1,
    MIN(IF(A$2:A$1997=A204, IF(B$2:B$1997&gt;B204, B$2:B$1997))) - B204,
    TODAY() - Table3[[#This Row],[Date of Update]]
  ),
  TODAY()-Table3[[#This Row],[Date of Update]]
)&lt;=0,
TODAY()-Table3[[#This Row],[Date of Update]],
IFERROR(
  IF(
    COUNTIF(A$2:A$1997, A204) &gt; 1,
    MIN(IF(A$2:A$1997=A204, IF(B$2:B$1997&gt;B204, B$2:B$1997))) - B204,
    TODAY() - Table3[[#This Row],[Date of Update]]
  ),
  TODAY()-Table3[[#This Row],[Date of Update]]
)))</f>
        <v>0</v>
      </c>
      <c r="G204" s="7">
        <f>IF(Table3[[#This Row],[Stage]]="Closed",Table3[[#This Row],[Date of Update]]-(_xlfn.MINIFS(Table3[Date of Update],Table3[Ref], Table3[[#This Row],[Ref]])),"")</f>
        <v>126</v>
      </c>
    </row>
    <row r="205" spans="1:7" x14ac:dyDescent="0.25">
      <c r="A205" s="4" t="s">
        <v>67</v>
      </c>
      <c r="B205" s="5">
        <v>44816</v>
      </c>
      <c r="C205" s="6" t="s">
        <v>17</v>
      </c>
      <c r="D205" s="6" t="s">
        <v>9</v>
      </c>
      <c r="E205" s="6" t="s">
        <v>58</v>
      </c>
      <c r="F205" s="6" cm="1">
        <f t="array" aca="1" ref="F205" ca="1">IF(Table3[[#This Row],[Stage]]="Closed",0,IF(IFERROR(
  IF(
    COUNTIF(A$2:A$1997, A205) &gt; 1,
    MIN(IF(A$2:A$1997=A205, IF(B$2:B$1997&gt;B205, B$2:B$1997))) - B205,
    TODAY() - Table3[[#This Row],[Date of Update]]
  ),
  TODAY()-Table3[[#This Row],[Date of Update]]
)&lt;=0,
TODAY()-Table3[[#This Row],[Date of Update]],
IFERROR(
  IF(
    COUNTIF(A$2:A$1997, A205) &gt; 1,
    MIN(IF(A$2:A$1997=A205, IF(B$2:B$1997&gt;B205, B$2:B$1997))) - B205,
    TODAY() - Table3[[#This Row],[Date of Update]]
  ),
  TODAY()-Table3[[#This Row],[Date of Update]]
)))</f>
        <v>0</v>
      </c>
      <c r="G205" s="7">
        <f>IF(Table3[[#This Row],[Stage]]="Closed",Table3[[#This Row],[Date of Update]]-(_xlfn.MINIFS(Table3[Date of Update],Table3[Ref], Table3[[#This Row],[Ref]])),"")</f>
        <v>110</v>
      </c>
    </row>
    <row r="206" spans="1:7" x14ac:dyDescent="0.25">
      <c r="A206" s="4" t="s">
        <v>96</v>
      </c>
      <c r="B206" s="5">
        <v>44816</v>
      </c>
      <c r="C206" s="6" t="s">
        <v>17</v>
      </c>
      <c r="D206" s="6" t="s">
        <v>9</v>
      </c>
      <c r="E206" s="6" t="s">
        <v>58</v>
      </c>
      <c r="F206" s="6" cm="1">
        <f t="array" aca="1" ref="F206" ca="1">IF(Table3[[#This Row],[Stage]]="Closed",0,IF(IFERROR(
  IF(
    COUNTIF(A$2:A$1997, A206) &gt; 1,
    MIN(IF(A$2:A$1997=A206, IF(B$2:B$1997&gt;B206, B$2:B$1997))) - B206,
    TODAY() - Table3[[#This Row],[Date of Update]]
  ),
  TODAY()-Table3[[#This Row],[Date of Update]]
)&lt;=0,
TODAY()-Table3[[#This Row],[Date of Update]],
IFERROR(
  IF(
    COUNTIF(A$2:A$1997, A206) &gt; 1,
    MIN(IF(A$2:A$1997=A206, IF(B$2:B$1997&gt;B206, B$2:B$1997))) - B206,
    TODAY() - Table3[[#This Row],[Date of Update]]
  ),
  TODAY()-Table3[[#This Row],[Date of Update]]
)))</f>
        <v>0</v>
      </c>
      <c r="G206" s="7">
        <f>IF(Table3[[#This Row],[Stage]]="Closed",Table3[[#This Row],[Date of Update]]-(_xlfn.MINIFS(Table3[Date of Update],Table3[Ref], Table3[[#This Row],[Ref]])),"")</f>
        <v>69</v>
      </c>
    </row>
    <row r="207" spans="1:7" x14ac:dyDescent="0.25">
      <c r="A207" s="4" t="s">
        <v>111</v>
      </c>
      <c r="B207" s="5">
        <v>44816</v>
      </c>
      <c r="C207" s="6" t="s">
        <v>17</v>
      </c>
      <c r="D207" s="6" t="s">
        <v>9</v>
      </c>
      <c r="E207" s="6" t="s">
        <v>112</v>
      </c>
      <c r="F207" s="6" cm="1">
        <f t="array" aca="1" ref="F207" ca="1">IF(Table3[[#This Row],[Stage]]="Closed",0,IF(IFERROR(
  IF(
    COUNTIF(A$2:A$1997, A207) &gt; 1,
    MIN(IF(A$2:A$1997=A207, IF(B$2:B$1997&gt;B207, B$2:B$1997))) - B207,
    TODAY() - Table3[[#This Row],[Date of Update]]
  ),
  TODAY()-Table3[[#This Row],[Date of Update]]
)&lt;=0,
TODAY()-Table3[[#This Row],[Date of Update]],
IFERROR(
  IF(
    COUNTIF(A$2:A$1997, A207) &gt; 1,
    MIN(IF(A$2:A$1997=A207, IF(B$2:B$1997&gt;B207, B$2:B$1997))) - B207,
    TODAY() - Table3[[#This Row],[Date of Update]]
  ),
  TODAY()-Table3[[#This Row],[Date of Update]]
)))</f>
        <v>0</v>
      </c>
      <c r="G207" s="7">
        <f>IF(Table3[[#This Row],[Stage]]="Closed",Table3[[#This Row],[Date of Update]]-(_xlfn.MINIFS(Table3[Date of Update],Table3[Ref], Table3[[#This Row],[Ref]])),"")</f>
        <v>47</v>
      </c>
    </row>
    <row r="208" spans="1:7" x14ac:dyDescent="0.25">
      <c r="A208" s="4" t="s">
        <v>86</v>
      </c>
      <c r="B208" s="5">
        <v>44816</v>
      </c>
      <c r="C208" s="6" t="s">
        <v>17</v>
      </c>
      <c r="D208" s="6" t="s">
        <v>9</v>
      </c>
      <c r="E208" s="6" t="s">
        <v>58</v>
      </c>
      <c r="F208" s="6" cm="1">
        <f t="array" aca="1" ref="F208" ca="1">IF(Table3[[#This Row],[Stage]]="Closed",0,IF(IFERROR(
  IF(
    COUNTIF(A$2:A$1997, A208) &gt; 1,
    MIN(IF(A$2:A$1997=A208, IF(B$2:B$1997&gt;B208, B$2:B$1997))) - B208,
    TODAY() - Table3[[#This Row],[Date of Update]]
  ),
  TODAY()-Table3[[#This Row],[Date of Update]]
)&lt;=0,
TODAY()-Table3[[#This Row],[Date of Update]],
IFERROR(
  IF(
    COUNTIF(A$2:A$1997, A208) &gt; 1,
    MIN(IF(A$2:A$1997=A208, IF(B$2:B$1997&gt;B208, B$2:B$1997))) - B208,
    TODAY() - Table3[[#This Row],[Date of Update]]
  ),
  TODAY()-Table3[[#This Row],[Date of Update]]
)))</f>
        <v>0</v>
      </c>
      <c r="G208" s="7">
        <f>IF(Table3[[#This Row],[Stage]]="Closed",Table3[[#This Row],[Date of Update]]-(_xlfn.MINIFS(Table3[Date of Update],Table3[Ref], Table3[[#This Row],[Ref]])),"")</f>
        <v>87</v>
      </c>
    </row>
    <row r="209" spans="1:7" x14ac:dyDescent="0.25">
      <c r="A209" s="4" t="s">
        <v>153</v>
      </c>
      <c r="B209" s="5">
        <v>44817</v>
      </c>
      <c r="C209" s="6" t="s">
        <v>8</v>
      </c>
      <c r="D209" s="6" t="s">
        <v>9</v>
      </c>
      <c r="E209" s="6" t="s">
        <v>154</v>
      </c>
      <c r="F209" s="6" cm="1">
        <f t="array" aca="1" ref="F209" ca="1">IF(Table3[[#This Row],[Stage]]="Closed",0,IF(IFERROR(
  IF(
    COUNTIF(A$2:A$1997, A209) &gt; 1,
    MIN(IF(A$2:A$1997=A209, IF(B$2:B$1997&gt;B209, B$2:B$1997))) - B209,
    TODAY() - Table3[[#This Row],[Date of Update]]
  ),
  TODAY()-Table3[[#This Row],[Date of Update]]
)&lt;=0,
TODAY()-Table3[[#This Row],[Date of Update]],
IFERROR(
  IF(
    COUNTIF(A$2:A$1997, A209) &gt; 1,
    MIN(IF(A$2:A$1997=A209, IF(B$2:B$1997&gt;B209, B$2:B$1997))) - B209,
    TODAY() - Table3[[#This Row],[Date of Update]]
  ),
  TODAY()-Table3[[#This Row],[Date of Update]]
)))</f>
        <v>171</v>
      </c>
      <c r="G209" s="7" t="str">
        <f>IF(Table3[[#This Row],[Stage]]="Closed",Table3[[#This Row],[Date of Update]]-(_xlfn.MINIFS(Table3[Date of Update],Table3[Ref], Table3[[#This Row],[Ref]])),"")</f>
        <v/>
      </c>
    </row>
    <row r="210" spans="1:7" x14ac:dyDescent="0.25">
      <c r="A210" s="4" t="s">
        <v>143</v>
      </c>
      <c r="B210" s="5">
        <v>44818</v>
      </c>
      <c r="C210" s="6" t="s">
        <v>17</v>
      </c>
      <c r="D210" s="6" t="s">
        <v>9</v>
      </c>
      <c r="E210" s="6" t="s">
        <v>144</v>
      </c>
      <c r="F210" s="6" cm="1">
        <f t="array" aca="1" ref="F210" ca="1">IF(Table3[[#This Row],[Stage]]="Closed",0,IF(IFERROR(
  IF(
    COUNTIF(A$2:A$1997, A210) &gt; 1,
    MIN(IF(A$2:A$1997=A210, IF(B$2:B$1997&gt;B210, B$2:B$1997))) - B210,
    TODAY() - Table3[[#This Row],[Date of Update]]
  ),
  TODAY()-Table3[[#This Row],[Date of Update]]
)&lt;=0,
TODAY()-Table3[[#This Row],[Date of Update]],
IFERROR(
  IF(
    COUNTIF(A$2:A$1997, A210) &gt; 1,
    MIN(IF(A$2:A$1997=A210, IF(B$2:B$1997&gt;B210, B$2:B$1997))) - B210,
    TODAY() - Table3[[#This Row],[Date of Update]]
  ),
  TODAY()-Table3[[#This Row],[Date of Update]]
)))</f>
        <v>0</v>
      </c>
      <c r="G210" s="7">
        <f>IF(Table3[[#This Row],[Stage]]="Closed",Table3[[#This Row],[Date of Update]]-(_xlfn.MINIFS(Table3[Date of Update],Table3[Ref], Table3[[#This Row],[Ref]])),"")</f>
        <v>30</v>
      </c>
    </row>
    <row r="211" spans="1:7" x14ac:dyDescent="0.25">
      <c r="A211" s="4" t="s">
        <v>73</v>
      </c>
      <c r="B211" s="5">
        <v>44818</v>
      </c>
      <c r="C211" s="6" t="s">
        <v>17</v>
      </c>
      <c r="D211" s="6" t="s">
        <v>9</v>
      </c>
      <c r="E211" s="6" t="s">
        <v>74</v>
      </c>
      <c r="F211" s="6" cm="1">
        <f t="array" aca="1" ref="F211" ca="1">IF(Table3[[#This Row],[Stage]]="Closed",0,IF(IFERROR(
  IF(
    COUNTIF(A$2:A$1997, A211) &gt; 1,
    MIN(IF(A$2:A$1997=A211, IF(B$2:B$1997&gt;B211, B$2:B$1997))) - B211,
    TODAY() - Table3[[#This Row],[Date of Update]]
  ),
  TODAY()-Table3[[#This Row],[Date of Update]]
)&lt;=0,
TODAY()-Table3[[#This Row],[Date of Update]],
IFERROR(
  IF(
    COUNTIF(A$2:A$1997, A211) &gt; 1,
    MIN(IF(A$2:A$1997=A211, IF(B$2:B$1997&gt;B211, B$2:B$1997))) - B211,
    TODAY() - Table3[[#This Row],[Date of Update]]
  ),
  TODAY()-Table3[[#This Row],[Date of Update]]
)))</f>
        <v>0</v>
      </c>
      <c r="G211" s="7">
        <f>IF(Table3[[#This Row],[Stage]]="Closed",Table3[[#This Row],[Date of Update]]-(_xlfn.MINIFS(Table3[Date of Update],Table3[Ref], Table3[[#This Row],[Ref]])),"")</f>
        <v>98</v>
      </c>
    </row>
    <row r="212" spans="1:7" x14ac:dyDescent="0.25">
      <c r="A212" s="4" t="s">
        <v>75</v>
      </c>
      <c r="B212" s="5">
        <v>44818</v>
      </c>
      <c r="C212" s="6" t="s">
        <v>17</v>
      </c>
      <c r="D212" s="6" t="s">
        <v>9</v>
      </c>
      <c r="E212" s="6"/>
      <c r="F212" s="6" cm="1">
        <f t="array" aca="1" ref="F212" ca="1">IF(Table3[[#This Row],[Stage]]="Closed",0,IF(IFERROR(
  IF(
    COUNTIF(A$2:A$1997, A212) &gt; 1,
    MIN(IF(A$2:A$1997=A212, IF(B$2:B$1997&gt;B212, B$2:B$1997))) - B212,
    TODAY() - Table3[[#This Row],[Date of Update]]
  ),
  TODAY()-Table3[[#This Row],[Date of Update]]
)&lt;=0,
TODAY()-Table3[[#This Row],[Date of Update]],
IFERROR(
  IF(
    COUNTIF(A$2:A$1997, A212) &gt; 1,
    MIN(IF(A$2:A$1997=A212, IF(B$2:B$1997&gt;B212, B$2:B$1997))) - B212,
    TODAY() - Table3[[#This Row],[Date of Update]]
  ),
  TODAY()-Table3[[#This Row],[Date of Update]]
)))</f>
        <v>0</v>
      </c>
      <c r="G212" s="7">
        <f>IF(Table3[[#This Row],[Stage]]="Closed",Table3[[#This Row],[Date of Update]]-(_xlfn.MINIFS(Table3[Date of Update],Table3[Ref], Table3[[#This Row],[Ref]])),"")</f>
        <v>98</v>
      </c>
    </row>
    <row r="213" spans="1:7" x14ac:dyDescent="0.25">
      <c r="A213" s="4" t="s">
        <v>145</v>
      </c>
      <c r="B213" s="5">
        <v>44818</v>
      </c>
      <c r="C213" s="6" t="s">
        <v>17</v>
      </c>
      <c r="D213" s="6" t="s">
        <v>9</v>
      </c>
      <c r="E213" s="6" t="s">
        <v>146</v>
      </c>
      <c r="F213" s="6" cm="1">
        <f t="array" aca="1" ref="F213" ca="1">IF(Table3[[#This Row],[Stage]]="Closed",0,IF(IFERROR(
  IF(
    COUNTIF(A$2:A$1997, A213) &gt; 1,
    MIN(IF(A$2:A$1997=A213, IF(B$2:B$1997&gt;B213, B$2:B$1997))) - B213,
    TODAY() - Table3[[#This Row],[Date of Update]]
  ),
  TODAY()-Table3[[#This Row],[Date of Update]]
)&lt;=0,
TODAY()-Table3[[#This Row],[Date of Update]],
IFERROR(
  IF(
    COUNTIF(A$2:A$1997, A213) &gt; 1,
    MIN(IF(A$2:A$1997=A213, IF(B$2:B$1997&gt;B213, B$2:B$1997))) - B213,
    TODAY() - Table3[[#This Row],[Date of Update]]
  ),
  TODAY()-Table3[[#This Row],[Date of Update]]
)))</f>
        <v>0</v>
      </c>
      <c r="G213" s="7">
        <f>IF(Table3[[#This Row],[Stage]]="Closed",Table3[[#This Row],[Date of Update]]-(_xlfn.MINIFS(Table3[Date of Update],Table3[Ref], Table3[[#This Row],[Ref]])),"")</f>
        <v>30</v>
      </c>
    </row>
    <row r="214" spans="1:7" x14ac:dyDescent="0.25">
      <c r="A214" s="4" t="s">
        <v>114</v>
      </c>
      <c r="B214" s="5">
        <v>44818</v>
      </c>
      <c r="C214" s="6" t="s">
        <v>17</v>
      </c>
      <c r="D214" s="6" t="s">
        <v>9</v>
      </c>
      <c r="E214" s="6"/>
      <c r="F214" s="6" cm="1">
        <f t="array" aca="1" ref="F214" ca="1">IF(Table3[[#This Row],[Stage]]="Closed",0,IF(IFERROR(
  IF(
    COUNTIF(A$2:A$1997, A214) &gt; 1,
    MIN(IF(A$2:A$1997=A214, IF(B$2:B$1997&gt;B214, B$2:B$1997))) - B214,
    TODAY() - Table3[[#This Row],[Date of Update]]
  ),
  TODAY()-Table3[[#This Row],[Date of Update]]
)&lt;=0,
TODAY()-Table3[[#This Row],[Date of Update]],
IFERROR(
  IF(
    COUNTIF(A$2:A$1997, A214) &gt; 1,
    MIN(IF(A$2:A$1997=A214, IF(B$2:B$1997&gt;B214, B$2:B$1997))) - B214,
    TODAY() - Table3[[#This Row],[Date of Update]]
  ),
  TODAY()-Table3[[#This Row],[Date of Update]]
)))</f>
        <v>0</v>
      </c>
      <c r="G214" s="7">
        <f>IF(Table3[[#This Row],[Stage]]="Closed",Table3[[#This Row],[Date of Update]]-(_xlfn.MINIFS(Table3[Date of Update],Table3[Ref], Table3[[#This Row],[Ref]])),"")</f>
        <v>49</v>
      </c>
    </row>
    <row r="215" spans="1:7" x14ac:dyDescent="0.25">
      <c r="A215" s="4" t="s">
        <v>155</v>
      </c>
      <c r="B215" s="5">
        <v>44819</v>
      </c>
      <c r="C215" s="6" t="s">
        <v>8</v>
      </c>
      <c r="D215" s="6" t="s">
        <v>9</v>
      </c>
      <c r="E215" s="6" t="s">
        <v>156</v>
      </c>
      <c r="F215" s="6" cm="1">
        <f t="array" aca="1" ref="F215" ca="1">IF(Table3[[#This Row],[Stage]]="Closed",0,IF(IFERROR(
  IF(
    COUNTIF(A$2:A$1997, A215) &gt; 1,
    MIN(IF(A$2:A$1997=A215, IF(B$2:B$1997&gt;B215, B$2:B$1997))) - B215,
    TODAY() - Table3[[#This Row],[Date of Update]]
  ),
  TODAY()-Table3[[#This Row],[Date of Update]]
)&lt;=0,
TODAY()-Table3[[#This Row],[Date of Update]],
IFERROR(
  IF(
    COUNTIF(A$2:A$1997, A215) &gt; 1,
    MIN(IF(A$2:A$1997=A215, IF(B$2:B$1997&gt;B215, B$2:B$1997))) - B215,
    TODAY() - Table3[[#This Row],[Date of Update]]
  ),
  TODAY()-Table3[[#This Row],[Date of Update]]
)))</f>
        <v>169</v>
      </c>
      <c r="G215" s="7" t="str">
        <f>IF(Table3[[#This Row],[Stage]]="Closed",Table3[[#This Row],[Date of Update]]-(_xlfn.MINIFS(Table3[Date of Update],Table3[Ref], Table3[[#This Row],[Ref]])),"")</f>
        <v/>
      </c>
    </row>
    <row r="216" spans="1:7" x14ac:dyDescent="0.25">
      <c r="A216" s="4" t="s">
        <v>157</v>
      </c>
      <c r="B216" s="5">
        <v>44820</v>
      </c>
      <c r="C216" s="6" t="s">
        <v>8</v>
      </c>
      <c r="D216" s="6" t="s">
        <v>9</v>
      </c>
      <c r="E216" s="6" t="s">
        <v>158</v>
      </c>
      <c r="F216" s="6" cm="1">
        <f t="array" aca="1" ref="F216" ca="1">IF(Table3[[#This Row],[Stage]]="Closed",0,IF(IFERROR(
  IF(
    COUNTIF(A$2:A$1997, A216) &gt; 1,
    MIN(IF(A$2:A$1997=A216, IF(B$2:B$1997&gt;B216, B$2:B$1997))) - B216,
    TODAY() - Table3[[#This Row],[Date of Update]]
  ),
  TODAY()-Table3[[#This Row],[Date of Update]]
)&lt;=0,
TODAY()-Table3[[#This Row],[Date of Update]],
IFERROR(
  IF(
    COUNTIF(A$2:A$1997, A216) &gt; 1,
    MIN(IF(A$2:A$1997=A216, IF(B$2:B$1997&gt;B216, B$2:B$1997))) - B216,
    TODAY() - Table3[[#This Row],[Date of Update]]
  ),
  TODAY()-Table3[[#This Row],[Date of Update]]
)))</f>
        <v>94</v>
      </c>
      <c r="G216" s="7" t="str">
        <f>IF(Table3[[#This Row],[Stage]]="Closed",Table3[[#This Row],[Date of Update]]-(_xlfn.MINIFS(Table3[Date of Update],Table3[Ref], Table3[[#This Row],[Ref]])),"")</f>
        <v/>
      </c>
    </row>
    <row r="217" spans="1:7" x14ac:dyDescent="0.25">
      <c r="A217" s="4" t="s">
        <v>147</v>
      </c>
      <c r="B217" s="5">
        <v>44820</v>
      </c>
      <c r="C217" s="6" t="s">
        <v>17</v>
      </c>
      <c r="D217" s="6" t="s">
        <v>9</v>
      </c>
      <c r="E217" s="6" t="s">
        <v>45</v>
      </c>
      <c r="F217" s="6" cm="1">
        <f t="array" aca="1" ref="F217" ca="1">IF(Table3[[#This Row],[Stage]]="Closed",0,IF(IFERROR(
  IF(
    COUNTIF(A$2:A$1997, A217) &gt; 1,
    MIN(IF(A$2:A$1997=A217, IF(B$2:B$1997&gt;B217, B$2:B$1997))) - B217,
    TODAY() - Table3[[#This Row],[Date of Update]]
  ),
  TODAY()-Table3[[#This Row],[Date of Update]]
)&lt;=0,
TODAY()-Table3[[#This Row],[Date of Update]],
IFERROR(
  IF(
    COUNTIF(A$2:A$1997, A217) &gt; 1,
    MIN(IF(A$2:A$1997=A217, IF(B$2:B$1997&gt;B217, B$2:B$1997))) - B217,
    TODAY() - Table3[[#This Row],[Date of Update]]
  ),
  TODAY()-Table3[[#This Row],[Date of Update]]
)))</f>
        <v>0</v>
      </c>
      <c r="G217" s="7">
        <f>IF(Table3[[#This Row],[Stage]]="Closed",Table3[[#This Row],[Date of Update]]-(_xlfn.MINIFS(Table3[Date of Update],Table3[Ref], Table3[[#This Row],[Ref]])),"")</f>
        <v>31</v>
      </c>
    </row>
    <row r="218" spans="1:7" x14ac:dyDescent="0.25">
      <c r="A218" s="4" t="s">
        <v>159</v>
      </c>
      <c r="B218" s="5">
        <v>44824</v>
      </c>
      <c r="C218" s="6" t="s">
        <v>8</v>
      </c>
      <c r="D218" s="6" t="s">
        <v>9</v>
      </c>
      <c r="E218" s="6" t="s">
        <v>160</v>
      </c>
      <c r="F218" s="6" cm="1">
        <f t="array" aca="1" ref="F218" ca="1">IF(Table3[[#This Row],[Stage]]="Closed",0,IF(IFERROR(
  IF(
    COUNTIF(A$2:A$1997, A218) &gt; 1,
    MIN(IF(A$2:A$1997=A218, IF(B$2:B$1997&gt;B218, B$2:B$1997))) - B218,
    TODAY() - Table3[[#This Row],[Date of Update]]
  ),
  TODAY()-Table3[[#This Row],[Date of Update]]
)&lt;=0,
TODAY()-Table3[[#This Row],[Date of Update]],
IFERROR(
  IF(
    COUNTIF(A$2:A$1997, A218) &gt; 1,
    MIN(IF(A$2:A$1997=A218, IF(B$2:B$1997&gt;B218, B$2:B$1997))) - B218,
    TODAY() - Table3[[#This Row],[Date of Update]]
  ),
  TODAY()-Table3[[#This Row],[Date of Update]]
)))</f>
        <v>106</v>
      </c>
      <c r="G218" s="7" t="str">
        <f>IF(Table3[[#This Row],[Stage]]="Closed",Table3[[#This Row],[Date of Update]]-(_xlfn.MINIFS(Table3[Date of Update],Table3[Ref], Table3[[#This Row],[Ref]])),"")</f>
        <v/>
      </c>
    </row>
    <row r="219" spans="1:7" x14ac:dyDescent="0.25">
      <c r="A219" s="4" t="s">
        <v>161</v>
      </c>
      <c r="B219" s="5">
        <v>44826</v>
      </c>
      <c r="C219" s="6" t="s">
        <v>8</v>
      </c>
      <c r="D219" s="6" t="s">
        <v>9</v>
      </c>
      <c r="E219" s="6" t="s">
        <v>162</v>
      </c>
      <c r="F219" s="6" cm="1">
        <f t="array" aca="1" ref="F219" ca="1">IF(Table3[[#This Row],[Stage]]="Closed",0,IF(IFERROR(
  IF(
    COUNTIF(A$2:A$1997, A219) &gt; 1,
    MIN(IF(A$2:A$1997=A219, IF(B$2:B$1997&gt;B219, B$2:B$1997))) - B219,
    TODAY() - Table3[[#This Row],[Date of Update]]
  ),
  TODAY()-Table3[[#This Row],[Date of Update]]
)&lt;=0,
TODAY()-Table3[[#This Row],[Date of Update]],
IFERROR(
  IF(
    COUNTIF(A$2:A$1997, A219) &gt; 1,
    MIN(IF(A$2:A$1997=A219, IF(B$2:B$1997&gt;B219, B$2:B$1997))) - B219,
    TODAY() - Table3[[#This Row],[Date of Update]]
  ),
  TODAY()-Table3[[#This Row],[Date of Update]]
)))</f>
        <v>30</v>
      </c>
      <c r="G219" s="7" t="str">
        <f>IF(Table3[[#This Row],[Stage]]="Closed",Table3[[#This Row],[Date of Update]]-(_xlfn.MINIFS(Table3[Date of Update],Table3[Ref], Table3[[#This Row],[Ref]])),"")</f>
        <v/>
      </c>
    </row>
    <row r="220" spans="1:7" x14ac:dyDescent="0.25">
      <c r="A220" s="4" t="s">
        <v>163</v>
      </c>
      <c r="B220" s="5">
        <v>44826</v>
      </c>
      <c r="C220" s="6" t="s">
        <v>8</v>
      </c>
      <c r="D220" s="6" t="s">
        <v>9</v>
      </c>
      <c r="E220" s="6" t="s">
        <v>102</v>
      </c>
      <c r="F220" s="6" cm="1">
        <f t="array" aca="1" ref="F220" ca="1">IF(Table3[[#This Row],[Stage]]="Closed",0,IF(IFERROR(
  IF(
    COUNTIF(A$2:A$1997, A220) &gt; 1,
    MIN(IF(A$2:A$1997=A220, IF(B$2:B$1997&gt;B220, B$2:B$1997))) - B220,
    TODAY() - Table3[[#This Row],[Date of Update]]
  ),
  TODAY()-Table3[[#This Row],[Date of Update]]
)&lt;=0,
TODAY()-Table3[[#This Row],[Date of Update]],
IFERROR(
  IF(
    COUNTIF(A$2:A$1997, A220) &gt; 1,
    MIN(IF(A$2:A$1997=A220, IF(B$2:B$1997&gt;B220, B$2:B$1997))) - B220,
    TODAY() - Table3[[#This Row],[Date of Update]]
  ),
  TODAY()-Table3[[#This Row],[Date of Update]]
)))</f>
        <v>167</v>
      </c>
      <c r="G220" s="7" t="str">
        <f>IF(Table3[[#This Row],[Stage]]="Closed",Table3[[#This Row],[Date of Update]]-(_xlfn.MINIFS(Table3[Date of Update],Table3[Ref], Table3[[#This Row],[Ref]])),"")</f>
        <v/>
      </c>
    </row>
    <row r="221" spans="1:7" x14ac:dyDescent="0.25">
      <c r="A221" s="4" t="s">
        <v>164</v>
      </c>
      <c r="B221" s="5">
        <v>44833</v>
      </c>
      <c r="C221" s="6" t="s">
        <v>8</v>
      </c>
      <c r="D221" s="6" t="s">
        <v>9</v>
      </c>
      <c r="E221" s="6" t="s">
        <v>80</v>
      </c>
      <c r="F221" s="6" cm="1">
        <f t="array" aca="1" ref="F221" ca="1">IF(Table3[[#This Row],[Stage]]="Closed",0,IF(IFERROR(
  IF(
    COUNTIF(A$2:A$1997, A221) &gt; 1,
    MIN(IF(A$2:A$1997=A221, IF(B$2:B$1997&gt;B221, B$2:B$1997))) - B221,
    TODAY() - Table3[[#This Row],[Date of Update]]
  ),
  TODAY()-Table3[[#This Row],[Date of Update]]
)&lt;=0,
TODAY()-Table3[[#This Row],[Date of Update]],
IFERROR(
  IF(
    COUNTIF(A$2:A$1997, A221) &gt; 1,
    MIN(IF(A$2:A$1997=A221, IF(B$2:B$1997&gt;B221, B$2:B$1997))) - B221,
    TODAY() - Table3[[#This Row],[Date of Update]]
  ),
  TODAY()-Table3[[#This Row],[Date of Update]]
)))</f>
        <v>161</v>
      </c>
      <c r="G221" s="7" t="str">
        <f>IF(Table3[[#This Row],[Stage]]="Closed",Table3[[#This Row],[Date of Update]]-(_xlfn.MINIFS(Table3[Date of Update],Table3[Ref], Table3[[#This Row],[Ref]])),"")</f>
        <v/>
      </c>
    </row>
    <row r="222" spans="1:7" x14ac:dyDescent="0.25">
      <c r="A222" s="4" t="s">
        <v>165</v>
      </c>
      <c r="B222" s="5">
        <v>44838</v>
      </c>
      <c r="C222" s="6" t="s">
        <v>8</v>
      </c>
      <c r="D222" s="6" t="s">
        <v>9</v>
      </c>
      <c r="E222" s="6" t="s">
        <v>166</v>
      </c>
      <c r="F222" s="6" cm="1">
        <f t="array" aca="1" ref="F222" ca="1">IF(Table3[[#This Row],[Stage]]="Closed",0,IF(IFERROR(
  IF(
    COUNTIF(A$2:A$1997, A222) &gt; 1,
    MIN(IF(A$2:A$1997=A222, IF(B$2:B$1997&gt;B222, B$2:B$1997))) - B222,
    TODAY() - Table3[[#This Row],[Date of Update]]
  ),
  TODAY()-Table3[[#This Row],[Date of Update]]
)&lt;=0,
TODAY()-Table3[[#This Row],[Date of Update]],
IFERROR(
  IF(
    COUNTIF(A$2:A$1997, A222) &gt; 1,
    MIN(IF(A$2:A$1997=A222, IF(B$2:B$1997&gt;B222, B$2:B$1997))) - B222,
    TODAY() - Table3[[#This Row],[Date of Update]]
  ),
  TODAY()-Table3[[#This Row],[Date of Update]]
)))</f>
        <v>45</v>
      </c>
      <c r="G222" s="7" t="str">
        <f>IF(Table3[[#This Row],[Stage]]="Closed",Table3[[#This Row],[Date of Update]]-(_xlfn.MINIFS(Table3[Date of Update],Table3[Ref], Table3[[#This Row],[Ref]])),"")</f>
        <v/>
      </c>
    </row>
    <row r="223" spans="1:7" x14ac:dyDescent="0.25">
      <c r="A223" s="4" t="s">
        <v>167</v>
      </c>
      <c r="B223" s="5">
        <v>44839</v>
      </c>
      <c r="C223" s="6" t="s">
        <v>8</v>
      </c>
      <c r="D223" s="6" t="s">
        <v>9</v>
      </c>
      <c r="E223" s="6" t="s">
        <v>168</v>
      </c>
      <c r="F223" s="6" cm="1">
        <f t="array" aca="1" ref="F223" ca="1">IF(Table3[[#This Row],[Stage]]="Closed",0,IF(IFERROR(
  IF(
    COUNTIF(A$2:A$1997, A223) &gt; 1,
    MIN(IF(A$2:A$1997=A223, IF(B$2:B$1997&gt;B223, B$2:B$1997))) - B223,
    TODAY() - Table3[[#This Row],[Date of Update]]
  ),
  TODAY()-Table3[[#This Row],[Date of Update]]
)&lt;=0,
TODAY()-Table3[[#This Row],[Date of Update]],
IFERROR(
  IF(
    COUNTIF(A$2:A$1997, A223) &gt; 1,
    MIN(IF(A$2:A$1997=A223, IF(B$2:B$1997&gt;B223, B$2:B$1997))) - B223,
    TODAY() - Table3[[#This Row],[Date of Update]]
  ),
  TODAY()-Table3[[#This Row],[Date of Update]]
)))</f>
        <v>230</v>
      </c>
      <c r="G223" s="7" t="str">
        <f>IF(Table3[[#This Row],[Stage]]="Closed",Table3[[#This Row],[Date of Update]]-(_xlfn.MINIFS(Table3[Date of Update],Table3[Ref], Table3[[#This Row],[Ref]])),"")</f>
        <v/>
      </c>
    </row>
    <row r="224" spans="1:7" x14ac:dyDescent="0.25">
      <c r="A224" s="4" t="s">
        <v>169</v>
      </c>
      <c r="B224" s="5">
        <v>44844</v>
      </c>
      <c r="C224" s="6" t="s">
        <v>8</v>
      </c>
      <c r="D224" s="6" t="s">
        <v>9</v>
      </c>
      <c r="E224" s="6" t="s">
        <v>170</v>
      </c>
      <c r="F224" s="6" cm="1">
        <f t="array" aca="1" ref="F224" ca="1">IF(Table3[[#This Row],[Stage]]="Closed",0,IF(IFERROR(
  IF(
    COUNTIF(A$2:A$1997, A224) &gt; 1,
    MIN(IF(A$2:A$1997=A224, IF(B$2:B$1997&gt;B224, B$2:B$1997))) - B224,
    TODAY() - Table3[[#This Row],[Date of Update]]
  ),
  TODAY()-Table3[[#This Row],[Date of Update]]
)&lt;=0,
TODAY()-Table3[[#This Row],[Date of Update]],
IFERROR(
  IF(
    COUNTIF(A$2:A$1997, A224) &gt; 1,
    MIN(IF(A$2:A$1997=A224, IF(B$2:B$1997&gt;B224, B$2:B$1997))) - B224,
    TODAY() - Table3[[#This Row],[Date of Update]]
  ),
  TODAY()-Table3[[#This Row],[Date of Update]]
)))</f>
        <v>21</v>
      </c>
      <c r="G224" s="7" t="str">
        <f>IF(Table3[[#This Row],[Stage]]="Closed",Table3[[#This Row],[Date of Update]]-(_xlfn.MINIFS(Table3[Date of Update],Table3[Ref], Table3[[#This Row],[Ref]])),"")</f>
        <v/>
      </c>
    </row>
    <row r="225" spans="1:7" x14ac:dyDescent="0.25">
      <c r="A225" s="4" t="s">
        <v>130</v>
      </c>
      <c r="B225" s="5">
        <v>44845</v>
      </c>
      <c r="C225" s="6" t="s">
        <v>17</v>
      </c>
      <c r="D225" s="6" t="s">
        <v>9</v>
      </c>
      <c r="E225" s="6"/>
      <c r="F225" s="6" cm="1">
        <f t="array" aca="1" ref="F225" ca="1">IF(Table3[[#This Row],[Stage]]="Closed",0,IF(IFERROR(
  IF(
    COUNTIF(A$2:A$1997, A225) &gt; 1,
    MIN(IF(A$2:A$1997=A225, IF(B$2:B$1997&gt;B225, B$2:B$1997))) - B225,
    TODAY() - Table3[[#This Row],[Date of Update]]
  ),
  TODAY()-Table3[[#This Row],[Date of Update]]
)&lt;=0,
TODAY()-Table3[[#This Row],[Date of Update]],
IFERROR(
  IF(
    COUNTIF(A$2:A$1997, A225) &gt; 1,
    MIN(IF(A$2:A$1997=A225, IF(B$2:B$1997&gt;B225, B$2:B$1997))) - B225,
    TODAY() - Table3[[#This Row],[Date of Update]]
  ),
  TODAY()-Table3[[#This Row],[Date of Update]]
)))</f>
        <v>0</v>
      </c>
      <c r="G225" s="7">
        <f>IF(Table3[[#This Row],[Stage]]="Closed",Table3[[#This Row],[Date of Update]]-(_xlfn.MINIFS(Table3[Date of Update],Table3[Ref], Table3[[#This Row],[Ref]])),"")</f>
        <v>68</v>
      </c>
    </row>
    <row r="226" spans="1:7" x14ac:dyDescent="0.25">
      <c r="A226" s="4" t="s">
        <v>171</v>
      </c>
      <c r="B226" s="5">
        <v>44847</v>
      </c>
      <c r="C226" s="6" t="s">
        <v>8</v>
      </c>
      <c r="D226" s="6" t="s">
        <v>9</v>
      </c>
      <c r="E226" s="6" t="s">
        <v>172</v>
      </c>
      <c r="F226" s="6" cm="1">
        <f t="array" aca="1" ref="F226" ca="1">IF(Table3[[#This Row],[Stage]]="Closed",0,IF(IFERROR(
  IF(
    COUNTIF(A$2:A$1997, A226) &gt; 1,
    MIN(IF(A$2:A$1997=A226, IF(B$2:B$1997&gt;B226, B$2:B$1997))) - B226,
    TODAY() - Table3[[#This Row],[Date of Update]]
  ),
  TODAY()-Table3[[#This Row],[Date of Update]]
)&lt;=0,
TODAY()-Table3[[#This Row],[Date of Update]],
IFERROR(
  IF(
    COUNTIF(A$2:A$1997, A226) &gt; 1,
    MIN(IF(A$2:A$1997=A226, IF(B$2:B$1997&gt;B226, B$2:B$1997))) - B226,
    TODAY() - Table3[[#This Row],[Date of Update]]
  ),
  TODAY()-Table3[[#This Row],[Date of Update]]
)))</f>
        <v>134</v>
      </c>
      <c r="G226" s="7" t="str">
        <f>IF(Table3[[#This Row],[Stage]]="Closed",Table3[[#This Row],[Date of Update]]-(_xlfn.MINIFS(Table3[Date of Update],Table3[Ref], Table3[[#This Row],[Ref]])),"")</f>
        <v/>
      </c>
    </row>
    <row r="227" spans="1:7" x14ac:dyDescent="0.25">
      <c r="A227" s="4" t="s">
        <v>173</v>
      </c>
      <c r="B227" s="5">
        <v>44847</v>
      </c>
      <c r="C227" s="6" t="s">
        <v>8</v>
      </c>
      <c r="D227" s="6" t="s">
        <v>9</v>
      </c>
      <c r="E227" s="6" t="s">
        <v>174</v>
      </c>
      <c r="F227" s="6" cm="1">
        <f t="array" aca="1" ref="F227" ca="1">IF(Table3[[#This Row],[Stage]]="Closed",0,IF(IFERROR(
  IF(
    COUNTIF(A$2:A$1997, A227) &gt; 1,
    MIN(IF(A$2:A$1997=A227, IF(B$2:B$1997&gt;B227, B$2:B$1997))) - B227,
    TODAY() - Table3[[#This Row],[Date of Update]]
  ),
  TODAY()-Table3[[#This Row],[Date of Update]]
)&lt;=0,
TODAY()-Table3[[#This Row],[Date of Update]],
IFERROR(
  IF(
    COUNTIF(A$2:A$1997, A227) &gt; 1,
    MIN(IF(A$2:A$1997=A227, IF(B$2:B$1997&gt;B227, B$2:B$1997))) - B227,
    TODAY() - Table3[[#This Row],[Date of Update]]
  ),
  TODAY()-Table3[[#This Row],[Date of Update]]
)))</f>
        <v>39</v>
      </c>
      <c r="G227" s="7" t="str">
        <f>IF(Table3[[#This Row],[Stage]]="Closed",Table3[[#This Row],[Date of Update]]-(_xlfn.MINIFS(Table3[Date of Update],Table3[Ref], Table3[[#This Row],[Ref]])),"")</f>
        <v/>
      </c>
    </row>
    <row r="228" spans="1:7" x14ac:dyDescent="0.25">
      <c r="A228" s="4" t="s">
        <v>175</v>
      </c>
      <c r="B228" s="5">
        <v>44847</v>
      </c>
      <c r="C228" s="6" t="s">
        <v>8</v>
      </c>
      <c r="D228" s="6" t="s">
        <v>9</v>
      </c>
      <c r="E228" s="6" t="s">
        <v>176</v>
      </c>
      <c r="F228" s="6" cm="1">
        <f t="array" aca="1" ref="F228" ca="1">IF(Table3[[#This Row],[Stage]]="Closed",0,IF(IFERROR(
  IF(
    COUNTIF(A$2:A$1997, A228) &gt; 1,
    MIN(IF(A$2:A$1997=A228, IF(B$2:B$1997&gt;B228, B$2:B$1997))) - B228,
    TODAY() - Table3[[#This Row],[Date of Update]]
  ),
  TODAY()-Table3[[#This Row],[Date of Update]]
)&lt;=0,
TODAY()-Table3[[#This Row],[Date of Update]],
IFERROR(
  IF(
    COUNTIF(A$2:A$1997, A228) &gt; 1,
    MIN(IF(A$2:A$1997=A228, IF(B$2:B$1997&gt;B228, B$2:B$1997))) - B228,
    TODAY() - Table3[[#This Row],[Date of Update]]
  ),
  TODAY()-Table3[[#This Row],[Date of Update]]
)))</f>
        <v>22</v>
      </c>
      <c r="G228" s="7" t="str">
        <f>IF(Table3[[#This Row],[Stage]]="Closed",Table3[[#This Row],[Date of Update]]-(_xlfn.MINIFS(Table3[Date of Update],Table3[Ref], Table3[[#This Row],[Ref]])),"")</f>
        <v/>
      </c>
    </row>
    <row r="229" spans="1:7" x14ac:dyDescent="0.25">
      <c r="A229" s="4" t="s">
        <v>177</v>
      </c>
      <c r="B229" s="5">
        <v>44852</v>
      </c>
      <c r="C229" s="6" t="s">
        <v>8</v>
      </c>
      <c r="D229" s="6" t="s">
        <v>9</v>
      </c>
      <c r="E229" s="6" t="s">
        <v>178</v>
      </c>
      <c r="F229" s="6" cm="1">
        <f t="array" aca="1" ref="F229" ca="1">IF(Table3[[#This Row],[Stage]]="Closed",0,IF(IFERROR(
  IF(
    COUNTIF(A$2:A$1997, A229) &gt; 1,
    MIN(IF(A$2:A$1997=A229, IF(B$2:B$1997&gt;B229, B$2:B$1997))) - B229,
    TODAY() - Table3[[#This Row],[Date of Update]]
  ),
  TODAY()-Table3[[#This Row],[Date of Update]]
)&lt;=0,
TODAY()-Table3[[#This Row],[Date of Update]],
IFERROR(
  IF(
    COUNTIF(A$2:A$1997, A229) &gt; 1,
    MIN(IF(A$2:A$1997=A229, IF(B$2:B$1997&gt;B229, B$2:B$1997))) - B229,
    TODAY() - Table3[[#This Row],[Date of Update]]
  ),
  TODAY()-Table3[[#This Row],[Date of Update]]
)))</f>
        <v>121</v>
      </c>
      <c r="G229" s="7" t="str">
        <f>IF(Table3[[#This Row],[Stage]]="Closed",Table3[[#This Row],[Date of Update]]-(_xlfn.MINIFS(Table3[Date of Update],Table3[Ref], Table3[[#This Row],[Ref]])),"")</f>
        <v/>
      </c>
    </row>
    <row r="230" spans="1:7" x14ac:dyDescent="0.25">
      <c r="A230" s="4" t="s">
        <v>179</v>
      </c>
      <c r="B230" s="5">
        <v>44852</v>
      </c>
      <c r="C230" s="6" t="s">
        <v>8</v>
      </c>
      <c r="D230" s="6" t="s">
        <v>9</v>
      </c>
      <c r="E230" s="6" t="s">
        <v>80</v>
      </c>
      <c r="F230" s="6" cm="1">
        <f t="array" aca="1" ref="F230" ca="1">IF(Table3[[#This Row],[Stage]]="Closed",0,IF(IFERROR(
  IF(
    COUNTIF(A$2:A$1997, A230) &gt; 1,
    MIN(IF(A$2:A$1997=A230, IF(B$2:B$1997&gt;B230, B$2:B$1997))) - B230,
    TODAY() - Table3[[#This Row],[Date of Update]]
  ),
  TODAY()-Table3[[#This Row],[Date of Update]]
)&lt;=0,
TODAY()-Table3[[#This Row],[Date of Update]],
IFERROR(
  IF(
    COUNTIF(A$2:A$1997, A230) &gt; 1,
    MIN(IF(A$2:A$1997=A230, IF(B$2:B$1997&gt;B230, B$2:B$1997))) - B230,
    TODAY() - Table3[[#This Row],[Date of Update]]
  ),
  TODAY()-Table3[[#This Row],[Date of Update]]
)))</f>
        <v>142</v>
      </c>
      <c r="G230" s="7" t="str">
        <f>IF(Table3[[#This Row],[Stage]]="Closed",Table3[[#This Row],[Date of Update]]-(_xlfn.MINIFS(Table3[Date of Update],Table3[Ref], Table3[[#This Row],[Ref]])),"")</f>
        <v/>
      </c>
    </row>
    <row r="231" spans="1:7" x14ac:dyDescent="0.25">
      <c r="A231" s="4" t="s">
        <v>161</v>
      </c>
      <c r="B231" s="5">
        <v>44856</v>
      </c>
      <c r="C231" s="6" t="s">
        <v>17</v>
      </c>
      <c r="D231" s="6" t="s">
        <v>9</v>
      </c>
      <c r="E231" s="6" t="s">
        <v>162</v>
      </c>
      <c r="F231" s="6" cm="1">
        <f t="array" aca="1" ref="F231" ca="1">IF(Table3[[#This Row],[Stage]]="Closed",0,IF(IFERROR(
  IF(
    COUNTIF(A$2:A$1997, A231) &gt; 1,
    MIN(IF(A$2:A$1997=A231, IF(B$2:B$1997&gt;B231, B$2:B$1997))) - B231,
    TODAY() - Table3[[#This Row],[Date of Update]]
  ),
  TODAY()-Table3[[#This Row],[Date of Update]]
)&lt;=0,
TODAY()-Table3[[#This Row],[Date of Update]],
IFERROR(
  IF(
    COUNTIF(A$2:A$1997, A231) &gt; 1,
    MIN(IF(A$2:A$1997=A231, IF(B$2:B$1997&gt;B231, B$2:B$1997))) - B231,
    TODAY() - Table3[[#This Row],[Date of Update]]
  ),
  TODAY()-Table3[[#This Row],[Date of Update]]
)))</f>
        <v>0</v>
      </c>
      <c r="G231" s="7">
        <f>IF(Table3[[#This Row],[Stage]]="Closed",Table3[[#This Row],[Date of Update]]-(_xlfn.MINIFS(Table3[Date of Update],Table3[Ref], Table3[[#This Row],[Ref]])),"")</f>
        <v>30</v>
      </c>
    </row>
    <row r="232" spans="1:7" x14ac:dyDescent="0.25">
      <c r="A232" s="4" t="s">
        <v>180</v>
      </c>
      <c r="B232" s="5">
        <v>44861</v>
      </c>
      <c r="C232" s="6" t="s">
        <v>8</v>
      </c>
      <c r="D232" s="6" t="s">
        <v>9</v>
      </c>
      <c r="E232" s="6" t="s">
        <v>181</v>
      </c>
      <c r="F232" s="6" cm="1">
        <f t="array" aca="1" ref="F232" ca="1">IF(Table3[[#This Row],[Stage]]="Closed",0,IF(IFERROR(
  IF(
    COUNTIF(A$2:A$1997, A232) &gt; 1,
    MIN(IF(A$2:A$1997=A232, IF(B$2:B$1997&gt;B232, B$2:B$1997))) - B232,
    TODAY() - Table3[[#This Row],[Date of Update]]
  ),
  TODAY()-Table3[[#This Row],[Date of Update]]
)&lt;=0,
TODAY()-Table3[[#This Row],[Date of Update]],
IFERROR(
  IF(
    COUNTIF(A$2:A$1997, A232) &gt; 1,
    MIN(IF(A$2:A$1997=A232, IF(B$2:B$1997&gt;B232, B$2:B$1997))) - B232,
    TODAY() - Table3[[#This Row],[Date of Update]]
  ),
  TODAY()-Table3[[#This Row],[Date of Update]]
)))</f>
        <v>35</v>
      </c>
      <c r="G232" s="7" t="str">
        <f>IF(Table3[[#This Row],[Stage]]="Closed",Table3[[#This Row],[Date of Update]]-(_xlfn.MINIFS(Table3[Date of Update],Table3[Ref], Table3[[#This Row],[Ref]])),"")</f>
        <v/>
      </c>
    </row>
    <row r="233" spans="1:7" x14ac:dyDescent="0.25">
      <c r="A233" s="4" t="s">
        <v>182</v>
      </c>
      <c r="B233" s="5">
        <v>44862</v>
      </c>
      <c r="C233" s="6" t="s">
        <v>8</v>
      </c>
      <c r="D233" s="6" t="s">
        <v>9</v>
      </c>
      <c r="E233" s="6" t="s">
        <v>102</v>
      </c>
      <c r="F233" s="6" cm="1">
        <f t="array" aca="1" ref="F233" ca="1">IF(Table3[[#This Row],[Stage]]="Closed",0,IF(IFERROR(
  IF(
    COUNTIF(A$2:A$1997, A233) &gt; 1,
    MIN(IF(A$2:A$1997=A233, IF(B$2:B$1997&gt;B233, B$2:B$1997))) - B233,
    TODAY() - Table3[[#This Row],[Date of Update]]
  ),
  TODAY()-Table3[[#This Row],[Date of Update]]
)&lt;=0,
TODAY()-Table3[[#This Row],[Date of Update]],
IFERROR(
  IF(
    COUNTIF(A$2:A$1997, A233) &gt; 1,
    MIN(IF(A$2:A$1997=A233, IF(B$2:B$1997&gt;B233, B$2:B$1997))) - B233,
    TODAY() - Table3[[#This Row],[Date of Update]]
  ),
  TODAY()-Table3[[#This Row],[Date of Update]]
)))</f>
        <v>133</v>
      </c>
      <c r="G233" s="7" t="str">
        <f>IF(Table3[[#This Row],[Stage]]="Closed",Table3[[#This Row],[Date of Update]]-(_xlfn.MINIFS(Table3[Date of Update],Table3[Ref], Table3[[#This Row],[Ref]])),"")</f>
        <v/>
      </c>
    </row>
    <row r="234" spans="1:7" x14ac:dyDescent="0.25">
      <c r="A234" s="4" t="s">
        <v>183</v>
      </c>
      <c r="B234" s="5">
        <v>44862</v>
      </c>
      <c r="C234" s="6" t="s">
        <v>8</v>
      </c>
      <c r="D234" s="6" t="s">
        <v>9</v>
      </c>
      <c r="E234" s="6" t="s">
        <v>184</v>
      </c>
      <c r="F234" s="6" cm="1">
        <f t="array" aca="1" ref="F234" ca="1">IF(Table3[[#This Row],[Stage]]="Closed",0,IF(IFERROR(
  IF(
    COUNTIF(A$2:A$1997, A234) &gt; 1,
    MIN(IF(A$2:A$1997=A234, IF(B$2:B$1997&gt;B234, B$2:B$1997))) - B234,
    TODAY() - Table3[[#This Row],[Date of Update]]
  ),
  TODAY()-Table3[[#This Row],[Date of Update]]
)&lt;=0,
TODAY()-Table3[[#This Row],[Date of Update]],
IFERROR(
  IF(
    COUNTIF(A$2:A$1997, A234) &gt; 1,
    MIN(IF(A$2:A$1997=A234, IF(B$2:B$1997&gt;B234, B$2:B$1997))) - B234,
    TODAY() - Table3[[#This Row],[Date of Update]]
  ),
  TODAY()-Table3[[#This Row],[Date of Update]]
)))</f>
        <v>30</v>
      </c>
      <c r="G234" s="7" t="str">
        <f>IF(Table3[[#This Row],[Stage]]="Closed",Table3[[#This Row],[Date of Update]]-(_xlfn.MINIFS(Table3[Date of Update],Table3[Ref], Table3[[#This Row],[Ref]])),"")</f>
        <v/>
      </c>
    </row>
    <row r="235" spans="1:7" x14ac:dyDescent="0.25">
      <c r="A235" s="4" t="s">
        <v>185</v>
      </c>
      <c r="B235" s="5">
        <v>44862</v>
      </c>
      <c r="C235" s="6" t="s">
        <v>8</v>
      </c>
      <c r="D235" s="6" t="s">
        <v>9</v>
      </c>
      <c r="E235" s="6" t="s">
        <v>186</v>
      </c>
      <c r="F235" s="6" cm="1">
        <f t="array" aca="1" ref="F235" ca="1">IF(Table3[[#This Row],[Stage]]="Closed",0,IF(IFERROR(
  IF(
    COUNTIF(A$2:A$1997, A235) &gt; 1,
    MIN(IF(A$2:A$1997=A235, IF(B$2:B$1997&gt;B235, B$2:B$1997))) - B235,
    TODAY() - Table3[[#This Row],[Date of Update]]
  ),
  TODAY()-Table3[[#This Row],[Date of Update]]
)&lt;=0,
TODAY()-Table3[[#This Row],[Date of Update]],
IFERROR(
  IF(
    COUNTIF(A$2:A$1997, A235) &gt; 1,
    MIN(IF(A$2:A$1997=A235, IF(B$2:B$1997&gt;B235, B$2:B$1997))) - B235,
    TODAY() - Table3[[#This Row],[Date of Update]]
  ),
  TODAY()-Table3[[#This Row],[Date of Update]]
)))</f>
        <v>3</v>
      </c>
      <c r="G235" s="7" t="str">
        <f>IF(Table3[[#This Row],[Stage]]="Closed",Table3[[#This Row],[Date of Update]]-(_xlfn.MINIFS(Table3[Date of Update],Table3[Ref], Table3[[#This Row],[Ref]])),"")</f>
        <v/>
      </c>
    </row>
    <row r="236" spans="1:7" x14ac:dyDescent="0.25">
      <c r="A236" s="4" t="s">
        <v>187</v>
      </c>
      <c r="B236" s="5">
        <v>44862</v>
      </c>
      <c r="C236" s="6" t="s">
        <v>8</v>
      </c>
      <c r="D236" s="6" t="s">
        <v>9</v>
      </c>
      <c r="E236" s="6" t="s">
        <v>184</v>
      </c>
      <c r="F236" s="6" cm="1">
        <f t="array" aca="1" ref="F236" ca="1">IF(Table3[[#This Row],[Stage]]="Closed",0,IF(IFERROR(
  IF(
    COUNTIF(A$2:A$1997, A236) &gt; 1,
    MIN(IF(A$2:A$1997=A236, IF(B$2:B$1997&gt;B236, B$2:B$1997))) - B236,
    TODAY() - Table3[[#This Row],[Date of Update]]
  ),
  TODAY()-Table3[[#This Row],[Date of Update]]
)&lt;=0,
TODAY()-Table3[[#This Row],[Date of Update]],
IFERROR(
  IF(
    COUNTIF(A$2:A$1997, A236) &gt; 1,
    MIN(IF(A$2:A$1997=A236, IF(B$2:B$1997&gt;B236, B$2:B$1997))) - B236,
    TODAY() - Table3[[#This Row],[Date of Update]]
  ),
  TODAY()-Table3[[#This Row],[Date of Update]]
)))</f>
        <v>30</v>
      </c>
      <c r="G236" s="7" t="str">
        <f>IF(Table3[[#This Row],[Stage]]="Closed",Table3[[#This Row],[Date of Update]]-(_xlfn.MINIFS(Table3[Date of Update],Table3[Ref], Table3[[#This Row],[Ref]])),"")</f>
        <v/>
      </c>
    </row>
    <row r="237" spans="1:7" x14ac:dyDescent="0.25">
      <c r="A237" s="4" t="s">
        <v>188</v>
      </c>
      <c r="B237" s="5">
        <v>44862</v>
      </c>
      <c r="C237" s="6" t="s">
        <v>8</v>
      </c>
      <c r="D237" s="6" t="s">
        <v>9</v>
      </c>
      <c r="E237" s="6" t="s">
        <v>106</v>
      </c>
      <c r="F237" s="6" cm="1">
        <f t="array" aca="1" ref="F237" ca="1">IF(Table3[[#This Row],[Stage]]="Closed",0,IF(IFERROR(
  IF(
    COUNTIF(A$2:A$1997, A237) &gt; 1,
    MIN(IF(A$2:A$1997=A237, IF(B$2:B$1997&gt;B237, B$2:B$1997))) - B237,
    TODAY() - Table3[[#This Row],[Date of Update]]
  ),
  TODAY()-Table3[[#This Row],[Date of Update]]
)&lt;=0,
TODAY()-Table3[[#This Row],[Date of Update]],
IFERROR(
  IF(
    COUNTIF(A$2:A$1997, A237) &gt; 1,
    MIN(IF(A$2:A$1997=A237, IF(B$2:B$1997&gt;B237, B$2:B$1997))) - B237,
    TODAY() - Table3[[#This Row],[Date of Update]]
  ),
  TODAY()-Table3[[#This Row],[Date of Update]]
)))</f>
        <v>49</v>
      </c>
      <c r="G237" s="7" t="str">
        <f>IF(Table3[[#This Row],[Stage]]="Closed",Table3[[#This Row],[Date of Update]]-(_xlfn.MINIFS(Table3[Date of Update],Table3[Ref], Table3[[#This Row],[Ref]])),"")</f>
        <v/>
      </c>
    </row>
    <row r="238" spans="1:7" x14ac:dyDescent="0.25">
      <c r="A238" s="4" t="s">
        <v>169</v>
      </c>
      <c r="B238" s="5">
        <v>44865</v>
      </c>
      <c r="C238" s="6" t="s">
        <v>17</v>
      </c>
      <c r="D238" s="6" t="s">
        <v>9</v>
      </c>
      <c r="E238" s="6" t="s">
        <v>170</v>
      </c>
      <c r="F238" s="6" cm="1">
        <f t="array" aca="1" ref="F238" ca="1">IF(Table3[[#This Row],[Stage]]="Closed",0,IF(IFERROR(
  IF(
    COUNTIF(A$2:A$1997, A238) &gt; 1,
    MIN(IF(A$2:A$1997=A238, IF(B$2:B$1997&gt;B238, B$2:B$1997))) - B238,
    TODAY() - Table3[[#This Row],[Date of Update]]
  ),
  TODAY()-Table3[[#This Row],[Date of Update]]
)&lt;=0,
TODAY()-Table3[[#This Row],[Date of Update]],
IFERROR(
  IF(
    COUNTIF(A$2:A$1997, A238) &gt; 1,
    MIN(IF(A$2:A$1997=A238, IF(B$2:B$1997&gt;B238, B$2:B$1997))) - B238,
    TODAY() - Table3[[#This Row],[Date of Update]]
  ),
  TODAY()-Table3[[#This Row],[Date of Update]]
)))</f>
        <v>0</v>
      </c>
      <c r="G238" s="7">
        <f>IF(Table3[[#This Row],[Stage]]="Closed",Table3[[#This Row],[Date of Update]]-(_xlfn.MINIFS(Table3[Date of Update],Table3[Ref], Table3[[#This Row],[Ref]])),"")</f>
        <v>21</v>
      </c>
    </row>
    <row r="239" spans="1:7" x14ac:dyDescent="0.25">
      <c r="A239" s="4" t="s">
        <v>185</v>
      </c>
      <c r="B239" s="5">
        <v>44865</v>
      </c>
      <c r="C239" s="6" t="s">
        <v>17</v>
      </c>
      <c r="D239" s="6" t="s">
        <v>9</v>
      </c>
      <c r="E239" s="6" t="s">
        <v>186</v>
      </c>
      <c r="F239" s="6" cm="1">
        <f t="array" aca="1" ref="F239" ca="1">IF(Table3[[#This Row],[Stage]]="Closed",0,IF(IFERROR(
  IF(
    COUNTIF(A$2:A$1997, A239) &gt; 1,
    MIN(IF(A$2:A$1997=A239, IF(B$2:B$1997&gt;B239, B$2:B$1997))) - B239,
    TODAY() - Table3[[#This Row],[Date of Update]]
  ),
  TODAY()-Table3[[#This Row],[Date of Update]]
)&lt;=0,
TODAY()-Table3[[#This Row],[Date of Update]],
IFERROR(
  IF(
    COUNTIF(A$2:A$1997, A239) &gt; 1,
    MIN(IF(A$2:A$1997=A239, IF(B$2:B$1997&gt;B239, B$2:B$1997))) - B239,
    TODAY() - Table3[[#This Row],[Date of Update]]
  ),
  TODAY()-Table3[[#This Row],[Date of Update]]
)))</f>
        <v>0</v>
      </c>
      <c r="G239" s="7">
        <f>IF(Table3[[#This Row],[Stage]]="Closed",Table3[[#This Row],[Date of Update]]-(_xlfn.MINIFS(Table3[Date of Update],Table3[Ref], Table3[[#This Row],[Ref]])),"")</f>
        <v>3</v>
      </c>
    </row>
    <row r="240" spans="1:7" x14ac:dyDescent="0.25">
      <c r="A240" s="4" t="s">
        <v>94</v>
      </c>
      <c r="B240" s="5">
        <v>44866</v>
      </c>
      <c r="C240" s="6" t="s">
        <v>17</v>
      </c>
      <c r="D240" s="6" t="s">
        <v>9</v>
      </c>
      <c r="E240" s="6" t="s">
        <v>95</v>
      </c>
      <c r="F240" s="6" cm="1">
        <f t="array" aca="1" ref="F240" ca="1">IF(Table3[[#This Row],[Stage]]="Closed",0,IF(IFERROR(
  IF(
    COUNTIF(A$2:A$1997, A240) &gt; 1,
    MIN(IF(A$2:A$1997=A240, IF(B$2:B$1997&gt;B240, B$2:B$1997))) - B240,
    TODAY() - Table3[[#This Row],[Date of Update]]
  ),
  TODAY()-Table3[[#This Row],[Date of Update]]
)&lt;=0,
TODAY()-Table3[[#This Row],[Date of Update]],
IFERROR(
  IF(
    COUNTIF(A$2:A$1997, A240) &gt; 1,
    MIN(IF(A$2:A$1997=A240, IF(B$2:B$1997&gt;B240, B$2:B$1997))) - B240,
    TODAY() - Table3[[#This Row],[Date of Update]]
  ),
  TODAY()-Table3[[#This Row],[Date of Update]]
)))</f>
        <v>0</v>
      </c>
      <c r="G240" s="7">
        <f>IF(Table3[[#This Row],[Stage]]="Closed",Table3[[#This Row],[Date of Update]]-(_xlfn.MINIFS(Table3[Date of Update],Table3[Ref], Table3[[#This Row],[Ref]])),"")</f>
        <v>119</v>
      </c>
    </row>
    <row r="241" spans="1:7" x14ac:dyDescent="0.25">
      <c r="A241" s="4" t="s">
        <v>189</v>
      </c>
      <c r="B241" s="5">
        <v>44868</v>
      </c>
      <c r="C241" s="6" t="s">
        <v>8</v>
      </c>
      <c r="D241" s="6" t="s">
        <v>9</v>
      </c>
      <c r="E241" s="6"/>
      <c r="F241" s="6" cm="1">
        <f t="array" aca="1" ref="F241" ca="1">IF(Table3[[#This Row],[Stage]]="Closed",0,IF(IFERROR(
  IF(
    COUNTIF(A$2:A$1997, A241) &gt; 1,
    MIN(IF(A$2:A$1997=A241, IF(B$2:B$1997&gt;B241, B$2:B$1997))) - B241,
    TODAY() - Table3[[#This Row],[Date of Update]]
  ),
  TODAY()-Table3[[#This Row],[Date of Update]]
)&lt;=0,
TODAY()-Table3[[#This Row],[Date of Update]],
IFERROR(
  IF(
    COUNTIF(A$2:A$1997, A241) &gt; 1,
    MIN(IF(A$2:A$1997=A241, IF(B$2:B$1997&gt;B241, B$2:B$1997))) - B241,
    TODAY() - Table3[[#This Row],[Date of Update]]
  ),
  TODAY()-Table3[[#This Row],[Date of Update]]
)))</f>
        <v>46</v>
      </c>
      <c r="G241" s="7" t="str">
        <f>IF(Table3[[#This Row],[Stage]]="Closed",Table3[[#This Row],[Date of Update]]-(_xlfn.MINIFS(Table3[Date of Update],Table3[Ref], Table3[[#This Row],[Ref]])),"")</f>
        <v/>
      </c>
    </row>
    <row r="242" spans="1:7" x14ac:dyDescent="0.25">
      <c r="A242" s="4" t="s">
        <v>175</v>
      </c>
      <c r="B242" s="5">
        <v>44869</v>
      </c>
      <c r="C242" s="6" t="s">
        <v>17</v>
      </c>
      <c r="D242" s="6" t="s">
        <v>9</v>
      </c>
      <c r="E242" s="6" t="s">
        <v>176</v>
      </c>
      <c r="F242" s="6" cm="1">
        <f t="array" aca="1" ref="F242" ca="1">IF(Table3[[#This Row],[Stage]]="Closed",0,IF(IFERROR(
  IF(
    COUNTIF(A$2:A$1997, A242) &gt; 1,
    MIN(IF(A$2:A$1997=A242, IF(B$2:B$1997&gt;B242, B$2:B$1997))) - B242,
    TODAY() - Table3[[#This Row],[Date of Update]]
  ),
  TODAY()-Table3[[#This Row],[Date of Update]]
)&lt;=0,
TODAY()-Table3[[#This Row],[Date of Update]],
IFERROR(
  IF(
    COUNTIF(A$2:A$1997, A242) &gt; 1,
    MIN(IF(A$2:A$1997=A242, IF(B$2:B$1997&gt;B242, B$2:B$1997))) - B242,
    TODAY() - Table3[[#This Row],[Date of Update]]
  ),
  TODAY()-Table3[[#This Row],[Date of Update]]
)))</f>
        <v>0</v>
      </c>
      <c r="G242" s="7">
        <f>IF(Table3[[#This Row],[Stage]]="Closed",Table3[[#This Row],[Date of Update]]-(_xlfn.MINIFS(Table3[Date of Update],Table3[Ref], Table3[[#This Row],[Ref]])),"")</f>
        <v>22</v>
      </c>
    </row>
    <row r="243" spans="1:7" x14ac:dyDescent="0.25">
      <c r="A243" s="4" t="s">
        <v>190</v>
      </c>
      <c r="B243" s="5">
        <v>44874</v>
      </c>
      <c r="C243" s="6" t="s">
        <v>8</v>
      </c>
      <c r="D243" s="6" t="s">
        <v>9</v>
      </c>
      <c r="E243" s="6" t="s">
        <v>191</v>
      </c>
      <c r="F243" s="6" cm="1">
        <f t="array" aca="1" ref="F243" ca="1">IF(Table3[[#This Row],[Stage]]="Closed",0,IF(IFERROR(
  IF(
    COUNTIF(A$2:A$1997, A243) &gt; 1,
    MIN(IF(A$2:A$1997=A243, IF(B$2:B$1997&gt;B243, B$2:B$1997))) - B243,
    TODAY() - Table3[[#This Row],[Date of Update]]
  ),
  TODAY()-Table3[[#This Row],[Date of Update]]
)&lt;=0,
TODAY()-Table3[[#This Row],[Date of Update]],
IFERROR(
  IF(
    COUNTIF(A$2:A$1997, A243) &gt; 1,
    MIN(IF(A$2:A$1997=A243, IF(B$2:B$1997&gt;B243, B$2:B$1997))) - B243,
    TODAY() - Table3[[#This Row],[Date of Update]]
  ),
  TODAY()-Table3[[#This Row],[Date of Update]]
)))</f>
        <v>44</v>
      </c>
      <c r="G243" s="7" t="str">
        <f>IF(Table3[[#This Row],[Stage]]="Closed",Table3[[#This Row],[Date of Update]]-(_xlfn.MINIFS(Table3[Date of Update],Table3[Ref], Table3[[#This Row],[Ref]])),"")</f>
        <v/>
      </c>
    </row>
    <row r="244" spans="1:7" x14ac:dyDescent="0.25">
      <c r="A244" s="4" t="s">
        <v>192</v>
      </c>
      <c r="B244" s="5">
        <v>44881</v>
      </c>
      <c r="C244" s="6" t="s">
        <v>8</v>
      </c>
      <c r="D244" s="6" t="s">
        <v>9</v>
      </c>
      <c r="E244" s="6" t="s">
        <v>106</v>
      </c>
      <c r="F244" s="6" cm="1">
        <f t="array" aca="1" ref="F244" ca="1">IF(Table3[[#This Row],[Stage]]="Closed",0,IF(IFERROR(
  IF(
    COUNTIF(A$2:A$1997, A244) &gt; 1,
    MIN(IF(A$2:A$1997=A244, IF(B$2:B$1997&gt;B244, B$2:B$1997))) - B244,
    TODAY() - Table3[[#This Row],[Date of Update]]
  ),
  TODAY()-Table3[[#This Row],[Date of Update]]
)&lt;=0,
TODAY()-Table3[[#This Row],[Date of Update]],
IFERROR(
  IF(
    COUNTIF(A$2:A$1997, A244) &gt; 1,
    MIN(IF(A$2:A$1997=A244, IF(B$2:B$1997&gt;B244, B$2:B$1997))) - B244,
    TODAY() - Table3[[#This Row],[Date of Update]]
  ),
  TODAY()-Table3[[#This Row],[Date of Update]]
)))</f>
        <v>30</v>
      </c>
      <c r="G244" s="7" t="str">
        <f>IF(Table3[[#This Row],[Stage]]="Closed",Table3[[#This Row],[Date of Update]]-(_xlfn.MINIFS(Table3[Date of Update],Table3[Ref], Table3[[#This Row],[Ref]])),"")</f>
        <v/>
      </c>
    </row>
    <row r="245" spans="1:7" x14ac:dyDescent="0.25">
      <c r="A245" s="4" t="s">
        <v>193</v>
      </c>
      <c r="B245" s="5">
        <v>44881</v>
      </c>
      <c r="C245" s="6" t="s">
        <v>8</v>
      </c>
      <c r="D245" s="6" t="s">
        <v>9</v>
      </c>
      <c r="E245" s="6" t="s">
        <v>194</v>
      </c>
      <c r="F245" s="6" cm="1">
        <f t="array" aca="1" ref="F245" ca="1">IF(Table3[[#This Row],[Stage]]="Closed",0,IF(IFERROR(
  IF(
    COUNTIF(A$2:A$1997, A245) &gt; 1,
    MIN(IF(A$2:A$1997=A245, IF(B$2:B$1997&gt;B245, B$2:B$1997))) - B245,
    TODAY() - Table3[[#This Row],[Date of Update]]
  ),
  TODAY()-Table3[[#This Row],[Date of Update]]
)&lt;=0,
TODAY()-Table3[[#This Row],[Date of Update]],
IFERROR(
  IF(
    COUNTIF(A$2:A$1997, A245) &gt; 1,
    MIN(IF(A$2:A$1997=A245, IF(B$2:B$1997&gt;B245, B$2:B$1997))) - B245,
    TODAY() - Table3[[#This Row],[Date of Update]]
  ),
  TODAY()-Table3[[#This Row],[Date of Update]]
)))</f>
        <v>30</v>
      </c>
      <c r="G245" s="7" t="str">
        <f>IF(Table3[[#This Row],[Stage]]="Closed",Table3[[#This Row],[Date of Update]]-(_xlfn.MINIFS(Table3[Date of Update],Table3[Ref], Table3[[#This Row],[Ref]])),"")</f>
        <v/>
      </c>
    </row>
    <row r="246" spans="1:7" x14ac:dyDescent="0.25">
      <c r="A246" s="4" t="s">
        <v>195</v>
      </c>
      <c r="B246" s="5">
        <v>44882</v>
      </c>
      <c r="C246" s="6" t="s">
        <v>8</v>
      </c>
      <c r="D246" s="6" t="s">
        <v>9</v>
      </c>
      <c r="E246" s="6" t="s">
        <v>196</v>
      </c>
      <c r="F246" s="6" cm="1">
        <f t="array" aca="1" ref="F246" ca="1">IF(Table3[[#This Row],[Stage]]="Closed",0,IF(IFERROR(
  IF(
    COUNTIF(A$2:A$1997, A246) &gt; 1,
    MIN(IF(A$2:A$1997=A246, IF(B$2:B$1997&gt;B246, B$2:B$1997))) - B246,
    TODAY() - Table3[[#This Row],[Date of Update]]
  ),
  TODAY()-Table3[[#This Row],[Date of Update]]
)&lt;=0,
TODAY()-Table3[[#This Row],[Date of Update]],
IFERROR(
  IF(
    COUNTIF(A$2:A$1997, A246) &gt; 1,
    MIN(IF(A$2:A$1997=A246, IF(B$2:B$1997&gt;B246, B$2:B$1997))) - B246,
    TODAY() - Table3[[#This Row],[Date of Update]]
  ),
  TODAY()-Table3[[#This Row],[Date of Update]]
)))</f>
        <v>57</v>
      </c>
      <c r="G246" s="7" t="str">
        <f>IF(Table3[[#This Row],[Stage]]="Closed",Table3[[#This Row],[Date of Update]]-(_xlfn.MINIFS(Table3[Date of Update],Table3[Ref], Table3[[#This Row],[Ref]])),"")</f>
        <v/>
      </c>
    </row>
    <row r="247" spans="1:7" x14ac:dyDescent="0.25">
      <c r="A247" s="4" t="s">
        <v>165</v>
      </c>
      <c r="B247" s="5">
        <v>44883</v>
      </c>
      <c r="C247" s="6" t="s">
        <v>17</v>
      </c>
      <c r="D247" s="6" t="s">
        <v>9</v>
      </c>
      <c r="E247" s="6" t="s">
        <v>166</v>
      </c>
      <c r="F247" s="6" cm="1">
        <f t="array" aca="1" ref="F247" ca="1">IF(Table3[[#This Row],[Stage]]="Closed",0,IF(IFERROR(
  IF(
    COUNTIF(A$2:A$1997, A247) &gt; 1,
    MIN(IF(A$2:A$1997=A247, IF(B$2:B$1997&gt;B247, B$2:B$1997))) - B247,
    TODAY() - Table3[[#This Row],[Date of Update]]
  ),
  TODAY()-Table3[[#This Row],[Date of Update]]
)&lt;=0,
TODAY()-Table3[[#This Row],[Date of Update]],
IFERROR(
  IF(
    COUNTIF(A$2:A$1997, A247) &gt; 1,
    MIN(IF(A$2:A$1997=A247, IF(B$2:B$1997&gt;B247, B$2:B$1997))) - B247,
    TODAY() - Table3[[#This Row],[Date of Update]]
  ),
  TODAY()-Table3[[#This Row],[Date of Update]]
)))</f>
        <v>0</v>
      </c>
      <c r="G247" s="7">
        <f>IF(Table3[[#This Row],[Stage]]="Closed",Table3[[#This Row],[Date of Update]]-(_xlfn.MINIFS(Table3[Date of Update],Table3[Ref], Table3[[#This Row],[Ref]])),"")</f>
        <v>45</v>
      </c>
    </row>
    <row r="248" spans="1:7" x14ac:dyDescent="0.25">
      <c r="A248" s="4" t="s">
        <v>173</v>
      </c>
      <c r="B248" s="5">
        <v>44886</v>
      </c>
      <c r="C248" s="6" t="s">
        <v>17</v>
      </c>
      <c r="D248" s="6" t="s">
        <v>9</v>
      </c>
      <c r="E248" s="6" t="s">
        <v>174</v>
      </c>
      <c r="F248" s="6" cm="1">
        <f t="array" aca="1" ref="F248" ca="1">IF(Table3[[#This Row],[Stage]]="Closed",0,IF(IFERROR(
  IF(
    COUNTIF(A$2:A$1997, A248) &gt; 1,
    MIN(IF(A$2:A$1997=A248, IF(B$2:B$1997&gt;B248, B$2:B$1997))) - B248,
    TODAY() - Table3[[#This Row],[Date of Update]]
  ),
  TODAY()-Table3[[#This Row],[Date of Update]]
)&lt;=0,
TODAY()-Table3[[#This Row],[Date of Update]],
IFERROR(
  IF(
    COUNTIF(A$2:A$1997, A248) &gt; 1,
    MIN(IF(A$2:A$1997=A248, IF(B$2:B$1997&gt;B248, B$2:B$1997))) - B248,
    TODAY() - Table3[[#This Row],[Date of Update]]
  ),
  TODAY()-Table3[[#This Row],[Date of Update]]
)))</f>
        <v>0</v>
      </c>
      <c r="G248" s="7">
        <f>IF(Table3[[#This Row],[Stage]]="Closed",Table3[[#This Row],[Date of Update]]-(_xlfn.MINIFS(Table3[Date of Update],Table3[Ref], Table3[[#This Row],[Ref]])),"")</f>
        <v>39</v>
      </c>
    </row>
    <row r="249" spans="1:7" x14ac:dyDescent="0.25">
      <c r="A249" s="4" t="s">
        <v>197</v>
      </c>
      <c r="B249" s="5">
        <v>44887</v>
      </c>
      <c r="C249" s="6" t="s">
        <v>8</v>
      </c>
      <c r="D249" s="6" t="s">
        <v>9</v>
      </c>
      <c r="E249" s="6" t="s">
        <v>106</v>
      </c>
      <c r="F249" s="6" cm="1">
        <f t="array" aca="1" ref="F249" ca="1">IF(Table3[[#This Row],[Stage]]="Closed",0,IF(IFERROR(
  IF(
    COUNTIF(A$2:A$1997, A249) &gt; 1,
    MIN(IF(A$2:A$1997=A249, IF(B$2:B$1997&gt;B249, B$2:B$1997))) - B249,
    TODAY() - Table3[[#This Row],[Date of Update]]
  ),
  TODAY()-Table3[[#This Row],[Date of Update]]
)&lt;=0,
TODAY()-Table3[[#This Row],[Date of Update]],
IFERROR(
  IF(
    COUNTIF(A$2:A$1997, A249) &gt; 1,
    MIN(IF(A$2:A$1997=A249, IF(B$2:B$1997&gt;B249, B$2:B$1997))) - B249,
    TODAY() - Table3[[#This Row],[Date of Update]]
  ),
  TODAY()-Table3[[#This Row],[Date of Update]]
)))</f>
        <v>24</v>
      </c>
      <c r="G249" s="7" t="str">
        <f>IF(Table3[[#This Row],[Stage]]="Closed",Table3[[#This Row],[Date of Update]]-(_xlfn.MINIFS(Table3[Date of Update],Table3[Ref], Table3[[#This Row],[Ref]])),"")</f>
        <v/>
      </c>
    </row>
    <row r="250" spans="1:7" x14ac:dyDescent="0.25">
      <c r="A250" s="4" t="s">
        <v>198</v>
      </c>
      <c r="B250" s="5">
        <v>44887</v>
      </c>
      <c r="C250" s="6" t="s">
        <v>8</v>
      </c>
      <c r="D250" s="6" t="s">
        <v>9</v>
      </c>
      <c r="E250" s="6"/>
      <c r="F250" s="6" cm="1">
        <f t="array" aca="1" ref="F250" ca="1">IF(Table3[[#This Row],[Stage]]="Closed",0,IF(IFERROR(
  IF(
    COUNTIF(A$2:A$1997, A250) &gt; 1,
    MIN(IF(A$2:A$1997=A250, IF(B$2:B$1997&gt;B250, B$2:B$1997))) - B250,
    TODAY() - Table3[[#This Row],[Date of Update]]
  ),
  TODAY()-Table3[[#This Row],[Date of Update]]
)&lt;=0,
TODAY()-Table3[[#This Row],[Date of Update]],
IFERROR(
  IF(
    COUNTIF(A$2:A$1997, A250) &gt; 1,
    MIN(IF(A$2:A$1997=A250, IF(B$2:B$1997&gt;B250, B$2:B$1997))) - B250,
    TODAY() - Table3[[#This Row],[Date of Update]]
  ),
  TODAY()-Table3[[#This Row],[Date of Update]]
)))</f>
        <v>22</v>
      </c>
      <c r="G250" s="7" t="str">
        <f>IF(Table3[[#This Row],[Stage]]="Closed",Table3[[#This Row],[Date of Update]]-(_xlfn.MINIFS(Table3[Date of Update],Table3[Ref], Table3[[#This Row],[Ref]])),"")</f>
        <v/>
      </c>
    </row>
    <row r="251" spans="1:7" x14ac:dyDescent="0.25">
      <c r="A251" s="4" t="s">
        <v>199</v>
      </c>
      <c r="B251" s="5">
        <v>44888</v>
      </c>
      <c r="C251" s="6" t="s">
        <v>8</v>
      </c>
      <c r="D251" s="6" t="s">
        <v>9</v>
      </c>
      <c r="E251" s="6" t="s">
        <v>200</v>
      </c>
      <c r="F251" s="6" cm="1">
        <f t="array" aca="1" ref="F251" ca="1">IF(Table3[[#This Row],[Stage]]="Closed",0,IF(IFERROR(
  IF(
    COUNTIF(A$2:A$1997, A251) &gt; 1,
    MIN(IF(A$2:A$1997=A251, IF(B$2:B$1997&gt;B251, B$2:B$1997))) - B251,
    TODAY() - Table3[[#This Row],[Date of Update]]
  ),
  TODAY()-Table3[[#This Row],[Date of Update]]
)&lt;=0,
TODAY()-Table3[[#This Row],[Date of Update]],
IFERROR(
  IF(
    COUNTIF(A$2:A$1997, A251) &gt; 1,
    MIN(IF(A$2:A$1997=A251, IF(B$2:B$1997&gt;B251, B$2:B$1997))) - B251,
    TODAY() - Table3[[#This Row],[Date of Update]]
  ),
  TODAY()-Table3[[#This Row],[Date of Update]]
)))</f>
        <v>30</v>
      </c>
      <c r="G251" s="7" t="str">
        <f>IF(Table3[[#This Row],[Stage]]="Closed",Table3[[#This Row],[Date of Update]]-(_xlfn.MINIFS(Table3[Date of Update],Table3[Ref], Table3[[#This Row],[Ref]])),"")</f>
        <v/>
      </c>
    </row>
    <row r="252" spans="1:7" x14ac:dyDescent="0.25">
      <c r="A252" s="4" t="s">
        <v>201</v>
      </c>
      <c r="B252" s="5">
        <v>44888</v>
      </c>
      <c r="C252" s="6" t="s">
        <v>8</v>
      </c>
      <c r="D252" s="6" t="s">
        <v>9</v>
      </c>
      <c r="E252" s="6" t="s">
        <v>202</v>
      </c>
      <c r="F252" s="6" cm="1">
        <f t="array" aca="1" ref="F252" ca="1">IF(Table3[[#This Row],[Stage]]="Closed",0,IF(IFERROR(
  IF(
    COUNTIF(A$2:A$1997, A252) &gt; 1,
    MIN(IF(A$2:A$1997=A252, IF(B$2:B$1997&gt;B252, B$2:B$1997))) - B252,
    TODAY() - Table3[[#This Row],[Date of Update]]
  ),
  TODAY()-Table3[[#This Row],[Date of Update]]
)&lt;=0,
TODAY()-Table3[[#This Row],[Date of Update]],
IFERROR(
  IF(
    COUNTIF(A$2:A$1997, A252) &gt; 1,
    MIN(IF(A$2:A$1997=A252, IF(B$2:B$1997&gt;B252, B$2:B$1997))) - B252,
    TODAY() - Table3[[#This Row],[Date of Update]]
  ),
  TODAY()-Table3[[#This Row],[Date of Update]]
)))</f>
        <v>58</v>
      </c>
      <c r="G252" s="7" t="str">
        <f>IF(Table3[[#This Row],[Stage]]="Closed",Table3[[#This Row],[Date of Update]]-(_xlfn.MINIFS(Table3[Date of Update],Table3[Ref], Table3[[#This Row],[Ref]])),"")</f>
        <v/>
      </c>
    </row>
    <row r="253" spans="1:7" x14ac:dyDescent="0.25">
      <c r="A253" s="4" t="s">
        <v>203</v>
      </c>
      <c r="B253" s="5">
        <v>44888</v>
      </c>
      <c r="C253" s="6" t="s">
        <v>8</v>
      </c>
      <c r="D253" s="6" t="s">
        <v>9</v>
      </c>
      <c r="E253" s="6" t="s">
        <v>80</v>
      </c>
      <c r="F253" s="6" cm="1">
        <f t="array" aca="1" ref="F253" ca="1">IF(Table3[[#This Row],[Stage]]="Closed",0,IF(IFERROR(
  IF(
    COUNTIF(A$2:A$1997, A253) &gt; 1,
    MIN(IF(A$2:A$1997=A253, IF(B$2:B$1997&gt;B253, B$2:B$1997))) - B253,
    TODAY() - Table3[[#This Row],[Date of Update]]
  ),
  TODAY()-Table3[[#This Row],[Date of Update]]
)&lt;=0,
TODAY()-Table3[[#This Row],[Date of Update]],
IFERROR(
  IF(
    COUNTIF(A$2:A$1997, A253) &gt; 1,
    MIN(IF(A$2:A$1997=A253, IF(B$2:B$1997&gt;B253, B$2:B$1997))) - B253,
    TODAY() - Table3[[#This Row],[Date of Update]]
  ),
  TODAY()-Table3[[#This Row],[Date of Update]]
)))</f>
        <v>45</v>
      </c>
      <c r="G253" s="7" t="str">
        <f>IF(Table3[[#This Row],[Stage]]="Closed",Table3[[#This Row],[Date of Update]]-(_xlfn.MINIFS(Table3[Date of Update],Table3[Ref], Table3[[#This Row],[Ref]])),"")</f>
        <v/>
      </c>
    </row>
    <row r="254" spans="1:7" x14ac:dyDescent="0.25">
      <c r="A254" s="4" t="s">
        <v>204</v>
      </c>
      <c r="B254" s="5">
        <v>44889</v>
      </c>
      <c r="C254" s="6" t="s">
        <v>8</v>
      </c>
      <c r="D254" s="6" t="s">
        <v>9</v>
      </c>
      <c r="E254" s="6" t="s">
        <v>80</v>
      </c>
      <c r="F254" s="6" cm="1">
        <f t="array" aca="1" ref="F254" ca="1">IF(Table3[[#This Row],[Stage]]="Closed",0,IF(IFERROR(
  IF(
    COUNTIF(A$2:A$1997, A254) &gt; 1,
    MIN(IF(A$2:A$1997=A254, IF(B$2:B$1997&gt;B254, B$2:B$1997))) - B254,
    TODAY() - Table3[[#This Row],[Date of Update]]
  ),
  TODAY()-Table3[[#This Row],[Date of Update]]
)&lt;=0,
TODAY()-Table3[[#This Row],[Date of Update]],
IFERROR(
  IF(
    COUNTIF(A$2:A$1997, A254) &gt; 1,
    MIN(IF(A$2:A$1997=A254, IF(B$2:B$1997&gt;B254, B$2:B$1997))) - B254,
    TODAY() - Table3[[#This Row],[Date of Update]]
  ),
  TODAY()-Table3[[#This Row],[Date of Update]]
)))</f>
        <v>30</v>
      </c>
      <c r="G254" s="7" t="str">
        <f>IF(Table3[[#This Row],[Stage]]="Closed",Table3[[#This Row],[Date of Update]]-(_xlfn.MINIFS(Table3[Date of Update],Table3[Ref], Table3[[#This Row],[Ref]])),"")</f>
        <v/>
      </c>
    </row>
    <row r="255" spans="1:7" x14ac:dyDescent="0.25">
      <c r="A255" s="4" t="s">
        <v>205</v>
      </c>
      <c r="B255" s="5">
        <v>44889</v>
      </c>
      <c r="C255" s="6" t="s">
        <v>8</v>
      </c>
      <c r="D255" s="6" t="s">
        <v>9</v>
      </c>
      <c r="E255" s="6" t="s">
        <v>106</v>
      </c>
      <c r="F255" s="6" cm="1">
        <f t="array" aca="1" ref="F255" ca="1">IF(Table3[[#This Row],[Stage]]="Closed",0,IF(IFERROR(
  IF(
    COUNTIF(A$2:A$1997, A255) &gt; 1,
    MIN(IF(A$2:A$1997=A255, IF(B$2:B$1997&gt;B255, B$2:B$1997))) - B255,
    TODAY() - Table3[[#This Row],[Date of Update]]
  ),
  TODAY()-Table3[[#This Row],[Date of Update]]
)&lt;=0,
TODAY()-Table3[[#This Row],[Date of Update]],
IFERROR(
  IF(
    COUNTIF(A$2:A$1997, A255) &gt; 1,
    MIN(IF(A$2:A$1997=A255, IF(B$2:B$1997&gt;B255, B$2:B$1997))) - B255,
    TODAY() - Table3[[#This Row],[Date of Update]]
  ),
  TODAY()-Table3[[#This Row],[Date of Update]]
)))</f>
        <v>30</v>
      </c>
      <c r="G255" s="7" t="str">
        <f>IF(Table3[[#This Row],[Stage]]="Closed",Table3[[#This Row],[Date of Update]]-(_xlfn.MINIFS(Table3[Date of Update],Table3[Ref], Table3[[#This Row],[Ref]])),"")</f>
        <v/>
      </c>
    </row>
    <row r="256" spans="1:7" x14ac:dyDescent="0.25">
      <c r="A256" s="4" t="s">
        <v>206</v>
      </c>
      <c r="B256" s="5">
        <v>44889</v>
      </c>
      <c r="C256" s="6" t="s">
        <v>8</v>
      </c>
      <c r="D256" s="6" t="s">
        <v>9</v>
      </c>
      <c r="E256" s="6" t="s">
        <v>80</v>
      </c>
      <c r="F256" s="6" cm="1">
        <f t="array" aca="1" ref="F256" ca="1">IF(Table3[[#This Row],[Stage]]="Closed",0,IF(IFERROR(
  IF(
    COUNTIF(A$2:A$1997, A256) &gt; 1,
    MIN(IF(A$2:A$1997=A256, IF(B$2:B$1997&gt;B256, B$2:B$1997))) - B256,
    TODAY() - Table3[[#This Row],[Date of Update]]
  ),
  TODAY()-Table3[[#This Row],[Date of Update]]
)&lt;=0,
TODAY()-Table3[[#This Row],[Date of Update]],
IFERROR(
  IF(
    COUNTIF(A$2:A$1997, A256) &gt; 1,
    MIN(IF(A$2:A$1997=A256, IF(B$2:B$1997&gt;B256, B$2:B$1997))) - B256,
    TODAY() - Table3[[#This Row],[Date of Update]]
  ),
  TODAY()-Table3[[#This Row],[Date of Update]]
)))</f>
        <v>92</v>
      </c>
      <c r="G256" s="7" t="str">
        <f>IF(Table3[[#This Row],[Stage]]="Closed",Table3[[#This Row],[Date of Update]]-(_xlfn.MINIFS(Table3[Date of Update],Table3[Ref], Table3[[#This Row],[Ref]])),"")</f>
        <v/>
      </c>
    </row>
    <row r="257" spans="1:7" x14ac:dyDescent="0.25">
      <c r="A257" s="4" t="s">
        <v>207</v>
      </c>
      <c r="B257" s="5">
        <v>44889</v>
      </c>
      <c r="C257" s="6" t="s">
        <v>8</v>
      </c>
      <c r="D257" s="6" t="s">
        <v>9</v>
      </c>
      <c r="E257" s="6" t="s">
        <v>208</v>
      </c>
      <c r="F257" s="6" cm="1">
        <f t="array" aca="1" ref="F257" ca="1">IF(Table3[[#This Row],[Stage]]="Closed",0,IF(IFERROR(
  IF(
    COUNTIF(A$2:A$1997, A257) &gt; 1,
    MIN(IF(A$2:A$1997=A257, IF(B$2:B$1997&gt;B257, B$2:B$1997))) - B257,
    TODAY() - Table3[[#This Row],[Date of Update]]
  ),
  TODAY()-Table3[[#This Row],[Date of Update]]
)&lt;=0,
TODAY()-Table3[[#This Row],[Date of Update]],
IFERROR(
  IF(
    COUNTIF(A$2:A$1997, A257) &gt; 1,
    MIN(IF(A$2:A$1997=A257, IF(B$2:B$1997&gt;B257, B$2:B$1997))) - B257,
    TODAY() - Table3[[#This Row],[Date of Update]]
  ),
  TODAY()-Table3[[#This Row],[Date of Update]]
)))</f>
        <v>190</v>
      </c>
      <c r="G257" s="7" t="str">
        <f>IF(Table3[[#This Row],[Stage]]="Closed",Table3[[#This Row],[Date of Update]]-(_xlfn.MINIFS(Table3[Date of Update],Table3[Ref], Table3[[#This Row],[Ref]])),"")</f>
        <v/>
      </c>
    </row>
    <row r="258" spans="1:7" x14ac:dyDescent="0.25">
      <c r="A258" s="4" t="s">
        <v>209</v>
      </c>
      <c r="B258" s="5">
        <v>44889</v>
      </c>
      <c r="C258" s="6" t="s">
        <v>8</v>
      </c>
      <c r="D258" s="6" t="s">
        <v>9</v>
      </c>
      <c r="E258" s="6" t="s">
        <v>106</v>
      </c>
      <c r="F258" s="6" cm="1">
        <f t="array" aca="1" ref="F258" ca="1">IF(Table3[[#This Row],[Stage]]="Closed",0,IF(IFERROR(
  IF(
    COUNTIF(A$2:A$1997, A258) &gt; 1,
    MIN(IF(A$2:A$1997=A258, IF(B$2:B$1997&gt;B258, B$2:B$1997))) - B258,
    TODAY() - Table3[[#This Row],[Date of Update]]
  ),
  TODAY()-Table3[[#This Row],[Date of Update]]
)&lt;=0,
TODAY()-Table3[[#This Row],[Date of Update]],
IFERROR(
  IF(
    COUNTIF(A$2:A$1997, A258) &gt; 1,
    MIN(IF(A$2:A$1997=A258, IF(B$2:B$1997&gt;B258, B$2:B$1997))) - B258,
    TODAY() - Table3[[#This Row],[Date of Update]]
  ),
  TODAY()-Table3[[#This Row],[Date of Update]]
)))</f>
        <v>30</v>
      </c>
      <c r="G258" s="7" t="str">
        <f>IF(Table3[[#This Row],[Stage]]="Closed",Table3[[#This Row],[Date of Update]]-(_xlfn.MINIFS(Table3[Date of Update],Table3[Ref], Table3[[#This Row],[Ref]])),"")</f>
        <v/>
      </c>
    </row>
    <row r="259" spans="1:7" x14ac:dyDescent="0.25">
      <c r="A259" s="4" t="s">
        <v>210</v>
      </c>
      <c r="B259" s="5">
        <v>44889</v>
      </c>
      <c r="C259" s="6" t="s">
        <v>8</v>
      </c>
      <c r="D259" s="6" t="s">
        <v>9</v>
      </c>
      <c r="E259" s="6" t="s">
        <v>106</v>
      </c>
      <c r="F259" s="6" cm="1">
        <f t="array" aca="1" ref="F259" ca="1">IF(Table3[[#This Row],[Stage]]="Closed",0,IF(IFERROR(
  IF(
    COUNTIF(A$2:A$1997, A259) &gt; 1,
    MIN(IF(A$2:A$1997=A259, IF(B$2:B$1997&gt;B259, B$2:B$1997))) - B259,
    TODAY() - Table3[[#This Row],[Date of Update]]
  ),
  TODAY()-Table3[[#This Row],[Date of Update]]
)&lt;=0,
TODAY()-Table3[[#This Row],[Date of Update]],
IFERROR(
  IF(
    COUNTIF(A$2:A$1997, A259) &gt; 1,
    MIN(IF(A$2:A$1997=A259, IF(B$2:B$1997&gt;B259, B$2:B$1997))) - B259,
    TODAY() - Table3[[#This Row],[Date of Update]]
  ),
  TODAY()-Table3[[#This Row],[Date of Update]]
)))</f>
        <v>30</v>
      </c>
      <c r="G259" s="7" t="str">
        <f>IF(Table3[[#This Row],[Stage]]="Closed",Table3[[#This Row],[Date of Update]]-(_xlfn.MINIFS(Table3[Date of Update],Table3[Ref], Table3[[#This Row],[Ref]])),"")</f>
        <v/>
      </c>
    </row>
    <row r="260" spans="1:7" x14ac:dyDescent="0.25">
      <c r="A260" s="4" t="s">
        <v>211</v>
      </c>
      <c r="B260" s="5">
        <v>44890</v>
      </c>
      <c r="C260" s="6" t="s">
        <v>8</v>
      </c>
      <c r="D260" s="6" t="s">
        <v>9</v>
      </c>
      <c r="E260" s="6" t="s">
        <v>212</v>
      </c>
      <c r="F260" s="6" cm="1">
        <f t="array" aca="1" ref="F260" ca="1">IF(Table3[[#This Row],[Stage]]="Closed",0,IF(IFERROR(
  IF(
    COUNTIF(A$2:A$1997, A260) &gt; 1,
    MIN(IF(A$2:A$1997=A260, IF(B$2:B$1997&gt;B260, B$2:B$1997))) - B260,
    TODAY() - Table3[[#This Row],[Date of Update]]
  ),
  TODAY()-Table3[[#This Row],[Date of Update]]
)&lt;=0,
TODAY()-Table3[[#This Row],[Date of Update]],
IFERROR(
  IF(
    COUNTIF(A$2:A$1997, A260) &gt; 1,
    MIN(IF(A$2:A$1997=A260, IF(B$2:B$1997&gt;B260, B$2:B$1997))) - B260,
    TODAY() - Table3[[#This Row],[Date of Update]]
  ),
  TODAY()-Table3[[#This Row],[Date of Update]]
)))</f>
        <v>24</v>
      </c>
      <c r="G260" s="7" t="str">
        <f>IF(Table3[[#This Row],[Stage]]="Closed",Table3[[#This Row],[Date of Update]]-(_xlfn.MINIFS(Table3[Date of Update],Table3[Ref], Table3[[#This Row],[Ref]])),"")</f>
        <v/>
      </c>
    </row>
    <row r="261" spans="1:7" x14ac:dyDescent="0.25">
      <c r="A261" s="4" t="s">
        <v>213</v>
      </c>
      <c r="B261" s="5">
        <v>44890</v>
      </c>
      <c r="C261" s="6" t="s">
        <v>8</v>
      </c>
      <c r="D261" s="6" t="s">
        <v>9</v>
      </c>
      <c r="E261" s="6" t="s">
        <v>80</v>
      </c>
      <c r="F261" s="6" cm="1">
        <f t="array" aca="1" ref="F261" ca="1">IF(Table3[[#This Row],[Stage]]="Closed",0,IF(IFERROR(
  IF(
    COUNTIF(A$2:A$1997, A261) &gt; 1,
    MIN(IF(A$2:A$1997=A261, IF(B$2:B$1997&gt;B261, B$2:B$1997))) - B261,
    TODAY() - Table3[[#This Row],[Date of Update]]
  ),
  TODAY()-Table3[[#This Row],[Date of Update]]
)&lt;=0,
TODAY()-Table3[[#This Row],[Date of Update]],
IFERROR(
  IF(
    COUNTIF(A$2:A$1997, A261) &gt; 1,
    MIN(IF(A$2:A$1997=A261, IF(B$2:B$1997&gt;B261, B$2:B$1997))) - B261,
    TODAY() - Table3[[#This Row],[Date of Update]]
  ),
  TODAY()-Table3[[#This Row],[Date of Update]]
)))</f>
        <v>30</v>
      </c>
      <c r="G261" s="7" t="str">
        <f>IF(Table3[[#This Row],[Stage]]="Closed",Table3[[#This Row],[Date of Update]]-(_xlfn.MINIFS(Table3[Date of Update],Table3[Ref], Table3[[#This Row],[Ref]])),"")</f>
        <v/>
      </c>
    </row>
    <row r="262" spans="1:7" x14ac:dyDescent="0.25">
      <c r="A262" s="4" t="s">
        <v>183</v>
      </c>
      <c r="B262" s="5">
        <v>44892</v>
      </c>
      <c r="C262" s="6" t="s">
        <v>17</v>
      </c>
      <c r="D262" s="6" t="s">
        <v>9</v>
      </c>
      <c r="E262" s="6" t="s">
        <v>184</v>
      </c>
      <c r="F262" s="6" cm="1">
        <f t="array" aca="1" ref="F262" ca="1">IF(Table3[[#This Row],[Stage]]="Closed",0,IF(IFERROR(
  IF(
    COUNTIF(A$2:A$1997, A262) &gt; 1,
    MIN(IF(A$2:A$1997=A262, IF(B$2:B$1997&gt;B262, B$2:B$1997))) - B262,
    TODAY() - Table3[[#This Row],[Date of Update]]
  ),
  TODAY()-Table3[[#This Row],[Date of Update]]
)&lt;=0,
TODAY()-Table3[[#This Row],[Date of Update]],
IFERROR(
  IF(
    COUNTIF(A$2:A$1997, A262) &gt; 1,
    MIN(IF(A$2:A$1997=A262, IF(B$2:B$1997&gt;B262, B$2:B$1997))) - B262,
    TODAY() - Table3[[#This Row],[Date of Update]]
  ),
  TODAY()-Table3[[#This Row],[Date of Update]]
)))</f>
        <v>0</v>
      </c>
      <c r="G262" s="7">
        <f>IF(Table3[[#This Row],[Stage]]="Closed",Table3[[#This Row],[Date of Update]]-(_xlfn.MINIFS(Table3[Date of Update],Table3[Ref], Table3[[#This Row],[Ref]])),"")</f>
        <v>30</v>
      </c>
    </row>
    <row r="263" spans="1:7" x14ac:dyDescent="0.25">
      <c r="A263" s="4" t="s">
        <v>187</v>
      </c>
      <c r="B263" s="5">
        <v>44892</v>
      </c>
      <c r="C263" s="6" t="s">
        <v>17</v>
      </c>
      <c r="D263" s="6" t="s">
        <v>9</v>
      </c>
      <c r="E263" s="6" t="s">
        <v>184</v>
      </c>
      <c r="F263" s="6" cm="1">
        <f t="array" aca="1" ref="F263" ca="1">IF(Table3[[#This Row],[Stage]]="Closed",0,IF(IFERROR(
  IF(
    COUNTIF(A$2:A$1997, A263) &gt; 1,
    MIN(IF(A$2:A$1997=A263, IF(B$2:B$1997&gt;B263, B$2:B$1997))) - B263,
    TODAY() - Table3[[#This Row],[Date of Update]]
  ),
  TODAY()-Table3[[#This Row],[Date of Update]]
)&lt;=0,
TODAY()-Table3[[#This Row],[Date of Update]],
IFERROR(
  IF(
    COUNTIF(A$2:A$1997, A263) &gt; 1,
    MIN(IF(A$2:A$1997=A263, IF(B$2:B$1997&gt;B263, B$2:B$1997))) - B263,
    TODAY() - Table3[[#This Row],[Date of Update]]
  ),
  TODAY()-Table3[[#This Row],[Date of Update]]
)))</f>
        <v>0</v>
      </c>
      <c r="G263" s="7">
        <f>IF(Table3[[#This Row],[Stage]]="Closed",Table3[[#This Row],[Date of Update]]-(_xlfn.MINIFS(Table3[Date of Update],Table3[Ref], Table3[[#This Row],[Ref]])),"")</f>
        <v>30</v>
      </c>
    </row>
    <row r="264" spans="1:7" x14ac:dyDescent="0.25">
      <c r="A264" s="4" t="s">
        <v>214</v>
      </c>
      <c r="B264" s="5">
        <v>44894</v>
      </c>
      <c r="C264" s="6" t="s">
        <v>8</v>
      </c>
      <c r="D264" s="6" t="s">
        <v>9</v>
      </c>
      <c r="E264" s="6" t="s">
        <v>80</v>
      </c>
      <c r="F264" s="6" cm="1">
        <f t="array" aca="1" ref="F264" ca="1">IF(Table3[[#This Row],[Stage]]="Closed",0,IF(IFERROR(
  IF(
    COUNTIF(A$2:A$1997, A264) &gt; 1,
    MIN(IF(A$2:A$1997=A264, IF(B$2:B$1997&gt;B264, B$2:B$1997))) - B264,
    TODAY() - Table3[[#This Row],[Date of Update]]
  ),
  TODAY()-Table3[[#This Row],[Date of Update]]
)&lt;=0,
TODAY()-Table3[[#This Row],[Date of Update]],
IFERROR(
  IF(
    COUNTIF(A$2:A$1997, A264) &gt; 1,
    MIN(IF(A$2:A$1997=A264, IF(B$2:B$1997&gt;B264, B$2:B$1997))) - B264,
    TODAY() - Table3[[#This Row],[Date of Update]]
  ),
  TODAY()-Table3[[#This Row],[Date of Update]]
)))</f>
        <v>39</v>
      </c>
      <c r="G264" s="7" t="str">
        <f>IF(Table3[[#This Row],[Stage]]="Closed",Table3[[#This Row],[Date of Update]]-(_xlfn.MINIFS(Table3[Date of Update],Table3[Ref], Table3[[#This Row],[Ref]])),"")</f>
        <v/>
      </c>
    </row>
    <row r="265" spans="1:7" x14ac:dyDescent="0.25">
      <c r="A265" s="4" t="s">
        <v>215</v>
      </c>
      <c r="B265" s="5">
        <v>44895</v>
      </c>
      <c r="C265" s="6" t="s">
        <v>8</v>
      </c>
      <c r="D265" s="6" t="s">
        <v>9</v>
      </c>
      <c r="E265" s="6" t="s">
        <v>216</v>
      </c>
      <c r="F265" s="6" cm="1">
        <f t="array" aca="1" ref="F265" ca="1">IF(Table3[[#This Row],[Stage]]="Closed",0,IF(IFERROR(
  IF(
    COUNTIF(A$2:A$1997, A265) &gt; 1,
    MIN(IF(A$2:A$1997=A265, IF(B$2:B$1997&gt;B265, B$2:B$1997))) - B265,
    TODAY() - Table3[[#This Row],[Date of Update]]
  ),
  TODAY()-Table3[[#This Row],[Date of Update]]
)&lt;=0,
TODAY()-Table3[[#This Row],[Date of Update]],
IFERROR(
  IF(
    COUNTIF(A$2:A$1997, A265) &gt; 1,
    MIN(IF(A$2:A$1997=A265, IF(B$2:B$1997&gt;B265, B$2:B$1997))) - B265,
    TODAY() - Table3[[#This Row],[Date of Update]]
  ),
  TODAY()-Table3[[#This Row],[Date of Update]]
)))</f>
        <v>86</v>
      </c>
      <c r="G265" s="7" t="str">
        <f>IF(Table3[[#This Row],[Stage]]="Closed",Table3[[#This Row],[Date of Update]]-(_xlfn.MINIFS(Table3[Date of Update],Table3[Ref], Table3[[#This Row],[Ref]])),"")</f>
        <v/>
      </c>
    </row>
    <row r="266" spans="1:7" x14ac:dyDescent="0.25">
      <c r="A266" s="4" t="s">
        <v>217</v>
      </c>
      <c r="B266" s="5">
        <v>44895</v>
      </c>
      <c r="C266" s="6" t="s">
        <v>8</v>
      </c>
      <c r="D266" s="6" t="s">
        <v>9</v>
      </c>
      <c r="E266" s="6" t="s">
        <v>218</v>
      </c>
      <c r="F266" s="6" cm="1">
        <f t="array" aca="1" ref="F266" ca="1">IF(Table3[[#This Row],[Stage]]="Closed",0,IF(IFERROR(
  IF(
    COUNTIF(A$2:A$1997, A266) &gt; 1,
    MIN(IF(A$2:A$1997=A266, IF(B$2:B$1997&gt;B266, B$2:B$1997))) - B266,
    TODAY() - Table3[[#This Row],[Date of Update]]
  ),
  TODAY()-Table3[[#This Row],[Date of Update]]
)&lt;=0,
TODAY()-Table3[[#This Row],[Date of Update]],
IFERROR(
  IF(
    COUNTIF(A$2:A$1997, A266) &gt; 1,
    MIN(IF(A$2:A$1997=A266, IF(B$2:B$1997&gt;B266, B$2:B$1997))) - B266,
    TODAY() - Table3[[#This Row],[Date of Update]]
  ),
  TODAY()-Table3[[#This Row],[Date of Update]]
)))</f>
        <v>30</v>
      </c>
      <c r="G266" s="7" t="str">
        <f>IF(Table3[[#This Row],[Stage]]="Closed",Table3[[#This Row],[Date of Update]]-(_xlfn.MINIFS(Table3[Date of Update],Table3[Ref], Table3[[#This Row],[Ref]])),"")</f>
        <v/>
      </c>
    </row>
    <row r="267" spans="1:7" x14ac:dyDescent="0.25">
      <c r="A267" s="4" t="s">
        <v>219</v>
      </c>
      <c r="B267" s="5">
        <v>44896</v>
      </c>
      <c r="C267" s="6" t="s">
        <v>8</v>
      </c>
      <c r="D267" s="6" t="s">
        <v>9</v>
      </c>
      <c r="E267" s="6" t="s">
        <v>220</v>
      </c>
      <c r="F267" s="6" cm="1">
        <f t="array" aca="1" ref="F267" ca="1">IF(Table3[[#This Row],[Stage]]="Closed",0,IF(IFERROR(
  IF(
    COUNTIF(A$2:A$1997, A267) &gt; 1,
    MIN(IF(A$2:A$1997=A267, IF(B$2:B$1997&gt;B267, B$2:B$1997))) - B267,
    TODAY() - Table3[[#This Row],[Date of Update]]
  ),
  TODAY()-Table3[[#This Row],[Date of Update]]
)&lt;=0,
TODAY()-Table3[[#This Row],[Date of Update]],
IFERROR(
  IF(
    COUNTIF(A$2:A$1997, A267) &gt; 1,
    MIN(IF(A$2:A$1997=A267, IF(B$2:B$1997&gt;B267, B$2:B$1997))) - B267,
    TODAY() - Table3[[#This Row],[Date of Update]]
  ),
  TODAY()-Table3[[#This Row],[Date of Update]]
)))</f>
        <v>37</v>
      </c>
      <c r="G267" s="7" t="str">
        <f>IF(Table3[[#This Row],[Stage]]="Closed",Table3[[#This Row],[Date of Update]]-(_xlfn.MINIFS(Table3[Date of Update],Table3[Ref], Table3[[#This Row],[Ref]])),"")</f>
        <v/>
      </c>
    </row>
    <row r="268" spans="1:7" x14ac:dyDescent="0.25">
      <c r="A268" s="4" t="s">
        <v>221</v>
      </c>
      <c r="B268" s="5">
        <v>44896</v>
      </c>
      <c r="C268" s="6" t="s">
        <v>8</v>
      </c>
      <c r="D268" s="6" t="s">
        <v>9</v>
      </c>
      <c r="E268" s="6" t="s">
        <v>222</v>
      </c>
      <c r="F268" s="6" cm="1">
        <f t="array" aca="1" ref="F268" ca="1">IF(Table3[[#This Row],[Stage]]="Closed",0,IF(IFERROR(
  IF(
    COUNTIF(A$2:A$1997, A268) &gt; 1,
    MIN(IF(A$2:A$1997=A268, IF(B$2:B$1997&gt;B268, B$2:B$1997))) - B268,
    TODAY() - Table3[[#This Row],[Date of Update]]
  ),
  TODAY()-Table3[[#This Row],[Date of Update]]
)&lt;=0,
TODAY()-Table3[[#This Row],[Date of Update]],
IFERROR(
  IF(
    COUNTIF(A$2:A$1997, A268) &gt; 1,
    MIN(IF(A$2:A$1997=A268, IF(B$2:B$1997&gt;B268, B$2:B$1997))) - B268,
    TODAY() - Table3[[#This Row],[Date of Update]]
  ),
  TODAY()-Table3[[#This Row],[Date of Update]]
)))</f>
        <v>85</v>
      </c>
      <c r="G268" s="7" t="str">
        <f>IF(Table3[[#This Row],[Stage]]="Closed",Table3[[#This Row],[Date of Update]]-(_xlfn.MINIFS(Table3[Date of Update],Table3[Ref], Table3[[#This Row],[Ref]])),"")</f>
        <v/>
      </c>
    </row>
    <row r="269" spans="1:7" x14ac:dyDescent="0.25">
      <c r="A269" s="4" t="s">
        <v>223</v>
      </c>
      <c r="B269" s="5">
        <v>44896</v>
      </c>
      <c r="C269" s="6" t="s">
        <v>8</v>
      </c>
      <c r="D269" s="6" t="s">
        <v>9</v>
      </c>
      <c r="E269" s="6" t="s">
        <v>224</v>
      </c>
      <c r="F269" s="6" cm="1">
        <f t="array" aca="1" ref="F269" ca="1">IF(Table3[[#This Row],[Stage]]="Closed",0,IF(IFERROR(
  IF(
    COUNTIF(A$2:A$1997, A269) &gt; 1,
    MIN(IF(A$2:A$1997=A269, IF(B$2:B$1997&gt;B269, B$2:B$1997))) - B269,
    TODAY() - Table3[[#This Row],[Date of Update]]
  ),
  TODAY()-Table3[[#This Row],[Date of Update]]
)&lt;=0,
TODAY()-Table3[[#This Row],[Date of Update]],
IFERROR(
  IF(
    COUNTIF(A$2:A$1997, A269) &gt; 1,
    MIN(IF(A$2:A$1997=A269, IF(B$2:B$1997&gt;B269, B$2:B$1997))) - B269,
    TODAY() - Table3[[#This Row],[Date of Update]]
  ),
  TODAY()-Table3[[#This Row],[Date of Update]]
)))</f>
        <v>30</v>
      </c>
      <c r="G269" s="7" t="str">
        <f>IF(Table3[[#This Row],[Stage]]="Closed",Table3[[#This Row],[Date of Update]]-(_xlfn.MINIFS(Table3[Date of Update],Table3[Ref], Table3[[#This Row],[Ref]])),"")</f>
        <v/>
      </c>
    </row>
    <row r="270" spans="1:7" x14ac:dyDescent="0.25">
      <c r="A270" s="4" t="s">
        <v>180</v>
      </c>
      <c r="B270" s="5">
        <v>44896</v>
      </c>
      <c r="C270" s="6" t="s">
        <v>17</v>
      </c>
      <c r="D270" s="6" t="s">
        <v>9</v>
      </c>
      <c r="E270" s="6" t="s">
        <v>181</v>
      </c>
      <c r="F270" s="6" cm="1">
        <f t="array" aca="1" ref="F270" ca="1">IF(Table3[[#This Row],[Stage]]="Closed",0,IF(IFERROR(
  IF(
    COUNTIF(A$2:A$1997, A270) &gt; 1,
    MIN(IF(A$2:A$1997=A270, IF(B$2:B$1997&gt;B270, B$2:B$1997))) - B270,
    TODAY() - Table3[[#This Row],[Date of Update]]
  ),
  TODAY()-Table3[[#This Row],[Date of Update]]
)&lt;=0,
TODAY()-Table3[[#This Row],[Date of Update]],
IFERROR(
  IF(
    COUNTIF(A$2:A$1997, A270) &gt; 1,
    MIN(IF(A$2:A$1997=A270, IF(B$2:B$1997&gt;B270, B$2:B$1997))) - B270,
    TODAY() - Table3[[#This Row],[Date of Update]]
  ),
  TODAY()-Table3[[#This Row],[Date of Update]]
)))</f>
        <v>0</v>
      </c>
      <c r="G270" s="7">
        <f>IF(Table3[[#This Row],[Stage]]="Closed",Table3[[#This Row],[Date of Update]]-(_xlfn.MINIFS(Table3[Date of Update],Table3[Ref], Table3[[#This Row],[Ref]])),"")</f>
        <v>35</v>
      </c>
    </row>
    <row r="271" spans="1:7" x14ac:dyDescent="0.25">
      <c r="A271" s="4" t="s">
        <v>225</v>
      </c>
      <c r="B271" s="5">
        <v>44897</v>
      </c>
      <c r="C271" s="6" t="s">
        <v>8</v>
      </c>
      <c r="D271" s="6" t="s">
        <v>9</v>
      </c>
      <c r="E271" s="6" t="s">
        <v>226</v>
      </c>
      <c r="F271" s="6" cm="1">
        <f t="array" aca="1" ref="F271" ca="1">IF(Table3[[#This Row],[Stage]]="Closed",0,IF(IFERROR(
  IF(
    COUNTIF(A$2:A$1997, A271) &gt; 1,
    MIN(IF(A$2:A$1997=A271, IF(B$2:B$1997&gt;B271, B$2:B$1997))) - B271,
    TODAY() - Table3[[#This Row],[Date of Update]]
  ),
  TODAY()-Table3[[#This Row],[Date of Update]]
)&lt;=0,
TODAY()-Table3[[#This Row],[Date of Update]],
IFERROR(
  IF(
    COUNTIF(A$2:A$1997, A271) &gt; 1,
    MIN(IF(A$2:A$1997=A271, IF(B$2:B$1997&gt;B271, B$2:B$1997))) - B271,
    TODAY() - Table3[[#This Row],[Date of Update]]
  ),
  TODAY()-Table3[[#This Row],[Date of Update]]
)))</f>
        <v>84</v>
      </c>
      <c r="G271" s="7" t="str">
        <f>IF(Table3[[#This Row],[Stage]]="Closed",Table3[[#This Row],[Date of Update]]-(_xlfn.MINIFS(Table3[Date of Update],Table3[Ref], Table3[[#This Row],[Ref]])),"")</f>
        <v/>
      </c>
    </row>
    <row r="272" spans="1:7" x14ac:dyDescent="0.25">
      <c r="A272" s="4" t="s">
        <v>227</v>
      </c>
      <c r="B272" s="5">
        <v>44897</v>
      </c>
      <c r="C272" s="6" t="s">
        <v>8</v>
      </c>
      <c r="D272" s="6" t="s">
        <v>9</v>
      </c>
      <c r="E272" s="6" t="s">
        <v>228</v>
      </c>
      <c r="F272" s="6" cm="1">
        <f t="array" aca="1" ref="F272" ca="1">IF(Table3[[#This Row],[Stage]]="Closed",0,IF(IFERROR(
  IF(
    COUNTIF(A$2:A$1997, A272) &gt; 1,
    MIN(IF(A$2:A$1997=A272, IF(B$2:B$1997&gt;B272, B$2:B$1997))) - B272,
    TODAY() - Table3[[#This Row],[Date of Update]]
  ),
  TODAY()-Table3[[#This Row],[Date of Update]]
)&lt;=0,
TODAY()-Table3[[#This Row],[Date of Update]],
IFERROR(
  IF(
    COUNTIF(A$2:A$1997, A272) &gt; 1,
    MIN(IF(A$2:A$1997=A272, IF(B$2:B$1997&gt;B272, B$2:B$1997))) - B272,
    TODAY() - Table3[[#This Row],[Date of Update]]
  ),
  TODAY()-Table3[[#This Row],[Date of Update]]
)))</f>
        <v>84</v>
      </c>
      <c r="G272" s="7" t="str">
        <f>IF(Table3[[#This Row],[Stage]]="Closed",Table3[[#This Row],[Date of Update]]-(_xlfn.MINIFS(Table3[Date of Update],Table3[Ref], Table3[[#This Row],[Ref]])),"")</f>
        <v/>
      </c>
    </row>
    <row r="273" spans="1:7" x14ac:dyDescent="0.25">
      <c r="A273" s="4" t="s">
        <v>229</v>
      </c>
      <c r="B273" s="5">
        <v>44897</v>
      </c>
      <c r="C273" s="6" t="s">
        <v>8</v>
      </c>
      <c r="D273" s="6" t="s">
        <v>9</v>
      </c>
      <c r="E273" s="6" t="s">
        <v>17</v>
      </c>
      <c r="F273" s="6" cm="1">
        <f t="array" aca="1" ref="F273" ca="1">IF(Table3[[#This Row],[Stage]]="Closed",0,IF(IFERROR(
  IF(
    COUNTIF(A$2:A$1997, A273) &gt; 1,
    MIN(IF(A$2:A$1997=A273, IF(B$2:B$1997&gt;B273, B$2:B$1997))) - B273,
    TODAY() - Table3[[#This Row],[Date of Update]]
  ),
  TODAY()-Table3[[#This Row],[Date of Update]]
)&lt;=0,
TODAY()-Table3[[#This Row],[Date of Update]],
IFERROR(
  IF(
    COUNTIF(A$2:A$1997, A273) &gt; 1,
    MIN(IF(A$2:A$1997=A273, IF(B$2:B$1997&gt;B273, B$2:B$1997))) - B273,
    TODAY() - Table3[[#This Row],[Date of Update]]
  ),
  TODAY()-Table3[[#This Row],[Date of Update]]
)))</f>
        <v>238</v>
      </c>
      <c r="G273" s="7" t="str">
        <f>IF(Table3[[#This Row],[Stage]]="Closed",Table3[[#This Row],[Date of Update]]-(_xlfn.MINIFS(Table3[Date of Update],Table3[Ref], Table3[[#This Row],[Ref]])),"")</f>
        <v/>
      </c>
    </row>
    <row r="274" spans="1:7" x14ac:dyDescent="0.25">
      <c r="A274" s="4" t="s">
        <v>230</v>
      </c>
      <c r="B274" s="5">
        <v>44903</v>
      </c>
      <c r="C274" s="6" t="s">
        <v>8</v>
      </c>
      <c r="D274" s="6" t="s">
        <v>9</v>
      </c>
      <c r="E274" s="6" t="s">
        <v>231</v>
      </c>
      <c r="F274" s="6" cm="1">
        <f t="array" aca="1" ref="F274" ca="1">IF(Table3[[#This Row],[Stage]]="Closed",0,IF(IFERROR(
  IF(
    COUNTIF(A$2:A$1997, A274) &gt; 1,
    MIN(IF(A$2:A$1997=A274, IF(B$2:B$1997&gt;B274, B$2:B$1997))) - B274,
    TODAY() - Table3[[#This Row],[Date of Update]]
  ),
  TODAY()-Table3[[#This Row],[Date of Update]]
)&lt;=0,
TODAY()-Table3[[#This Row],[Date of Update]],
IFERROR(
  IF(
    COUNTIF(A$2:A$1997, A274) &gt; 1,
    MIN(IF(A$2:A$1997=A274, IF(B$2:B$1997&gt;B274, B$2:B$1997))) - B274,
    TODAY() - Table3[[#This Row],[Date of Update]]
  ),
  TODAY()-Table3[[#This Row],[Date of Update]]
)))</f>
        <v>30</v>
      </c>
      <c r="G274" s="7" t="str">
        <f>IF(Table3[[#This Row],[Stage]]="Closed",Table3[[#This Row],[Date of Update]]-(_xlfn.MINIFS(Table3[Date of Update],Table3[Ref], Table3[[#This Row],[Ref]])),"")</f>
        <v/>
      </c>
    </row>
    <row r="275" spans="1:7" x14ac:dyDescent="0.25">
      <c r="A275" s="4" t="s">
        <v>232</v>
      </c>
      <c r="B275" s="5">
        <v>44903</v>
      </c>
      <c r="C275" s="6" t="s">
        <v>8</v>
      </c>
      <c r="D275" s="6" t="s">
        <v>9</v>
      </c>
      <c r="E275" s="6" t="s">
        <v>80</v>
      </c>
      <c r="F275" s="6" cm="1">
        <f t="array" aca="1" ref="F275" ca="1">IF(Table3[[#This Row],[Stage]]="Closed",0,IF(IFERROR(
  IF(
    COUNTIF(A$2:A$1997, A275) &gt; 1,
    MIN(IF(A$2:A$1997=A275, IF(B$2:B$1997&gt;B275, B$2:B$1997))) - B275,
    TODAY() - Table3[[#This Row],[Date of Update]]
  ),
  TODAY()-Table3[[#This Row],[Date of Update]]
)&lt;=0,
TODAY()-Table3[[#This Row],[Date of Update]],
IFERROR(
  IF(
    COUNTIF(A$2:A$1997, A275) &gt; 1,
    MIN(IF(A$2:A$1997=A275, IF(B$2:B$1997&gt;B275, B$2:B$1997))) - B275,
    TODAY() - Table3[[#This Row],[Date of Update]]
  ),
  TODAY()-Table3[[#This Row],[Date of Update]]
)))</f>
        <v>30</v>
      </c>
      <c r="G275" s="7" t="str">
        <f>IF(Table3[[#This Row],[Stage]]="Closed",Table3[[#This Row],[Date of Update]]-(_xlfn.MINIFS(Table3[Date of Update],Table3[Ref], Table3[[#This Row],[Ref]])),"")</f>
        <v/>
      </c>
    </row>
    <row r="276" spans="1:7" x14ac:dyDescent="0.25">
      <c r="A276" s="4" t="s">
        <v>233</v>
      </c>
      <c r="B276" s="5">
        <v>44904</v>
      </c>
      <c r="C276" s="6" t="s">
        <v>8</v>
      </c>
      <c r="D276" s="6" t="s">
        <v>9</v>
      </c>
      <c r="E276" s="6" t="s">
        <v>234</v>
      </c>
      <c r="F276" s="6" cm="1">
        <f t="array" aca="1" ref="F276" ca="1">IF(Table3[[#This Row],[Stage]]="Closed",0,IF(IFERROR(
  IF(
    COUNTIF(A$2:A$1997, A276) &gt; 1,
    MIN(IF(A$2:A$1997=A276, IF(B$2:B$1997&gt;B276, B$2:B$1997))) - B276,
    TODAY() - Table3[[#This Row],[Date of Update]]
  ),
  TODAY()-Table3[[#This Row],[Date of Update]]
)&lt;=0,
TODAY()-Table3[[#This Row],[Date of Update]],
IFERROR(
  IF(
    COUNTIF(A$2:A$1997, A276) &gt; 1,
    MIN(IF(A$2:A$1997=A276, IF(B$2:B$1997&gt;B276, B$2:B$1997))) - B276,
    TODAY() - Table3[[#This Row],[Date of Update]]
  ),
  TODAY()-Table3[[#This Row],[Date of Update]]
)))</f>
        <v>132</v>
      </c>
      <c r="G276" s="7" t="str">
        <f>IF(Table3[[#This Row],[Stage]]="Closed",Table3[[#This Row],[Date of Update]]-(_xlfn.MINIFS(Table3[Date of Update],Table3[Ref], Table3[[#This Row],[Ref]])),"")</f>
        <v/>
      </c>
    </row>
    <row r="277" spans="1:7" x14ac:dyDescent="0.25">
      <c r="A277" s="4" t="s">
        <v>235</v>
      </c>
      <c r="B277" s="5">
        <v>44908</v>
      </c>
      <c r="C277" s="6" t="s">
        <v>8</v>
      </c>
      <c r="D277" s="6" t="s">
        <v>9</v>
      </c>
      <c r="E277" s="6" t="s">
        <v>236</v>
      </c>
      <c r="F277" s="6" cm="1">
        <f t="array" aca="1" ref="F277" ca="1">IF(Table3[[#This Row],[Stage]]="Closed",0,IF(IFERROR(
  IF(
    COUNTIF(A$2:A$1997, A277) &gt; 1,
    MIN(IF(A$2:A$1997=A277, IF(B$2:B$1997&gt;B277, B$2:B$1997))) - B277,
    TODAY() - Table3[[#This Row],[Date of Update]]
  ),
  TODAY()-Table3[[#This Row],[Date of Update]]
)&lt;=0,
TODAY()-Table3[[#This Row],[Date of Update]],
IFERROR(
  IF(
    COUNTIF(A$2:A$1997, A277) &gt; 1,
    MIN(IF(A$2:A$1997=A277, IF(B$2:B$1997&gt;B277, B$2:B$1997))) - B277,
    TODAY() - Table3[[#This Row],[Date of Update]]
  ),
  TODAY()-Table3[[#This Row],[Date of Update]]
)))</f>
        <v>25</v>
      </c>
      <c r="G277" s="7" t="str">
        <f>IF(Table3[[#This Row],[Stage]]="Closed",Table3[[#This Row],[Date of Update]]-(_xlfn.MINIFS(Table3[Date of Update],Table3[Ref], Table3[[#This Row],[Ref]])),"")</f>
        <v/>
      </c>
    </row>
    <row r="278" spans="1:7" x14ac:dyDescent="0.25">
      <c r="A278" s="4" t="s">
        <v>237</v>
      </c>
      <c r="B278" s="5">
        <v>44908</v>
      </c>
      <c r="C278" s="6" t="s">
        <v>8</v>
      </c>
      <c r="D278" s="6" t="s">
        <v>9</v>
      </c>
      <c r="E278" s="6" t="s">
        <v>238</v>
      </c>
      <c r="F278" s="6" cm="1">
        <f t="array" aca="1" ref="F278" ca="1">IF(Table3[[#This Row],[Stage]]="Closed",0,IF(IFERROR(
  IF(
    COUNTIF(A$2:A$1997, A278) &gt; 1,
    MIN(IF(A$2:A$1997=A278, IF(B$2:B$1997&gt;B278, B$2:B$1997))) - B278,
    TODAY() - Table3[[#This Row],[Date of Update]]
  ),
  TODAY()-Table3[[#This Row],[Date of Update]]
)&lt;=0,
TODAY()-Table3[[#This Row],[Date of Update]],
IFERROR(
  IF(
    COUNTIF(A$2:A$1997, A278) &gt; 1,
    MIN(IF(A$2:A$1997=A278, IF(B$2:B$1997&gt;B278, B$2:B$1997))) - B278,
    TODAY() - Table3[[#This Row],[Date of Update]]
  ),
  TODAY()-Table3[[#This Row],[Date of Update]]
)))</f>
        <v>3</v>
      </c>
      <c r="G278" s="7" t="str">
        <f>IF(Table3[[#This Row],[Stage]]="Closed",Table3[[#This Row],[Date of Update]]-(_xlfn.MINIFS(Table3[Date of Update],Table3[Ref], Table3[[#This Row],[Ref]])),"")</f>
        <v/>
      </c>
    </row>
    <row r="279" spans="1:7" x14ac:dyDescent="0.25">
      <c r="A279" s="4" t="s">
        <v>198</v>
      </c>
      <c r="B279" s="5">
        <v>44909</v>
      </c>
      <c r="C279" s="6" t="s">
        <v>17</v>
      </c>
      <c r="D279" s="6" t="s">
        <v>9</v>
      </c>
      <c r="E279" s="6"/>
      <c r="F279" s="6" cm="1">
        <f t="array" aca="1" ref="F279" ca="1">IF(Table3[[#This Row],[Stage]]="Closed",0,IF(IFERROR(
  IF(
    COUNTIF(A$2:A$1997, A279) &gt; 1,
    MIN(IF(A$2:A$1997=A279, IF(B$2:B$1997&gt;B279, B$2:B$1997))) - B279,
    TODAY() - Table3[[#This Row],[Date of Update]]
  ),
  TODAY()-Table3[[#This Row],[Date of Update]]
)&lt;=0,
TODAY()-Table3[[#This Row],[Date of Update]],
IFERROR(
  IF(
    COUNTIF(A$2:A$1997, A279) &gt; 1,
    MIN(IF(A$2:A$1997=A279, IF(B$2:B$1997&gt;B279, B$2:B$1997))) - B279,
    TODAY() - Table3[[#This Row],[Date of Update]]
  ),
  TODAY()-Table3[[#This Row],[Date of Update]]
)))</f>
        <v>0</v>
      </c>
      <c r="G279" s="7">
        <f>IF(Table3[[#This Row],[Stage]]="Closed",Table3[[#This Row],[Date of Update]]-(_xlfn.MINIFS(Table3[Date of Update],Table3[Ref], Table3[[#This Row],[Ref]])),"")</f>
        <v>22</v>
      </c>
    </row>
    <row r="280" spans="1:7" x14ac:dyDescent="0.25">
      <c r="A280" s="4" t="s">
        <v>239</v>
      </c>
      <c r="B280" s="5">
        <v>44910</v>
      </c>
      <c r="C280" s="6" t="s">
        <v>8</v>
      </c>
      <c r="D280" s="6" t="s">
        <v>9</v>
      </c>
      <c r="E280" s="6" t="s">
        <v>240</v>
      </c>
      <c r="F280" s="6" cm="1">
        <f t="array" aca="1" ref="F280" ca="1">IF(Table3[[#This Row],[Stage]]="Closed",0,IF(IFERROR(
  IF(
    COUNTIF(A$2:A$1997, A280) &gt; 1,
    MIN(IF(A$2:A$1997=A280, IF(B$2:B$1997&gt;B280, B$2:B$1997))) - B280,
    TODAY() - Table3[[#This Row],[Date of Update]]
  ),
  TODAY()-Table3[[#This Row],[Date of Update]]
)&lt;=0,
TODAY()-Table3[[#This Row],[Date of Update]],
IFERROR(
  IF(
    COUNTIF(A$2:A$1997, A280) &gt; 1,
    MIN(IF(A$2:A$1997=A280, IF(B$2:B$1997&gt;B280, B$2:B$1997))) - B280,
    TODAY() - Table3[[#This Row],[Date of Update]]
  ),
  TODAY()-Table3[[#This Row],[Date of Update]]
)))</f>
        <v>30</v>
      </c>
      <c r="G280" s="7" t="str">
        <f>IF(Table3[[#This Row],[Stage]]="Closed",Table3[[#This Row],[Date of Update]]-(_xlfn.MINIFS(Table3[Date of Update],Table3[Ref], Table3[[#This Row],[Ref]])),"")</f>
        <v/>
      </c>
    </row>
    <row r="281" spans="1:7" x14ac:dyDescent="0.25">
      <c r="A281" s="4" t="s">
        <v>197</v>
      </c>
      <c r="B281" s="5">
        <v>44911</v>
      </c>
      <c r="C281" s="6" t="s">
        <v>17</v>
      </c>
      <c r="D281" s="6" t="s">
        <v>9</v>
      </c>
      <c r="E281" s="6" t="s">
        <v>106</v>
      </c>
      <c r="F281" s="6" cm="1">
        <f t="array" aca="1" ref="F281" ca="1">IF(Table3[[#This Row],[Stage]]="Closed",0,IF(IFERROR(
  IF(
    COUNTIF(A$2:A$1997, A281) &gt; 1,
    MIN(IF(A$2:A$1997=A281, IF(B$2:B$1997&gt;B281, B$2:B$1997))) - B281,
    TODAY() - Table3[[#This Row],[Date of Update]]
  ),
  TODAY()-Table3[[#This Row],[Date of Update]]
)&lt;=0,
TODAY()-Table3[[#This Row],[Date of Update]],
IFERROR(
  IF(
    COUNTIF(A$2:A$1997, A281) &gt; 1,
    MIN(IF(A$2:A$1997=A281, IF(B$2:B$1997&gt;B281, B$2:B$1997))) - B281,
    TODAY() - Table3[[#This Row],[Date of Update]]
  ),
  TODAY()-Table3[[#This Row],[Date of Update]]
)))</f>
        <v>0</v>
      </c>
      <c r="G281" s="7">
        <f>IF(Table3[[#This Row],[Stage]]="Closed",Table3[[#This Row],[Date of Update]]-(_xlfn.MINIFS(Table3[Date of Update],Table3[Ref], Table3[[#This Row],[Ref]])),"")</f>
        <v>24</v>
      </c>
    </row>
    <row r="282" spans="1:7" x14ac:dyDescent="0.25">
      <c r="A282" s="4" t="s">
        <v>241</v>
      </c>
      <c r="B282" s="5">
        <v>44911</v>
      </c>
      <c r="C282" s="6" t="s">
        <v>8</v>
      </c>
      <c r="D282" s="6" t="s">
        <v>9</v>
      </c>
      <c r="E282" s="6" t="s">
        <v>242</v>
      </c>
      <c r="F282" s="6" cm="1">
        <f t="array" aca="1" ref="F282" ca="1">IF(Table3[[#This Row],[Stage]]="Closed",0,IF(IFERROR(
  IF(
    COUNTIF(A$2:A$1997, A282) &gt; 1,
    MIN(IF(A$2:A$1997=A282, IF(B$2:B$1997&gt;B282, B$2:B$1997))) - B282,
    TODAY() - Table3[[#This Row],[Date of Update]]
  ),
  TODAY()-Table3[[#This Row],[Date of Update]]
)&lt;=0,
TODAY()-Table3[[#This Row],[Date of Update]],
IFERROR(
  IF(
    COUNTIF(A$2:A$1997, A282) &gt; 1,
    MIN(IF(A$2:A$1997=A282, IF(B$2:B$1997&gt;B282, B$2:B$1997))) - B282,
    TODAY() - Table3[[#This Row],[Date of Update]]
  ),
  TODAY()-Table3[[#This Row],[Date of Update]]
)))</f>
        <v>28</v>
      </c>
      <c r="G282" s="7" t="str">
        <f>IF(Table3[[#This Row],[Stage]]="Closed",Table3[[#This Row],[Date of Update]]-(_xlfn.MINIFS(Table3[Date of Update],Table3[Ref], Table3[[#This Row],[Ref]])),"")</f>
        <v/>
      </c>
    </row>
    <row r="283" spans="1:7" x14ac:dyDescent="0.25">
      <c r="A283" s="4" t="s">
        <v>237</v>
      </c>
      <c r="B283" s="5">
        <v>44911</v>
      </c>
      <c r="C283" s="6" t="s">
        <v>17</v>
      </c>
      <c r="D283" s="6" t="s">
        <v>9</v>
      </c>
      <c r="E283" s="6" t="s">
        <v>238</v>
      </c>
      <c r="F283" s="6" cm="1">
        <f t="array" aca="1" ref="F283" ca="1">IF(Table3[[#This Row],[Stage]]="Closed",0,IF(IFERROR(
  IF(
    COUNTIF(A$2:A$1997, A283) &gt; 1,
    MIN(IF(A$2:A$1997=A283, IF(B$2:B$1997&gt;B283, B$2:B$1997))) - B283,
    TODAY() - Table3[[#This Row],[Date of Update]]
  ),
  TODAY()-Table3[[#This Row],[Date of Update]]
)&lt;=0,
TODAY()-Table3[[#This Row],[Date of Update]],
IFERROR(
  IF(
    COUNTIF(A$2:A$1997, A283) &gt; 1,
    MIN(IF(A$2:A$1997=A283, IF(B$2:B$1997&gt;B283, B$2:B$1997))) - B283,
    TODAY() - Table3[[#This Row],[Date of Update]]
  ),
  TODAY()-Table3[[#This Row],[Date of Update]]
)))</f>
        <v>0</v>
      </c>
      <c r="G283" s="7">
        <f>IF(Table3[[#This Row],[Stage]]="Closed",Table3[[#This Row],[Date of Update]]-(_xlfn.MINIFS(Table3[Date of Update],Table3[Ref], Table3[[#This Row],[Ref]])),"")</f>
        <v>3</v>
      </c>
    </row>
    <row r="284" spans="1:7" x14ac:dyDescent="0.25">
      <c r="A284" s="4" t="s">
        <v>243</v>
      </c>
      <c r="B284" s="5">
        <v>44911</v>
      </c>
      <c r="C284" s="6" t="s">
        <v>8</v>
      </c>
      <c r="D284" s="6" t="s">
        <v>9</v>
      </c>
      <c r="E284" s="6" t="s">
        <v>244</v>
      </c>
      <c r="F284" s="6" cm="1">
        <f t="array" aca="1" ref="F284" ca="1">IF(Table3[[#This Row],[Stage]]="Closed",0,IF(IFERROR(
  IF(
    COUNTIF(A$2:A$1997, A284) &gt; 1,
    MIN(IF(A$2:A$1997=A284, IF(B$2:B$1997&gt;B284, B$2:B$1997))) - B284,
    TODAY() - Table3[[#This Row],[Date of Update]]
  ),
  TODAY()-Table3[[#This Row],[Date of Update]]
)&lt;=0,
TODAY()-Table3[[#This Row],[Date of Update]],
IFERROR(
  IF(
    COUNTIF(A$2:A$1997, A284) &gt; 1,
    MIN(IF(A$2:A$1997=A284, IF(B$2:B$1997&gt;B284, B$2:B$1997))) - B284,
    TODAY() - Table3[[#This Row],[Date of Update]]
  ),
  TODAY()-Table3[[#This Row],[Date of Update]]
)))</f>
        <v>25</v>
      </c>
      <c r="G284" s="7" t="str">
        <f>IF(Table3[[#This Row],[Stage]]="Closed",Table3[[#This Row],[Date of Update]]-(_xlfn.MINIFS(Table3[Date of Update],Table3[Ref], Table3[[#This Row],[Ref]])),"")</f>
        <v/>
      </c>
    </row>
    <row r="285" spans="1:7" x14ac:dyDescent="0.25">
      <c r="A285" s="4" t="s">
        <v>192</v>
      </c>
      <c r="B285" s="5">
        <v>44911</v>
      </c>
      <c r="C285" s="6" t="s">
        <v>17</v>
      </c>
      <c r="D285" s="6" t="s">
        <v>9</v>
      </c>
      <c r="E285" s="6" t="s">
        <v>106</v>
      </c>
      <c r="F285" s="6" cm="1">
        <f t="array" aca="1" ref="F285" ca="1">IF(Table3[[#This Row],[Stage]]="Closed",0,IF(IFERROR(
  IF(
    COUNTIF(A$2:A$1997, A285) &gt; 1,
    MIN(IF(A$2:A$1997=A285, IF(B$2:B$1997&gt;B285, B$2:B$1997))) - B285,
    TODAY() - Table3[[#This Row],[Date of Update]]
  ),
  TODAY()-Table3[[#This Row],[Date of Update]]
)&lt;=0,
TODAY()-Table3[[#This Row],[Date of Update]],
IFERROR(
  IF(
    COUNTIF(A$2:A$1997, A285) &gt; 1,
    MIN(IF(A$2:A$1997=A285, IF(B$2:B$1997&gt;B285, B$2:B$1997))) - B285,
    TODAY() - Table3[[#This Row],[Date of Update]]
  ),
  TODAY()-Table3[[#This Row],[Date of Update]]
)))</f>
        <v>0</v>
      </c>
      <c r="G285" s="7">
        <f>IF(Table3[[#This Row],[Stage]]="Closed",Table3[[#This Row],[Date of Update]]-(_xlfn.MINIFS(Table3[Date of Update],Table3[Ref], Table3[[#This Row],[Ref]])),"")</f>
        <v>30</v>
      </c>
    </row>
    <row r="286" spans="1:7" x14ac:dyDescent="0.25">
      <c r="A286" s="4" t="s">
        <v>188</v>
      </c>
      <c r="B286" s="5">
        <v>44911</v>
      </c>
      <c r="C286" s="6" t="s">
        <v>17</v>
      </c>
      <c r="D286" s="6" t="s">
        <v>9</v>
      </c>
      <c r="E286" s="6" t="s">
        <v>106</v>
      </c>
      <c r="F286" s="6" cm="1">
        <f t="array" aca="1" ref="F286" ca="1">IF(Table3[[#This Row],[Stage]]="Closed",0,IF(IFERROR(
  IF(
    COUNTIF(A$2:A$1997, A286) &gt; 1,
    MIN(IF(A$2:A$1997=A286, IF(B$2:B$1997&gt;B286, B$2:B$1997))) - B286,
    TODAY() - Table3[[#This Row],[Date of Update]]
  ),
  TODAY()-Table3[[#This Row],[Date of Update]]
)&lt;=0,
TODAY()-Table3[[#This Row],[Date of Update]],
IFERROR(
  IF(
    COUNTIF(A$2:A$1997, A286) &gt; 1,
    MIN(IF(A$2:A$1997=A286, IF(B$2:B$1997&gt;B286, B$2:B$1997))) - B286,
    TODAY() - Table3[[#This Row],[Date of Update]]
  ),
  TODAY()-Table3[[#This Row],[Date of Update]]
)))</f>
        <v>0</v>
      </c>
      <c r="G286" s="7">
        <f>IF(Table3[[#This Row],[Stage]]="Closed",Table3[[#This Row],[Date of Update]]-(_xlfn.MINIFS(Table3[Date of Update],Table3[Ref], Table3[[#This Row],[Ref]])),"")</f>
        <v>49</v>
      </c>
    </row>
    <row r="287" spans="1:7" x14ac:dyDescent="0.25">
      <c r="A287" s="4" t="s">
        <v>193</v>
      </c>
      <c r="B287" s="5">
        <v>44911</v>
      </c>
      <c r="C287" s="6" t="s">
        <v>17</v>
      </c>
      <c r="D287" s="6" t="s">
        <v>9</v>
      </c>
      <c r="E287" s="6" t="s">
        <v>194</v>
      </c>
      <c r="F287" s="6" cm="1">
        <f t="array" aca="1" ref="F287" ca="1">IF(Table3[[#This Row],[Stage]]="Closed",0,IF(IFERROR(
  IF(
    COUNTIF(A$2:A$1997, A287) &gt; 1,
    MIN(IF(A$2:A$1997=A287, IF(B$2:B$1997&gt;B287, B$2:B$1997))) - B287,
    TODAY() - Table3[[#This Row],[Date of Update]]
  ),
  TODAY()-Table3[[#This Row],[Date of Update]]
)&lt;=0,
TODAY()-Table3[[#This Row],[Date of Update]],
IFERROR(
  IF(
    COUNTIF(A$2:A$1997, A287) &gt; 1,
    MIN(IF(A$2:A$1997=A287, IF(B$2:B$1997&gt;B287, B$2:B$1997))) - B287,
    TODAY() - Table3[[#This Row],[Date of Update]]
  ),
  TODAY()-Table3[[#This Row],[Date of Update]]
)))</f>
        <v>0</v>
      </c>
      <c r="G287" s="7">
        <f>IF(Table3[[#This Row],[Stage]]="Closed",Table3[[#This Row],[Date of Update]]-(_xlfn.MINIFS(Table3[Date of Update],Table3[Ref], Table3[[#This Row],[Ref]])),"")</f>
        <v>30</v>
      </c>
    </row>
    <row r="288" spans="1:7" x14ac:dyDescent="0.25">
      <c r="A288" s="4" t="s">
        <v>211</v>
      </c>
      <c r="B288" s="5">
        <v>44914</v>
      </c>
      <c r="C288" s="6" t="s">
        <v>17</v>
      </c>
      <c r="D288" s="6" t="s">
        <v>9</v>
      </c>
      <c r="E288" s="6" t="s">
        <v>212</v>
      </c>
      <c r="F288" s="6" cm="1">
        <f t="array" aca="1" ref="F288" ca="1">IF(Table3[[#This Row],[Stage]]="Closed",0,IF(IFERROR(
  IF(
    COUNTIF(A$2:A$1997, A288) &gt; 1,
    MIN(IF(A$2:A$1997=A288, IF(B$2:B$1997&gt;B288, B$2:B$1997))) - B288,
    TODAY() - Table3[[#This Row],[Date of Update]]
  ),
  TODAY()-Table3[[#This Row],[Date of Update]]
)&lt;=0,
TODAY()-Table3[[#This Row],[Date of Update]],
IFERROR(
  IF(
    COUNTIF(A$2:A$1997, A288) &gt; 1,
    MIN(IF(A$2:A$1997=A288, IF(B$2:B$1997&gt;B288, B$2:B$1997))) - B288,
    TODAY() - Table3[[#This Row],[Date of Update]]
  ),
  TODAY()-Table3[[#This Row],[Date of Update]]
)))</f>
        <v>0</v>
      </c>
      <c r="G288" s="7">
        <f>IF(Table3[[#This Row],[Stage]]="Closed",Table3[[#This Row],[Date of Update]]-(_xlfn.MINIFS(Table3[Date of Update],Table3[Ref], Table3[[#This Row],[Ref]])),"")</f>
        <v>24</v>
      </c>
    </row>
    <row r="289" spans="1:7" x14ac:dyDescent="0.25">
      <c r="A289" s="4" t="s">
        <v>189</v>
      </c>
      <c r="B289" s="5">
        <v>44914</v>
      </c>
      <c r="C289" s="6" t="s">
        <v>17</v>
      </c>
      <c r="D289" s="6" t="s">
        <v>9</v>
      </c>
      <c r="E289" s="6"/>
      <c r="F289" s="6" cm="1">
        <f t="array" aca="1" ref="F289" ca="1">IF(Table3[[#This Row],[Stage]]="Closed",0,IF(IFERROR(
  IF(
    COUNTIF(A$2:A$1997, A289) &gt; 1,
    MIN(IF(A$2:A$1997=A289, IF(B$2:B$1997&gt;B289, B$2:B$1997))) - B289,
    TODAY() - Table3[[#This Row],[Date of Update]]
  ),
  TODAY()-Table3[[#This Row],[Date of Update]]
)&lt;=0,
TODAY()-Table3[[#This Row],[Date of Update]],
IFERROR(
  IF(
    COUNTIF(A$2:A$1997, A289) &gt; 1,
    MIN(IF(A$2:A$1997=A289, IF(B$2:B$1997&gt;B289, B$2:B$1997))) - B289,
    TODAY() - Table3[[#This Row],[Date of Update]]
  ),
  TODAY()-Table3[[#This Row],[Date of Update]]
)))</f>
        <v>0</v>
      </c>
      <c r="G289" s="7">
        <f>IF(Table3[[#This Row],[Stage]]="Closed",Table3[[#This Row],[Date of Update]]-(_xlfn.MINIFS(Table3[Date of Update],Table3[Ref], Table3[[#This Row],[Ref]])),"")</f>
        <v>46</v>
      </c>
    </row>
    <row r="290" spans="1:7" x14ac:dyDescent="0.25">
      <c r="A290" s="4" t="s">
        <v>133</v>
      </c>
      <c r="B290" s="5">
        <v>44914</v>
      </c>
      <c r="C290" s="6" t="s">
        <v>17</v>
      </c>
      <c r="D290" s="6" t="s">
        <v>9</v>
      </c>
      <c r="E290" s="6" t="s">
        <v>134</v>
      </c>
      <c r="F290" s="6" cm="1">
        <f t="array" aca="1" ref="F290" ca="1">IF(Table3[[#This Row],[Stage]]="Closed",0,IF(IFERROR(
  IF(
    COUNTIF(A$2:A$1997, A290) &gt; 1,
    MIN(IF(A$2:A$1997=A290, IF(B$2:B$1997&gt;B290, B$2:B$1997))) - B290,
    TODAY() - Table3[[#This Row],[Date of Update]]
  ),
  TODAY()-Table3[[#This Row],[Date of Update]]
)&lt;=0,
TODAY()-Table3[[#This Row],[Date of Update]],
IFERROR(
  IF(
    COUNTIF(A$2:A$1997, A290) &gt; 1,
    MIN(IF(A$2:A$1997=A290, IF(B$2:B$1997&gt;B290, B$2:B$1997))) - B290,
    TODAY() - Table3[[#This Row],[Date of Update]]
  ),
  TODAY()-Table3[[#This Row],[Date of Update]]
)))</f>
        <v>0</v>
      </c>
      <c r="G290" s="7">
        <f>IF(Table3[[#This Row],[Stage]]="Closed",Table3[[#This Row],[Date of Update]]-(_xlfn.MINIFS(Table3[Date of Update],Table3[Ref], Table3[[#This Row],[Ref]])),"")</f>
        <v>132</v>
      </c>
    </row>
    <row r="291" spans="1:7" x14ac:dyDescent="0.25">
      <c r="A291" s="4" t="s">
        <v>135</v>
      </c>
      <c r="B291" s="5">
        <v>44914</v>
      </c>
      <c r="C291" s="6" t="s">
        <v>17</v>
      </c>
      <c r="D291" s="6" t="s">
        <v>9</v>
      </c>
      <c r="E291" s="6" t="s">
        <v>136</v>
      </c>
      <c r="F291" s="6" cm="1">
        <f t="array" aca="1" ref="F291" ca="1">IF(Table3[[#This Row],[Stage]]="Closed",0,IF(IFERROR(
  IF(
    COUNTIF(A$2:A$1997, A291) &gt; 1,
    MIN(IF(A$2:A$1997=A291, IF(B$2:B$1997&gt;B291, B$2:B$1997))) - B291,
    TODAY() - Table3[[#This Row],[Date of Update]]
  ),
  TODAY()-Table3[[#This Row],[Date of Update]]
)&lt;=0,
TODAY()-Table3[[#This Row],[Date of Update]],
IFERROR(
  IF(
    COUNTIF(A$2:A$1997, A291) &gt; 1,
    MIN(IF(A$2:A$1997=A291, IF(B$2:B$1997&gt;B291, B$2:B$1997))) - B291,
    TODAY() - Table3[[#This Row],[Date of Update]]
  ),
  TODAY()-Table3[[#This Row],[Date of Update]]
)))</f>
        <v>0</v>
      </c>
      <c r="G291" s="7">
        <f>IF(Table3[[#This Row],[Stage]]="Closed",Table3[[#This Row],[Date of Update]]-(_xlfn.MINIFS(Table3[Date of Update],Table3[Ref], Table3[[#This Row],[Ref]])),"")</f>
        <v>132</v>
      </c>
    </row>
    <row r="292" spans="1:7" x14ac:dyDescent="0.25">
      <c r="A292" s="4" t="s">
        <v>157</v>
      </c>
      <c r="B292" s="5">
        <v>44914</v>
      </c>
      <c r="C292" s="6" t="s">
        <v>17</v>
      </c>
      <c r="D292" s="6" t="s">
        <v>9</v>
      </c>
      <c r="E292" s="6" t="s">
        <v>158</v>
      </c>
      <c r="F292" s="6" cm="1">
        <f t="array" aca="1" ref="F292" ca="1">IF(Table3[[#This Row],[Stage]]="Closed",0,IF(IFERROR(
  IF(
    COUNTIF(A$2:A$1997, A292) &gt; 1,
    MIN(IF(A$2:A$1997=A292, IF(B$2:B$1997&gt;B292, B$2:B$1997))) - B292,
    TODAY() - Table3[[#This Row],[Date of Update]]
  ),
  TODAY()-Table3[[#This Row],[Date of Update]]
)&lt;=0,
TODAY()-Table3[[#This Row],[Date of Update]],
IFERROR(
  IF(
    COUNTIF(A$2:A$1997, A292) &gt; 1,
    MIN(IF(A$2:A$1997=A292, IF(B$2:B$1997&gt;B292, B$2:B$1997))) - B292,
    TODAY() - Table3[[#This Row],[Date of Update]]
  ),
  TODAY()-Table3[[#This Row],[Date of Update]]
)))</f>
        <v>0</v>
      </c>
      <c r="G292" s="7">
        <f>IF(Table3[[#This Row],[Stage]]="Closed",Table3[[#This Row],[Date of Update]]-(_xlfn.MINIFS(Table3[Date of Update],Table3[Ref], Table3[[#This Row],[Ref]])),"")</f>
        <v>94</v>
      </c>
    </row>
    <row r="293" spans="1:7" x14ac:dyDescent="0.25">
      <c r="A293" s="4" t="s">
        <v>141</v>
      </c>
      <c r="B293" s="5">
        <v>44914</v>
      </c>
      <c r="C293" s="6" t="s">
        <v>17</v>
      </c>
      <c r="D293" s="6" t="s">
        <v>9</v>
      </c>
      <c r="E293" s="6" t="s">
        <v>142</v>
      </c>
      <c r="F293" s="6" cm="1">
        <f t="array" aca="1" ref="F293" ca="1">IF(Table3[[#This Row],[Stage]]="Closed",0,IF(IFERROR(
  IF(
    COUNTIF(A$2:A$1997, A293) &gt; 1,
    MIN(IF(A$2:A$1997=A293, IF(B$2:B$1997&gt;B293, B$2:B$1997))) - B293,
    TODAY() - Table3[[#This Row],[Date of Update]]
  ),
  TODAY()-Table3[[#This Row],[Date of Update]]
)&lt;=0,
TODAY()-Table3[[#This Row],[Date of Update]],
IFERROR(
  IF(
    COUNTIF(A$2:A$1997, A293) &gt; 1,
    MIN(IF(A$2:A$1997=A293, IF(B$2:B$1997&gt;B293, B$2:B$1997))) - B293,
    TODAY() - Table3[[#This Row],[Date of Update]]
  ),
  TODAY()-Table3[[#This Row],[Date of Update]]
)))</f>
        <v>0</v>
      </c>
      <c r="G293" s="7">
        <f>IF(Table3[[#This Row],[Stage]]="Closed",Table3[[#This Row],[Date of Update]]-(_xlfn.MINIFS(Table3[Date of Update],Table3[Ref], Table3[[#This Row],[Ref]])),"")</f>
        <v>130</v>
      </c>
    </row>
    <row r="294" spans="1:7" x14ac:dyDescent="0.25">
      <c r="A294" s="4" t="s">
        <v>245</v>
      </c>
      <c r="B294" s="5">
        <v>44915</v>
      </c>
      <c r="C294" s="6" t="s">
        <v>8</v>
      </c>
      <c r="D294" s="6" t="s">
        <v>9</v>
      </c>
      <c r="E294" s="6" t="s">
        <v>244</v>
      </c>
      <c r="F294" s="6" cm="1">
        <f t="array" aca="1" ref="F294" ca="1">IF(Table3[[#This Row],[Stage]]="Closed",0,IF(IFERROR(
  IF(
    COUNTIF(A$2:A$1997, A294) &gt; 1,
    MIN(IF(A$2:A$1997=A294, IF(B$2:B$1997&gt;B294, B$2:B$1997))) - B294,
    TODAY() - Table3[[#This Row],[Date of Update]]
  ),
  TODAY()-Table3[[#This Row],[Date of Update]]
)&lt;=0,
TODAY()-Table3[[#This Row],[Date of Update]],
IFERROR(
  IF(
    COUNTIF(A$2:A$1997, A294) &gt; 1,
    MIN(IF(A$2:A$1997=A294, IF(B$2:B$1997&gt;B294, B$2:B$1997))) - B294,
    TODAY() - Table3[[#This Row],[Date of Update]]
  ),
  TODAY()-Table3[[#This Row],[Date of Update]]
)))</f>
        <v>21</v>
      </c>
      <c r="G294" s="7" t="str">
        <f>IF(Table3[[#This Row],[Stage]]="Closed",Table3[[#This Row],[Date of Update]]-(_xlfn.MINIFS(Table3[Date of Update],Table3[Ref], Table3[[#This Row],[Ref]])),"")</f>
        <v/>
      </c>
    </row>
    <row r="295" spans="1:7" x14ac:dyDescent="0.25">
      <c r="A295" s="4" t="s">
        <v>246</v>
      </c>
      <c r="B295" s="5">
        <v>44915</v>
      </c>
      <c r="C295" s="6" t="s">
        <v>8</v>
      </c>
      <c r="D295" s="6" t="s">
        <v>9</v>
      </c>
      <c r="E295" s="6" t="s">
        <v>244</v>
      </c>
      <c r="F295" s="6" cm="1">
        <f t="array" aca="1" ref="F295" ca="1">IF(Table3[[#This Row],[Stage]]="Closed",0,IF(IFERROR(
  IF(
    COUNTIF(A$2:A$1997, A295) &gt; 1,
    MIN(IF(A$2:A$1997=A295, IF(B$2:B$1997&gt;B295, B$2:B$1997))) - B295,
    TODAY() - Table3[[#This Row],[Date of Update]]
  ),
  TODAY()-Table3[[#This Row],[Date of Update]]
)&lt;=0,
TODAY()-Table3[[#This Row],[Date of Update]],
IFERROR(
  IF(
    COUNTIF(A$2:A$1997, A295) &gt; 1,
    MIN(IF(A$2:A$1997=A295, IF(B$2:B$1997&gt;B295, B$2:B$1997))) - B295,
    TODAY() - Table3[[#This Row],[Date of Update]]
  ),
  TODAY()-Table3[[#This Row],[Date of Update]]
)))</f>
        <v>21</v>
      </c>
      <c r="G295" s="7" t="str">
        <f>IF(Table3[[#This Row],[Stage]]="Closed",Table3[[#This Row],[Date of Update]]-(_xlfn.MINIFS(Table3[Date of Update],Table3[Ref], Table3[[#This Row],[Ref]])),"")</f>
        <v/>
      </c>
    </row>
    <row r="296" spans="1:7" x14ac:dyDescent="0.25">
      <c r="A296" s="4" t="s">
        <v>247</v>
      </c>
      <c r="B296" s="5">
        <v>44917</v>
      </c>
      <c r="C296" s="6" t="s">
        <v>8</v>
      </c>
      <c r="D296" s="6" t="s">
        <v>9</v>
      </c>
      <c r="E296" s="6" t="s">
        <v>178</v>
      </c>
      <c r="F296" s="6" cm="1">
        <f t="array" aca="1" ref="F296" ca="1">IF(Table3[[#This Row],[Stage]]="Closed",0,IF(IFERROR(
  IF(
    COUNTIF(A$2:A$1997, A296) &gt; 1,
    MIN(IF(A$2:A$1997=A296, IF(B$2:B$1997&gt;B296, B$2:B$1997))) - B296,
    TODAY() - Table3[[#This Row],[Date of Update]]
  ),
  TODAY()-Table3[[#This Row],[Date of Update]]
)&lt;=0,
TODAY()-Table3[[#This Row],[Date of Update]],
IFERROR(
  IF(
    COUNTIF(A$2:A$1997, A296) &gt; 1,
    MIN(IF(A$2:A$1997=A296, IF(B$2:B$1997&gt;B296, B$2:B$1997))) - B296,
    TODAY() - Table3[[#This Row],[Date of Update]]
  ),
  TODAY()-Table3[[#This Row],[Date of Update]]
)))</f>
        <v>56</v>
      </c>
      <c r="G296" s="7" t="str">
        <f>IF(Table3[[#This Row],[Stage]]="Closed",Table3[[#This Row],[Date of Update]]-(_xlfn.MINIFS(Table3[Date of Update],Table3[Ref], Table3[[#This Row],[Ref]])),"")</f>
        <v/>
      </c>
    </row>
    <row r="297" spans="1:7" x14ac:dyDescent="0.25">
      <c r="A297" s="4" t="s">
        <v>248</v>
      </c>
      <c r="B297" s="5">
        <v>44917</v>
      </c>
      <c r="C297" s="6" t="s">
        <v>8</v>
      </c>
      <c r="D297" s="6" t="s">
        <v>9</v>
      </c>
      <c r="E297" s="6" t="s">
        <v>80</v>
      </c>
      <c r="F297" s="6" cm="1">
        <f t="array" aca="1" ref="F297" ca="1">IF(Table3[[#This Row],[Stage]]="Closed",0,IF(IFERROR(
  IF(
    COUNTIF(A$2:A$1997, A297) &gt; 1,
    MIN(IF(A$2:A$1997=A297, IF(B$2:B$1997&gt;B297, B$2:B$1997))) - B297,
    TODAY() - Table3[[#This Row],[Date of Update]]
  ),
  TODAY()-Table3[[#This Row],[Date of Update]]
)&lt;=0,
TODAY()-Table3[[#This Row],[Date of Update]],
IFERROR(
  IF(
    COUNTIF(A$2:A$1997, A297) &gt; 1,
    MIN(IF(A$2:A$1997=A297, IF(B$2:B$1997&gt;B297, B$2:B$1997))) - B297,
    TODAY() - Table3[[#This Row],[Date of Update]]
  ),
  TODAY()-Table3[[#This Row],[Date of Update]]
)))</f>
        <v>16</v>
      </c>
      <c r="G297" s="7" t="str">
        <f>IF(Table3[[#This Row],[Stage]]="Closed",Table3[[#This Row],[Date of Update]]-(_xlfn.MINIFS(Table3[Date of Update],Table3[Ref], Table3[[#This Row],[Ref]])),"")</f>
        <v/>
      </c>
    </row>
    <row r="298" spans="1:7" x14ac:dyDescent="0.25">
      <c r="A298" s="4" t="s">
        <v>199</v>
      </c>
      <c r="B298" s="5">
        <v>44918</v>
      </c>
      <c r="C298" s="6" t="s">
        <v>17</v>
      </c>
      <c r="D298" s="6" t="s">
        <v>9</v>
      </c>
      <c r="E298" s="6" t="s">
        <v>200</v>
      </c>
      <c r="F298" s="6" cm="1">
        <f t="array" aca="1" ref="F298" ca="1">IF(Table3[[#This Row],[Stage]]="Closed",0,IF(IFERROR(
  IF(
    COUNTIF(A$2:A$1997, A298) &gt; 1,
    MIN(IF(A$2:A$1997=A298, IF(B$2:B$1997&gt;B298, B$2:B$1997))) - B298,
    TODAY() - Table3[[#This Row],[Date of Update]]
  ),
  TODAY()-Table3[[#This Row],[Date of Update]]
)&lt;=0,
TODAY()-Table3[[#This Row],[Date of Update]],
IFERROR(
  IF(
    COUNTIF(A$2:A$1997, A298) &gt; 1,
    MIN(IF(A$2:A$1997=A298, IF(B$2:B$1997&gt;B298, B$2:B$1997))) - B298,
    TODAY() - Table3[[#This Row],[Date of Update]]
  ),
  TODAY()-Table3[[#This Row],[Date of Update]]
)))</f>
        <v>0</v>
      </c>
      <c r="G298" s="7">
        <f>IF(Table3[[#This Row],[Stage]]="Closed",Table3[[#This Row],[Date of Update]]-(_xlfn.MINIFS(Table3[Date of Update],Table3[Ref], Table3[[#This Row],[Ref]])),"")</f>
        <v>30</v>
      </c>
    </row>
    <row r="299" spans="1:7" x14ac:dyDescent="0.25">
      <c r="A299" s="4" t="s">
        <v>249</v>
      </c>
      <c r="B299" s="5">
        <v>44918</v>
      </c>
      <c r="C299" s="6" t="s">
        <v>8</v>
      </c>
      <c r="D299" s="6" t="s">
        <v>9</v>
      </c>
      <c r="E299" s="6" t="s">
        <v>250</v>
      </c>
      <c r="F299" s="6" cm="1">
        <f t="array" aca="1" ref="F299" ca="1">IF(Table3[[#This Row],[Stage]]="Closed",0,IF(IFERROR(
  IF(
    COUNTIF(A$2:A$1997, A299) &gt; 1,
    MIN(IF(A$2:A$1997=A299, IF(B$2:B$1997&gt;B299, B$2:B$1997))) - B299,
    TODAY() - Table3[[#This Row],[Date of Update]]
  ),
  TODAY()-Table3[[#This Row],[Date of Update]]
)&lt;=0,
TODAY()-Table3[[#This Row],[Date of Update]],
IFERROR(
  IF(
    COUNTIF(A$2:A$1997, A299) &gt; 1,
    MIN(IF(A$2:A$1997=A299, IF(B$2:B$1997&gt;B299, B$2:B$1997))) - B299,
    TODAY() - Table3[[#This Row],[Date of Update]]
  ),
  TODAY()-Table3[[#This Row],[Date of Update]]
)))</f>
        <v>63</v>
      </c>
      <c r="G299" s="7" t="str">
        <f>IF(Table3[[#This Row],[Stage]]="Closed",Table3[[#This Row],[Date of Update]]-(_xlfn.MINIFS(Table3[Date of Update],Table3[Ref], Table3[[#This Row],[Ref]])),"")</f>
        <v/>
      </c>
    </row>
    <row r="300" spans="1:7" x14ac:dyDescent="0.25">
      <c r="A300" s="4" t="s">
        <v>251</v>
      </c>
      <c r="B300" s="5">
        <v>44918</v>
      </c>
      <c r="C300" s="6" t="s">
        <v>8</v>
      </c>
      <c r="D300" s="6" t="s">
        <v>9</v>
      </c>
      <c r="E300" s="6" t="s">
        <v>252</v>
      </c>
      <c r="F300" s="6" cm="1">
        <f t="array" aca="1" ref="F300" ca="1">IF(Table3[[#This Row],[Stage]]="Closed",0,IF(IFERROR(
  IF(
    COUNTIF(A$2:A$1997, A300) &gt; 1,
    MIN(IF(A$2:A$1997=A300, IF(B$2:B$1997&gt;B300, B$2:B$1997))) - B300,
    TODAY() - Table3[[#This Row],[Date of Update]]
  ),
  TODAY()-Table3[[#This Row],[Date of Update]]
)&lt;=0,
TODAY()-Table3[[#This Row],[Date of Update]],
IFERROR(
  IF(
    COUNTIF(A$2:A$1997, A300) &gt; 1,
    MIN(IF(A$2:A$1997=A300, IF(B$2:B$1997&gt;B300, B$2:B$1997))) - B300,
    TODAY() - Table3[[#This Row],[Date of Update]]
  ),
  TODAY()-Table3[[#This Row],[Date of Update]]
)))</f>
        <v>328</v>
      </c>
      <c r="G300" s="7" t="str">
        <f>IF(Table3[[#This Row],[Stage]]="Closed",Table3[[#This Row],[Date of Update]]-(_xlfn.MINIFS(Table3[Date of Update],Table3[Ref], Table3[[#This Row],[Ref]])),"")</f>
        <v/>
      </c>
    </row>
    <row r="301" spans="1:7" x14ac:dyDescent="0.25">
      <c r="A301" s="4" t="s">
        <v>190</v>
      </c>
      <c r="B301" s="5">
        <v>44918</v>
      </c>
      <c r="C301" s="6" t="s">
        <v>17</v>
      </c>
      <c r="D301" s="6" t="s">
        <v>9</v>
      </c>
      <c r="E301" s="6" t="s">
        <v>191</v>
      </c>
      <c r="F301" s="6" cm="1">
        <f t="array" aca="1" ref="F301" ca="1">IF(Table3[[#This Row],[Stage]]="Closed",0,IF(IFERROR(
  IF(
    COUNTIF(A$2:A$1997, A301) &gt; 1,
    MIN(IF(A$2:A$1997=A301, IF(B$2:B$1997&gt;B301, B$2:B$1997))) - B301,
    TODAY() - Table3[[#This Row],[Date of Update]]
  ),
  TODAY()-Table3[[#This Row],[Date of Update]]
)&lt;=0,
TODAY()-Table3[[#This Row],[Date of Update]],
IFERROR(
  IF(
    COUNTIF(A$2:A$1997, A301) &gt; 1,
    MIN(IF(A$2:A$1997=A301, IF(B$2:B$1997&gt;B301, B$2:B$1997))) - B301,
    TODAY() - Table3[[#This Row],[Date of Update]]
  ),
  TODAY()-Table3[[#This Row],[Date of Update]]
)))</f>
        <v>0</v>
      </c>
      <c r="G301" s="7">
        <f>IF(Table3[[#This Row],[Stage]]="Closed",Table3[[#This Row],[Date of Update]]-(_xlfn.MINIFS(Table3[Date of Update],Table3[Ref], Table3[[#This Row],[Ref]])),"")</f>
        <v>44</v>
      </c>
    </row>
    <row r="302" spans="1:7" x14ac:dyDescent="0.25">
      <c r="A302" s="4" t="s">
        <v>204</v>
      </c>
      <c r="B302" s="5">
        <v>44919</v>
      </c>
      <c r="C302" s="6" t="s">
        <v>17</v>
      </c>
      <c r="D302" s="6" t="s">
        <v>9</v>
      </c>
      <c r="E302" s="6" t="s">
        <v>80</v>
      </c>
      <c r="F302" s="6" cm="1">
        <f t="array" aca="1" ref="F302" ca="1">IF(Table3[[#This Row],[Stage]]="Closed",0,IF(IFERROR(
  IF(
    COUNTIF(A$2:A$1997, A302) &gt; 1,
    MIN(IF(A$2:A$1997=A302, IF(B$2:B$1997&gt;B302, B$2:B$1997))) - B302,
    TODAY() - Table3[[#This Row],[Date of Update]]
  ),
  TODAY()-Table3[[#This Row],[Date of Update]]
)&lt;=0,
TODAY()-Table3[[#This Row],[Date of Update]],
IFERROR(
  IF(
    COUNTIF(A$2:A$1997, A302) &gt; 1,
    MIN(IF(A$2:A$1997=A302, IF(B$2:B$1997&gt;B302, B$2:B$1997))) - B302,
    TODAY() - Table3[[#This Row],[Date of Update]]
  ),
  TODAY()-Table3[[#This Row],[Date of Update]]
)))</f>
        <v>0</v>
      </c>
      <c r="G302" s="7">
        <f>IF(Table3[[#This Row],[Stage]]="Closed",Table3[[#This Row],[Date of Update]]-(_xlfn.MINIFS(Table3[Date of Update],Table3[Ref], Table3[[#This Row],[Ref]])),"")</f>
        <v>30</v>
      </c>
    </row>
    <row r="303" spans="1:7" x14ac:dyDescent="0.25">
      <c r="A303" s="4" t="s">
        <v>205</v>
      </c>
      <c r="B303" s="5">
        <v>44919</v>
      </c>
      <c r="C303" s="6" t="s">
        <v>17</v>
      </c>
      <c r="D303" s="6" t="s">
        <v>9</v>
      </c>
      <c r="E303" s="6" t="s">
        <v>106</v>
      </c>
      <c r="F303" s="6" cm="1">
        <f t="array" aca="1" ref="F303" ca="1">IF(Table3[[#This Row],[Stage]]="Closed",0,IF(IFERROR(
  IF(
    COUNTIF(A$2:A$1997, A303) &gt; 1,
    MIN(IF(A$2:A$1997=A303, IF(B$2:B$1997&gt;B303, B$2:B$1997))) - B303,
    TODAY() - Table3[[#This Row],[Date of Update]]
  ),
  TODAY()-Table3[[#This Row],[Date of Update]]
)&lt;=0,
TODAY()-Table3[[#This Row],[Date of Update]],
IFERROR(
  IF(
    COUNTIF(A$2:A$1997, A303) &gt; 1,
    MIN(IF(A$2:A$1997=A303, IF(B$2:B$1997&gt;B303, B$2:B$1997))) - B303,
    TODAY() - Table3[[#This Row],[Date of Update]]
  ),
  TODAY()-Table3[[#This Row],[Date of Update]]
)))</f>
        <v>0</v>
      </c>
      <c r="G303" s="7">
        <f>IF(Table3[[#This Row],[Stage]]="Closed",Table3[[#This Row],[Date of Update]]-(_xlfn.MINIFS(Table3[Date of Update],Table3[Ref], Table3[[#This Row],[Ref]])),"")</f>
        <v>30</v>
      </c>
    </row>
    <row r="304" spans="1:7" x14ac:dyDescent="0.25">
      <c r="A304" s="4" t="s">
        <v>209</v>
      </c>
      <c r="B304" s="5">
        <v>44919</v>
      </c>
      <c r="C304" s="6" t="s">
        <v>17</v>
      </c>
      <c r="D304" s="6" t="s">
        <v>9</v>
      </c>
      <c r="E304" s="6" t="s">
        <v>106</v>
      </c>
      <c r="F304" s="6" cm="1">
        <f t="array" aca="1" ref="F304" ca="1">IF(Table3[[#This Row],[Stage]]="Closed",0,IF(IFERROR(
  IF(
    COUNTIF(A$2:A$1997, A304) &gt; 1,
    MIN(IF(A$2:A$1997=A304, IF(B$2:B$1997&gt;B304, B$2:B$1997))) - B304,
    TODAY() - Table3[[#This Row],[Date of Update]]
  ),
  TODAY()-Table3[[#This Row],[Date of Update]]
)&lt;=0,
TODAY()-Table3[[#This Row],[Date of Update]],
IFERROR(
  IF(
    COUNTIF(A$2:A$1997, A304) &gt; 1,
    MIN(IF(A$2:A$1997=A304, IF(B$2:B$1997&gt;B304, B$2:B$1997))) - B304,
    TODAY() - Table3[[#This Row],[Date of Update]]
  ),
  TODAY()-Table3[[#This Row],[Date of Update]]
)))</f>
        <v>0</v>
      </c>
      <c r="G304" s="7">
        <f>IF(Table3[[#This Row],[Stage]]="Closed",Table3[[#This Row],[Date of Update]]-(_xlfn.MINIFS(Table3[Date of Update],Table3[Ref], Table3[[#This Row],[Ref]])),"")</f>
        <v>30</v>
      </c>
    </row>
    <row r="305" spans="1:7" x14ac:dyDescent="0.25">
      <c r="A305" s="4" t="s">
        <v>210</v>
      </c>
      <c r="B305" s="5">
        <v>44919</v>
      </c>
      <c r="C305" s="6" t="s">
        <v>17</v>
      </c>
      <c r="D305" s="6" t="s">
        <v>9</v>
      </c>
      <c r="E305" s="6" t="s">
        <v>106</v>
      </c>
      <c r="F305" s="6" cm="1">
        <f t="array" aca="1" ref="F305" ca="1">IF(Table3[[#This Row],[Stage]]="Closed",0,IF(IFERROR(
  IF(
    COUNTIF(A$2:A$1997, A305) &gt; 1,
    MIN(IF(A$2:A$1997=A305, IF(B$2:B$1997&gt;B305, B$2:B$1997))) - B305,
    TODAY() - Table3[[#This Row],[Date of Update]]
  ),
  TODAY()-Table3[[#This Row],[Date of Update]]
)&lt;=0,
TODAY()-Table3[[#This Row],[Date of Update]],
IFERROR(
  IF(
    COUNTIF(A$2:A$1997, A305) &gt; 1,
    MIN(IF(A$2:A$1997=A305, IF(B$2:B$1997&gt;B305, B$2:B$1997))) - B305,
    TODAY() - Table3[[#This Row],[Date of Update]]
  ),
  TODAY()-Table3[[#This Row],[Date of Update]]
)))</f>
        <v>0</v>
      </c>
      <c r="G305" s="7">
        <f>IF(Table3[[#This Row],[Stage]]="Closed",Table3[[#This Row],[Date of Update]]-(_xlfn.MINIFS(Table3[Date of Update],Table3[Ref], Table3[[#This Row],[Ref]])),"")</f>
        <v>30</v>
      </c>
    </row>
    <row r="306" spans="1:7" x14ac:dyDescent="0.25">
      <c r="A306" s="4" t="s">
        <v>213</v>
      </c>
      <c r="B306" s="5">
        <v>44920</v>
      </c>
      <c r="C306" s="6" t="s">
        <v>17</v>
      </c>
      <c r="D306" s="6" t="s">
        <v>9</v>
      </c>
      <c r="E306" s="6" t="s">
        <v>80</v>
      </c>
      <c r="F306" s="6" cm="1">
        <f t="array" aca="1" ref="F306" ca="1">IF(Table3[[#This Row],[Stage]]="Closed",0,IF(IFERROR(
  IF(
    COUNTIF(A$2:A$1997, A306) &gt; 1,
    MIN(IF(A$2:A$1997=A306, IF(B$2:B$1997&gt;B306, B$2:B$1997))) - B306,
    TODAY() - Table3[[#This Row],[Date of Update]]
  ),
  TODAY()-Table3[[#This Row],[Date of Update]]
)&lt;=0,
TODAY()-Table3[[#This Row],[Date of Update]],
IFERROR(
  IF(
    COUNTIF(A$2:A$1997, A306) &gt; 1,
    MIN(IF(A$2:A$1997=A306, IF(B$2:B$1997&gt;B306, B$2:B$1997))) - B306,
    TODAY() - Table3[[#This Row],[Date of Update]]
  ),
  TODAY()-Table3[[#This Row],[Date of Update]]
)))</f>
        <v>0</v>
      </c>
      <c r="G306" s="7">
        <f>IF(Table3[[#This Row],[Stage]]="Closed",Table3[[#This Row],[Date of Update]]-(_xlfn.MINIFS(Table3[Date of Update],Table3[Ref], Table3[[#This Row],[Ref]])),"")</f>
        <v>30</v>
      </c>
    </row>
    <row r="307" spans="1:7" x14ac:dyDescent="0.25">
      <c r="A307" s="4" t="s">
        <v>253</v>
      </c>
      <c r="B307" s="5">
        <v>44924</v>
      </c>
      <c r="C307" s="6" t="s">
        <v>8</v>
      </c>
      <c r="D307" s="6" t="s">
        <v>9</v>
      </c>
      <c r="E307" s="6" t="s">
        <v>254</v>
      </c>
      <c r="F307" s="6" cm="1">
        <f t="array" aca="1" ref="F307" ca="1">IF(Table3[[#This Row],[Stage]]="Closed",0,IF(IFERROR(
  IF(
    COUNTIF(A$2:A$1997, A307) &gt; 1,
    MIN(IF(A$2:A$1997=A307, IF(B$2:B$1997&gt;B307, B$2:B$1997))) - B307,
    TODAY() - Table3[[#This Row],[Date of Update]]
  ),
  TODAY()-Table3[[#This Row],[Date of Update]]
)&lt;=0,
TODAY()-Table3[[#This Row],[Date of Update]],
IFERROR(
  IF(
    COUNTIF(A$2:A$1997, A307) &gt; 1,
    MIN(IF(A$2:A$1997=A307, IF(B$2:B$1997&gt;B307, B$2:B$1997))) - B307,
    TODAY() - Table3[[#This Row],[Date of Update]]
  ),
  TODAY()-Table3[[#This Row],[Date of Update]]
)))</f>
        <v>113</v>
      </c>
      <c r="G307" s="7" t="str">
        <f>IF(Table3[[#This Row],[Stage]]="Closed",Table3[[#This Row],[Date of Update]]-(_xlfn.MINIFS(Table3[Date of Update],Table3[Ref], Table3[[#This Row],[Ref]])),"")</f>
        <v/>
      </c>
    </row>
    <row r="308" spans="1:7" x14ac:dyDescent="0.25">
      <c r="A308" s="4" t="s">
        <v>217</v>
      </c>
      <c r="B308" s="5">
        <v>44925</v>
      </c>
      <c r="C308" s="6" t="s">
        <v>17</v>
      </c>
      <c r="D308" s="6" t="s">
        <v>9</v>
      </c>
      <c r="E308" s="6" t="s">
        <v>218</v>
      </c>
      <c r="F308" s="6" cm="1">
        <f t="array" aca="1" ref="F308" ca="1">IF(Table3[[#This Row],[Stage]]="Closed",0,IF(IFERROR(
  IF(
    COUNTIF(A$2:A$1997, A308) &gt; 1,
    MIN(IF(A$2:A$1997=A308, IF(B$2:B$1997&gt;B308, B$2:B$1997))) - B308,
    TODAY() - Table3[[#This Row],[Date of Update]]
  ),
  TODAY()-Table3[[#This Row],[Date of Update]]
)&lt;=0,
TODAY()-Table3[[#This Row],[Date of Update]],
IFERROR(
  IF(
    COUNTIF(A$2:A$1997, A308) &gt; 1,
    MIN(IF(A$2:A$1997=A308, IF(B$2:B$1997&gt;B308, B$2:B$1997))) - B308,
    TODAY() - Table3[[#This Row],[Date of Update]]
  ),
  TODAY()-Table3[[#This Row],[Date of Update]]
)))</f>
        <v>0</v>
      </c>
      <c r="G308" s="7">
        <f>IF(Table3[[#This Row],[Stage]]="Closed",Table3[[#This Row],[Date of Update]]-(_xlfn.MINIFS(Table3[Date of Update],Table3[Ref], Table3[[#This Row],[Ref]])),"")</f>
        <v>30</v>
      </c>
    </row>
    <row r="309" spans="1:7" x14ac:dyDescent="0.25">
      <c r="A309" s="4" t="s">
        <v>223</v>
      </c>
      <c r="B309" s="5">
        <v>44926</v>
      </c>
      <c r="C309" s="6" t="s">
        <v>17</v>
      </c>
      <c r="D309" s="6" t="s">
        <v>9</v>
      </c>
      <c r="E309" s="6" t="s">
        <v>224</v>
      </c>
      <c r="F309" s="6" cm="1">
        <f t="array" aca="1" ref="F309" ca="1">IF(Table3[[#This Row],[Stage]]="Closed",0,IF(IFERROR(
  IF(
    COUNTIF(A$2:A$1997, A309) &gt; 1,
    MIN(IF(A$2:A$1997=A309, IF(B$2:B$1997&gt;B309, B$2:B$1997))) - B309,
    TODAY() - Table3[[#This Row],[Date of Update]]
  ),
  TODAY()-Table3[[#This Row],[Date of Update]]
)&lt;=0,
TODAY()-Table3[[#This Row],[Date of Update]],
IFERROR(
  IF(
    COUNTIF(A$2:A$1997, A309) &gt; 1,
    MIN(IF(A$2:A$1997=A309, IF(B$2:B$1997&gt;B309, B$2:B$1997))) - B309,
    TODAY() - Table3[[#This Row],[Date of Update]]
  ),
  TODAY()-Table3[[#This Row],[Date of Update]]
)))</f>
        <v>0</v>
      </c>
      <c r="G309" s="7">
        <f>IF(Table3[[#This Row],[Stage]]="Closed",Table3[[#This Row],[Date of Update]]-(_xlfn.MINIFS(Table3[Date of Update],Table3[Ref], Table3[[#This Row],[Ref]])),"")</f>
        <v>30</v>
      </c>
    </row>
    <row r="310" spans="1:7" x14ac:dyDescent="0.25">
      <c r="A310" s="4" t="s">
        <v>255</v>
      </c>
      <c r="B310" s="5">
        <v>44929</v>
      </c>
      <c r="C310" s="6" t="s">
        <v>8</v>
      </c>
      <c r="D310" s="6" t="s">
        <v>9</v>
      </c>
      <c r="E310" s="6" t="s">
        <v>256</v>
      </c>
      <c r="F310" s="6" cm="1">
        <f t="array" aca="1" ref="F310" ca="1">IF(Table3[[#This Row],[Stage]]="Closed",0,IF(IFERROR(
  IF(
    COUNTIF(A$2:A$1997, A310) &gt; 1,
    MIN(IF(A$2:A$1997=A310, IF(B$2:B$1997&gt;B310, B$2:B$1997))) - B310,
    TODAY() - Table3[[#This Row],[Date of Update]]
  ),
  TODAY()-Table3[[#This Row],[Date of Update]]
)&lt;=0,
TODAY()-Table3[[#This Row],[Date of Update]],
IFERROR(
  IF(
    COUNTIF(A$2:A$1997, A310) &gt; 1,
    MIN(IF(A$2:A$1997=A310, IF(B$2:B$1997&gt;B310, B$2:B$1997))) - B310,
    TODAY() - Table3[[#This Row],[Date of Update]]
  ),
  TODAY()-Table3[[#This Row],[Date of Update]]
)))</f>
        <v>24</v>
      </c>
      <c r="G310" s="7" t="str">
        <f>IF(Table3[[#This Row],[Stage]]="Closed",Table3[[#This Row],[Date of Update]]-(_xlfn.MINIFS(Table3[Date of Update],Table3[Ref], Table3[[#This Row],[Ref]])),"")</f>
        <v/>
      </c>
    </row>
    <row r="311" spans="1:7" x14ac:dyDescent="0.25">
      <c r="A311" s="4" t="s">
        <v>257</v>
      </c>
      <c r="B311" s="5">
        <v>44929</v>
      </c>
      <c r="C311" s="6" t="s">
        <v>8</v>
      </c>
      <c r="D311" s="6" t="s">
        <v>9</v>
      </c>
      <c r="E311" s="6" t="s">
        <v>244</v>
      </c>
      <c r="F311" s="6" cm="1">
        <f t="array" aca="1" ref="F311" ca="1">IF(Table3[[#This Row],[Stage]]="Closed",0,IF(IFERROR(
  IF(
    COUNTIF(A$2:A$1997, A311) &gt; 1,
    MIN(IF(A$2:A$1997=A311, IF(B$2:B$1997&gt;B311, B$2:B$1997))) - B311,
    TODAY() - Table3[[#This Row],[Date of Update]]
  ),
  TODAY()-Table3[[#This Row],[Date of Update]]
)&lt;=0,
TODAY()-Table3[[#This Row],[Date of Update]],
IFERROR(
  IF(
    COUNTIF(A$2:A$1997, A311) &gt; 1,
    MIN(IF(A$2:A$1997=A311, IF(B$2:B$1997&gt;B311, B$2:B$1997))) - B311,
    TODAY() - Table3[[#This Row],[Date of Update]]
  ),
  TODAY()-Table3[[#This Row],[Date of Update]]
)))</f>
        <v>16</v>
      </c>
      <c r="G311" s="7" t="str">
        <f>IF(Table3[[#This Row],[Stage]]="Closed",Table3[[#This Row],[Date of Update]]-(_xlfn.MINIFS(Table3[Date of Update],Table3[Ref], Table3[[#This Row],[Ref]])),"")</f>
        <v/>
      </c>
    </row>
    <row r="312" spans="1:7" x14ac:dyDescent="0.25">
      <c r="A312" s="4" t="s">
        <v>258</v>
      </c>
      <c r="B312" s="5">
        <v>44929</v>
      </c>
      <c r="C312" s="6" t="s">
        <v>8</v>
      </c>
      <c r="D312" s="6" t="s">
        <v>9</v>
      </c>
      <c r="E312" s="6" t="s">
        <v>244</v>
      </c>
      <c r="F312" s="6" cm="1">
        <f t="array" aca="1" ref="F312" ca="1">IF(Table3[[#This Row],[Stage]]="Closed",0,IF(IFERROR(
  IF(
    COUNTIF(A$2:A$1997, A312) &gt; 1,
    MIN(IF(A$2:A$1997=A312, IF(B$2:B$1997&gt;B312, B$2:B$1997))) - B312,
    TODAY() - Table3[[#This Row],[Date of Update]]
  ),
  TODAY()-Table3[[#This Row],[Date of Update]]
)&lt;=0,
TODAY()-Table3[[#This Row],[Date of Update]],
IFERROR(
  IF(
    COUNTIF(A$2:A$1997, A312) &gt; 1,
    MIN(IF(A$2:A$1997=A312, IF(B$2:B$1997&gt;B312, B$2:B$1997))) - B312,
    TODAY() - Table3[[#This Row],[Date of Update]]
  ),
  TODAY()-Table3[[#This Row],[Date of Update]]
)))</f>
        <v>16</v>
      </c>
      <c r="G312" s="7" t="str">
        <f>IF(Table3[[#This Row],[Stage]]="Closed",Table3[[#This Row],[Date of Update]]-(_xlfn.MINIFS(Table3[Date of Update],Table3[Ref], Table3[[#This Row],[Ref]])),"")</f>
        <v/>
      </c>
    </row>
    <row r="313" spans="1:7" x14ac:dyDescent="0.25">
      <c r="A313" s="4" t="s">
        <v>259</v>
      </c>
      <c r="B313" s="5">
        <v>44929</v>
      </c>
      <c r="C313" s="6" t="s">
        <v>8</v>
      </c>
      <c r="D313" s="6" t="s">
        <v>9</v>
      </c>
      <c r="E313" s="6" t="s">
        <v>80</v>
      </c>
      <c r="F313" s="6" cm="1">
        <f t="array" aca="1" ref="F313" ca="1">IF(Table3[[#This Row],[Stage]]="Closed",0,IF(IFERROR(
  IF(
    COUNTIF(A$2:A$1997, A313) &gt; 1,
    MIN(IF(A$2:A$1997=A313, IF(B$2:B$1997&gt;B313, B$2:B$1997))) - B313,
    TODAY() - Table3[[#This Row],[Date of Update]]
  ),
  TODAY()-Table3[[#This Row],[Date of Update]]
)&lt;=0,
TODAY()-Table3[[#This Row],[Date of Update]],
IFERROR(
  IF(
    COUNTIF(A$2:A$1997, A313) &gt; 1,
    MIN(IF(A$2:A$1997=A313, IF(B$2:B$1997&gt;B313, B$2:B$1997))) - B313,
    TODAY() - Table3[[#This Row],[Date of Update]]
  ),
  TODAY()-Table3[[#This Row],[Date of Update]]
)))</f>
        <v>170</v>
      </c>
      <c r="G313" s="7" t="str">
        <f>IF(Table3[[#This Row],[Stage]]="Closed",Table3[[#This Row],[Date of Update]]-(_xlfn.MINIFS(Table3[Date of Update],Table3[Ref], Table3[[#This Row],[Ref]])),"")</f>
        <v/>
      </c>
    </row>
    <row r="314" spans="1:7" x14ac:dyDescent="0.25">
      <c r="A314" s="4" t="s">
        <v>260</v>
      </c>
      <c r="B314" s="5">
        <v>44929</v>
      </c>
      <c r="C314" s="6" t="s">
        <v>8</v>
      </c>
      <c r="D314" s="6" t="s">
        <v>9</v>
      </c>
      <c r="E314" s="6" t="s">
        <v>80</v>
      </c>
      <c r="F314" s="6" cm="1">
        <f t="array" aca="1" ref="F314" ca="1">IF(Table3[[#This Row],[Stage]]="Closed",0,IF(IFERROR(
  IF(
    COUNTIF(A$2:A$1997, A314) &gt; 1,
    MIN(IF(A$2:A$1997=A314, IF(B$2:B$1997&gt;B314, B$2:B$1997))) - B314,
    TODAY() - Table3[[#This Row],[Date of Update]]
  ),
  TODAY()-Table3[[#This Row],[Date of Update]]
)&lt;=0,
TODAY()-Table3[[#This Row],[Date of Update]],
IFERROR(
  IF(
    COUNTIF(A$2:A$1997, A314) &gt; 1,
    MIN(IF(A$2:A$1997=A314, IF(B$2:B$1997&gt;B314, B$2:B$1997))) - B314,
    TODAY() - Table3[[#This Row],[Date of Update]]
  ),
  TODAY()-Table3[[#This Row],[Date of Update]]
)))</f>
        <v>31</v>
      </c>
      <c r="G314" s="7" t="str">
        <f>IF(Table3[[#This Row],[Stage]]="Closed",Table3[[#This Row],[Date of Update]]-(_xlfn.MINIFS(Table3[Date of Update],Table3[Ref], Table3[[#This Row],[Ref]])),"")</f>
        <v/>
      </c>
    </row>
    <row r="315" spans="1:7" x14ac:dyDescent="0.25">
      <c r="A315" s="4" t="s">
        <v>261</v>
      </c>
      <c r="B315" s="5">
        <v>44929</v>
      </c>
      <c r="C315" s="6" t="s">
        <v>8</v>
      </c>
      <c r="D315" s="6" t="s">
        <v>9</v>
      </c>
      <c r="E315" s="6" t="s">
        <v>262</v>
      </c>
      <c r="F315" s="6" cm="1">
        <f t="array" aca="1" ref="F315" ca="1">IF(Table3[[#This Row],[Stage]]="Closed",0,IF(IFERROR(
  IF(
    COUNTIF(A$2:A$1997, A315) &gt; 1,
    MIN(IF(A$2:A$1997=A315, IF(B$2:B$1997&gt;B315, B$2:B$1997))) - B315,
    TODAY() - Table3[[#This Row],[Date of Update]]
  ),
  TODAY()-Table3[[#This Row],[Date of Update]]
)&lt;=0,
TODAY()-Table3[[#This Row],[Date of Update]],
IFERROR(
  IF(
    COUNTIF(A$2:A$1997, A315) &gt; 1,
    MIN(IF(A$2:A$1997=A315, IF(B$2:B$1997&gt;B315, B$2:B$1997))) - B315,
    TODAY() - Table3[[#This Row],[Date of Update]]
  ),
  TODAY()-Table3[[#This Row],[Date of Update]]
)))</f>
        <v>395</v>
      </c>
      <c r="G315" s="7" t="str">
        <f>IF(Table3[[#This Row],[Stage]]="Closed",Table3[[#This Row],[Date of Update]]-(_xlfn.MINIFS(Table3[Date of Update],Table3[Ref], Table3[[#This Row],[Ref]])),"")</f>
        <v/>
      </c>
    </row>
    <row r="316" spans="1:7" x14ac:dyDescent="0.25">
      <c r="A316" s="4" t="s">
        <v>263</v>
      </c>
      <c r="B316" s="5">
        <v>44929</v>
      </c>
      <c r="C316" s="6" t="s">
        <v>8</v>
      </c>
      <c r="D316" s="6" t="s">
        <v>9</v>
      </c>
      <c r="E316" s="6" t="s">
        <v>264</v>
      </c>
      <c r="F316" s="6" cm="1">
        <f t="array" aca="1" ref="F316" ca="1">IF(Table3[[#This Row],[Stage]]="Closed",0,IF(IFERROR(
  IF(
    COUNTIF(A$2:A$1997, A316) &gt; 1,
    MIN(IF(A$2:A$1997=A316, IF(B$2:B$1997&gt;B316, B$2:B$1997))) - B316,
    TODAY() - Table3[[#This Row],[Date of Update]]
  ),
  TODAY()-Table3[[#This Row],[Date of Update]]
)&lt;=0,
TODAY()-Table3[[#This Row],[Date of Update]],
IFERROR(
  IF(
    COUNTIF(A$2:A$1997, A316) &gt; 1,
    MIN(IF(A$2:A$1997=A316, IF(B$2:B$1997&gt;B316, B$2:B$1997))) - B316,
    TODAY() - Table3[[#This Row],[Date of Update]]
  ),
  TODAY()-Table3[[#This Row],[Date of Update]]
)))</f>
        <v>79</v>
      </c>
      <c r="G316" s="7" t="str">
        <f>IF(Table3[[#This Row],[Stage]]="Closed",Table3[[#This Row],[Date of Update]]-(_xlfn.MINIFS(Table3[Date of Update],Table3[Ref], Table3[[#This Row],[Ref]])),"")</f>
        <v/>
      </c>
    </row>
    <row r="317" spans="1:7" x14ac:dyDescent="0.25">
      <c r="A317" s="4" t="s">
        <v>265</v>
      </c>
      <c r="B317" s="5">
        <v>44929</v>
      </c>
      <c r="C317" s="6" t="s">
        <v>8</v>
      </c>
      <c r="D317" s="6" t="s">
        <v>9</v>
      </c>
      <c r="E317" s="6" t="s">
        <v>244</v>
      </c>
      <c r="F317" s="6" cm="1">
        <f t="array" aca="1" ref="F317" ca="1">IF(Table3[[#This Row],[Stage]]="Closed",0,IF(IFERROR(
  IF(
    COUNTIF(A$2:A$1997, A317) &gt; 1,
    MIN(IF(A$2:A$1997=A317, IF(B$2:B$1997&gt;B317, B$2:B$1997))) - B317,
    TODAY() - Table3[[#This Row],[Date of Update]]
  ),
  TODAY()-Table3[[#This Row],[Date of Update]]
)&lt;=0,
TODAY()-Table3[[#This Row],[Date of Update]],
IFERROR(
  IF(
    COUNTIF(A$2:A$1997, A317) &gt; 1,
    MIN(IF(A$2:A$1997=A317, IF(B$2:B$1997&gt;B317, B$2:B$1997))) - B317,
    TODAY() - Table3[[#This Row],[Date of Update]]
  ),
  TODAY()-Table3[[#This Row],[Date of Update]]
)))</f>
        <v>20</v>
      </c>
      <c r="G317" s="7" t="str">
        <f>IF(Table3[[#This Row],[Stage]]="Closed",Table3[[#This Row],[Date of Update]]-(_xlfn.MINIFS(Table3[Date of Update],Table3[Ref], Table3[[#This Row],[Ref]])),"")</f>
        <v/>
      </c>
    </row>
    <row r="318" spans="1:7" x14ac:dyDescent="0.25">
      <c r="A318" s="4" t="s">
        <v>266</v>
      </c>
      <c r="B318" s="5">
        <v>44930</v>
      </c>
      <c r="C318" s="6" t="s">
        <v>8</v>
      </c>
      <c r="D318" s="6" t="s">
        <v>9</v>
      </c>
      <c r="E318" s="6" t="s">
        <v>244</v>
      </c>
      <c r="F318" s="6" cm="1">
        <f t="array" aca="1" ref="F318" ca="1">IF(Table3[[#This Row],[Stage]]="Closed",0,IF(IFERROR(
  IF(
    COUNTIF(A$2:A$1997, A318) &gt; 1,
    MIN(IF(A$2:A$1997=A318, IF(B$2:B$1997&gt;B318, B$2:B$1997))) - B318,
    TODAY() - Table3[[#This Row],[Date of Update]]
  ),
  TODAY()-Table3[[#This Row],[Date of Update]]
)&lt;=0,
TODAY()-Table3[[#This Row],[Date of Update]],
IFERROR(
  IF(
    COUNTIF(A$2:A$1997, A318) &gt; 1,
    MIN(IF(A$2:A$1997=A318, IF(B$2:B$1997&gt;B318, B$2:B$1997))) - B318,
    TODAY() - Table3[[#This Row],[Date of Update]]
  ),
  TODAY()-Table3[[#This Row],[Date of Update]]
)))</f>
        <v>15</v>
      </c>
      <c r="G318" s="7" t="str">
        <f>IF(Table3[[#This Row],[Stage]]="Closed",Table3[[#This Row],[Date of Update]]-(_xlfn.MINIFS(Table3[Date of Update],Table3[Ref], Table3[[#This Row],[Ref]])),"")</f>
        <v/>
      </c>
    </row>
    <row r="319" spans="1:7" x14ac:dyDescent="0.25">
      <c r="A319" s="4" t="s">
        <v>267</v>
      </c>
      <c r="B319" s="5">
        <v>44930</v>
      </c>
      <c r="C319" s="6" t="s">
        <v>8</v>
      </c>
      <c r="D319" s="6" t="s">
        <v>9</v>
      </c>
      <c r="E319" s="6"/>
      <c r="F319" s="6" cm="1">
        <f t="array" aca="1" ref="F319" ca="1">IF(Table3[[#This Row],[Stage]]="Closed",0,IF(IFERROR(
  IF(
    COUNTIF(A$2:A$1997, A319) &gt; 1,
    MIN(IF(A$2:A$1997=A319, IF(B$2:B$1997&gt;B319, B$2:B$1997))) - B319,
    TODAY() - Table3[[#This Row],[Date of Update]]
  ),
  TODAY()-Table3[[#This Row],[Date of Update]]
)&lt;=0,
TODAY()-Table3[[#This Row],[Date of Update]],
IFERROR(
  IF(
    COUNTIF(A$2:A$1997, A319) &gt; 1,
    MIN(IF(A$2:A$1997=A319, IF(B$2:B$1997&gt;B319, B$2:B$1997))) - B319,
    TODAY() - Table3[[#This Row],[Date of Update]]
  ),
  TODAY()-Table3[[#This Row],[Date of Update]]
)))</f>
        <v>55</v>
      </c>
      <c r="G319" s="7" t="str">
        <f>IF(Table3[[#This Row],[Stage]]="Closed",Table3[[#This Row],[Date of Update]]-(_xlfn.MINIFS(Table3[Date of Update],Table3[Ref], Table3[[#This Row],[Ref]])),"")</f>
        <v/>
      </c>
    </row>
    <row r="320" spans="1:7" x14ac:dyDescent="0.25">
      <c r="A320" s="4" t="s">
        <v>159</v>
      </c>
      <c r="B320" s="5">
        <v>44930</v>
      </c>
      <c r="C320" s="6" t="s">
        <v>17</v>
      </c>
      <c r="D320" s="6" t="s">
        <v>9</v>
      </c>
      <c r="E320" s="6" t="s">
        <v>160</v>
      </c>
      <c r="F320" s="6" cm="1">
        <f t="array" aca="1" ref="F320" ca="1">IF(Table3[[#This Row],[Stage]]="Closed",0,IF(IFERROR(
  IF(
    COUNTIF(A$2:A$1997, A320) &gt; 1,
    MIN(IF(A$2:A$1997=A320, IF(B$2:B$1997&gt;B320, B$2:B$1997))) - B320,
    TODAY() - Table3[[#This Row],[Date of Update]]
  ),
  TODAY()-Table3[[#This Row],[Date of Update]]
)&lt;=0,
TODAY()-Table3[[#This Row],[Date of Update]],
IFERROR(
  IF(
    COUNTIF(A$2:A$1997, A320) &gt; 1,
    MIN(IF(A$2:A$1997=A320, IF(B$2:B$1997&gt;B320, B$2:B$1997))) - B320,
    TODAY() - Table3[[#This Row],[Date of Update]]
  ),
  TODAY()-Table3[[#This Row],[Date of Update]]
)))</f>
        <v>0</v>
      </c>
      <c r="G320" s="7">
        <f>IF(Table3[[#This Row],[Stage]]="Closed",Table3[[#This Row],[Date of Update]]-(_xlfn.MINIFS(Table3[Date of Update],Table3[Ref], Table3[[#This Row],[Ref]])),"")</f>
        <v>106</v>
      </c>
    </row>
    <row r="321" spans="1:7" x14ac:dyDescent="0.25">
      <c r="A321" s="4" t="s">
        <v>268</v>
      </c>
      <c r="B321" s="5">
        <v>44931</v>
      </c>
      <c r="C321" s="6" t="s">
        <v>8</v>
      </c>
      <c r="D321" s="6" t="s">
        <v>9</v>
      </c>
      <c r="E321" s="6" t="s">
        <v>244</v>
      </c>
      <c r="F321" s="6" cm="1">
        <f t="array" aca="1" ref="F321" ca="1">IF(Table3[[#This Row],[Stage]]="Closed",0,IF(IFERROR(
  IF(
    COUNTIF(A$2:A$1997, A321) &gt; 1,
    MIN(IF(A$2:A$1997=A321, IF(B$2:B$1997&gt;B321, B$2:B$1997))) - B321,
    TODAY() - Table3[[#This Row],[Date of Update]]
  ),
  TODAY()-Table3[[#This Row],[Date of Update]]
)&lt;=0,
TODAY()-Table3[[#This Row],[Date of Update]],
IFERROR(
  IF(
    COUNTIF(A$2:A$1997, A321) &gt; 1,
    MIN(IF(A$2:A$1997=A321, IF(B$2:B$1997&gt;B321, B$2:B$1997))) - B321,
    TODAY() - Table3[[#This Row],[Date of Update]]
  ),
  TODAY()-Table3[[#This Row],[Date of Update]]
)))</f>
        <v>14</v>
      </c>
      <c r="G321" s="7" t="str">
        <f>IF(Table3[[#This Row],[Stage]]="Closed",Table3[[#This Row],[Date of Update]]-(_xlfn.MINIFS(Table3[Date of Update],Table3[Ref], Table3[[#This Row],[Ref]])),"")</f>
        <v/>
      </c>
    </row>
    <row r="322" spans="1:7" x14ac:dyDescent="0.25">
      <c r="A322" s="4" t="s">
        <v>269</v>
      </c>
      <c r="B322" s="5">
        <v>44932</v>
      </c>
      <c r="C322" s="6" t="s">
        <v>8</v>
      </c>
      <c r="D322" s="6" t="s">
        <v>9</v>
      </c>
      <c r="E322" s="6" t="s">
        <v>244</v>
      </c>
      <c r="F322" s="6" cm="1">
        <f t="array" aca="1" ref="F322" ca="1">IF(Table3[[#This Row],[Stage]]="Closed",0,IF(IFERROR(
  IF(
    COUNTIF(A$2:A$1997, A322) &gt; 1,
    MIN(IF(A$2:A$1997=A322, IF(B$2:B$1997&gt;B322, B$2:B$1997))) - B322,
    TODAY() - Table3[[#This Row],[Date of Update]]
  ),
  TODAY()-Table3[[#This Row],[Date of Update]]
)&lt;=0,
TODAY()-Table3[[#This Row],[Date of Update]],
IFERROR(
  IF(
    COUNTIF(A$2:A$1997, A322) &gt; 1,
    MIN(IF(A$2:A$1997=A322, IF(B$2:B$1997&gt;B322, B$2:B$1997))) - B322,
    TODAY() - Table3[[#This Row],[Date of Update]]
  ),
  TODAY()-Table3[[#This Row],[Date of Update]]
)))</f>
        <v>13</v>
      </c>
      <c r="G322" s="7" t="str">
        <f>IF(Table3[[#This Row],[Stage]]="Closed",Table3[[#This Row],[Date of Update]]-(_xlfn.MINIFS(Table3[Date of Update],Table3[Ref], Table3[[#This Row],[Ref]])),"")</f>
        <v/>
      </c>
    </row>
    <row r="323" spans="1:7" x14ac:dyDescent="0.25">
      <c r="A323" s="4" t="s">
        <v>219</v>
      </c>
      <c r="B323" s="5">
        <v>44933</v>
      </c>
      <c r="C323" s="6" t="s">
        <v>17</v>
      </c>
      <c r="D323" s="6" t="s">
        <v>9</v>
      </c>
      <c r="E323" s="6" t="s">
        <v>220</v>
      </c>
      <c r="F323" s="6" cm="1">
        <f t="array" aca="1" ref="F323" ca="1">IF(Table3[[#This Row],[Stage]]="Closed",0,IF(IFERROR(
  IF(
    COUNTIF(A$2:A$1997, A323) &gt; 1,
    MIN(IF(A$2:A$1997=A323, IF(B$2:B$1997&gt;B323, B$2:B$1997))) - B323,
    TODAY() - Table3[[#This Row],[Date of Update]]
  ),
  TODAY()-Table3[[#This Row],[Date of Update]]
)&lt;=0,
TODAY()-Table3[[#This Row],[Date of Update]],
IFERROR(
  IF(
    COUNTIF(A$2:A$1997, A323) &gt; 1,
    MIN(IF(A$2:A$1997=A323, IF(B$2:B$1997&gt;B323, B$2:B$1997))) - B323,
    TODAY() - Table3[[#This Row],[Date of Update]]
  ),
  TODAY()-Table3[[#This Row],[Date of Update]]
)))</f>
        <v>0</v>
      </c>
      <c r="G323" s="7">
        <f>IF(Table3[[#This Row],[Stage]]="Closed",Table3[[#This Row],[Date of Update]]-(_xlfn.MINIFS(Table3[Date of Update],Table3[Ref], Table3[[#This Row],[Ref]])),"")</f>
        <v>37</v>
      </c>
    </row>
    <row r="324" spans="1:7" x14ac:dyDescent="0.25">
      <c r="A324" s="4" t="s">
        <v>235</v>
      </c>
      <c r="B324" s="5">
        <v>44933</v>
      </c>
      <c r="C324" s="6" t="s">
        <v>17</v>
      </c>
      <c r="D324" s="6" t="s">
        <v>9</v>
      </c>
      <c r="E324" s="6" t="s">
        <v>236</v>
      </c>
      <c r="F324" s="6" cm="1">
        <f t="array" aca="1" ref="F324" ca="1">IF(Table3[[#This Row],[Stage]]="Closed",0,IF(IFERROR(
  IF(
    COUNTIF(A$2:A$1997, A324) &gt; 1,
    MIN(IF(A$2:A$1997=A324, IF(B$2:B$1997&gt;B324, B$2:B$1997))) - B324,
    TODAY() - Table3[[#This Row],[Date of Update]]
  ),
  TODAY()-Table3[[#This Row],[Date of Update]]
)&lt;=0,
TODAY()-Table3[[#This Row],[Date of Update]],
IFERROR(
  IF(
    COUNTIF(A$2:A$1997, A324) &gt; 1,
    MIN(IF(A$2:A$1997=A324, IF(B$2:B$1997&gt;B324, B$2:B$1997))) - B324,
    TODAY() - Table3[[#This Row],[Date of Update]]
  ),
  TODAY()-Table3[[#This Row],[Date of Update]]
)))</f>
        <v>0</v>
      </c>
      <c r="G324" s="7">
        <f>IF(Table3[[#This Row],[Stage]]="Closed",Table3[[#This Row],[Date of Update]]-(_xlfn.MINIFS(Table3[Date of Update],Table3[Ref], Table3[[#This Row],[Ref]])),"")</f>
        <v>25</v>
      </c>
    </row>
    <row r="325" spans="1:7" x14ac:dyDescent="0.25">
      <c r="A325" s="4" t="s">
        <v>248</v>
      </c>
      <c r="B325" s="5">
        <v>44933</v>
      </c>
      <c r="C325" s="6" t="s">
        <v>17</v>
      </c>
      <c r="D325" s="6" t="s">
        <v>9</v>
      </c>
      <c r="E325" s="6" t="s">
        <v>80</v>
      </c>
      <c r="F325" s="6" cm="1">
        <f t="array" aca="1" ref="F325" ca="1">IF(Table3[[#This Row],[Stage]]="Closed",0,IF(IFERROR(
  IF(
    COUNTIF(A$2:A$1997, A325) &gt; 1,
    MIN(IF(A$2:A$1997=A325, IF(B$2:B$1997&gt;B325, B$2:B$1997))) - B325,
    TODAY() - Table3[[#This Row],[Date of Update]]
  ),
  TODAY()-Table3[[#This Row],[Date of Update]]
)&lt;=0,
TODAY()-Table3[[#This Row],[Date of Update]],
IFERROR(
  IF(
    COUNTIF(A$2:A$1997, A325) &gt; 1,
    MIN(IF(A$2:A$1997=A325, IF(B$2:B$1997&gt;B325, B$2:B$1997))) - B325,
    TODAY() - Table3[[#This Row],[Date of Update]]
  ),
  TODAY()-Table3[[#This Row],[Date of Update]]
)))</f>
        <v>0</v>
      </c>
      <c r="G325" s="7">
        <f>IF(Table3[[#This Row],[Stage]]="Closed",Table3[[#This Row],[Date of Update]]-(_xlfn.MINIFS(Table3[Date of Update],Table3[Ref], Table3[[#This Row],[Ref]])),"")</f>
        <v>16</v>
      </c>
    </row>
    <row r="326" spans="1:7" x14ac:dyDescent="0.25">
      <c r="A326" s="4" t="s">
        <v>230</v>
      </c>
      <c r="B326" s="5">
        <v>44933</v>
      </c>
      <c r="C326" s="6" t="s">
        <v>17</v>
      </c>
      <c r="D326" s="6" t="s">
        <v>9</v>
      </c>
      <c r="E326" s="6" t="s">
        <v>231</v>
      </c>
      <c r="F326" s="6" cm="1">
        <f t="array" aca="1" ref="F326" ca="1">IF(Table3[[#This Row],[Stage]]="Closed",0,IF(IFERROR(
  IF(
    COUNTIF(A$2:A$1997, A326) &gt; 1,
    MIN(IF(A$2:A$1997=A326, IF(B$2:B$1997&gt;B326, B$2:B$1997))) - B326,
    TODAY() - Table3[[#This Row],[Date of Update]]
  ),
  TODAY()-Table3[[#This Row],[Date of Update]]
)&lt;=0,
TODAY()-Table3[[#This Row],[Date of Update]],
IFERROR(
  IF(
    COUNTIF(A$2:A$1997, A326) &gt; 1,
    MIN(IF(A$2:A$1997=A326, IF(B$2:B$1997&gt;B326, B$2:B$1997))) - B326,
    TODAY() - Table3[[#This Row],[Date of Update]]
  ),
  TODAY()-Table3[[#This Row],[Date of Update]]
)))</f>
        <v>0</v>
      </c>
      <c r="G326" s="7">
        <f>IF(Table3[[#This Row],[Stage]]="Closed",Table3[[#This Row],[Date of Update]]-(_xlfn.MINIFS(Table3[Date of Update],Table3[Ref], Table3[[#This Row],[Ref]])),"")</f>
        <v>30</v>
      </c>
    </row>
    <row r="327" spans="1:7" x14ac:dyDescent="0.25">
      <c r="A327" s="4" t="s">
        <v>232</v>
      </c>
      <c r="B327" s="5">
        <v>44933</v>
      </c>
      <c r="C327" s="6" t="s">
        <v>17</v>
      </c>
      <c r="D327" s="6" t="s">
        <v>9</v>
      </c>
      <c r="E327" s="6" t="s">
        <v>80</v>
      </c>
      <c r="F327" s="6" cm="1">
        <f t="array" aca="1" ref="F327" ca="1">IF(Table3[[#This Row],[Stage]]="Closed",0,IF(IFERROR(
  IF(
    COUNTIF(A$2:A$1997, A327) &gt; 1,
    MIN(IF(A$2:A$1997=A327, IF(B$2:B$1997&gt;B327, B$2:B$1997))) - B327,
    TODAY() - Table3[[#This Row],[Date of Update]]
  ),
  TODAY()-Table3[[#This Row],[Date of Update]]
)&lt;=0,
TODAY()-Table3[[#This Row],[Date of Update]],
IFERROR(
  IF(
    COUNTIF(A$2:A$1997, A327) &gt; 1,
    MIN(IF(A$2:A$1997=A327, IF(B$2:B$1997&gt;B327, B$2:B$1997))) - B327,
    TODAY() - Table3[[#This Row],[Date of Update]]
  ),
  TODAY()-Table3[[#This Row],[Date of Update]]
)))</f>
        <v>0</v>
      </c>
      <c r="G327" s="7">
        <f>IF(Table3[[#This Row],[Stage]]="Closed",Table3[[#This Row],[Date of Update]]-(_xlfn.MINIFS(Table3[Date of Update],Table3[Ref], Table3[[#This Row],[Ref]])),"")</f>
        <v>30</v>
      </c>
    </row>
    <row r="328" spans="1:7" x14ac:dyDescent="0.25">
      <c r="A328" s="4" t="s">
        <v>214</v>
      </c>
      <c r="B328" s="5">
        <v>44933</v>
      </c>
      <c r="C328" s="6" t="s">
        <v>17</v>
      </c>
      <c r="D328" s="6" t="s">
        <v>9</v>
      </c>
      <c r="E328" s="6" t="s">
        <v>80</v>
      </c>
      <c r="F328" s="6" cm="1">
        <f t="array" aca="1" ref="F328" ca="1">IF(Table3[[#This Row],[Stage]]="Closed",0,IF(IFERROR(
  IF(
    COUNTIF(A$2:A$1997, A328) &gt; 1,
    MIN(IF(A$2:A$1997=A328, IF(B$2:B$1997&gt;B328, B$2:B$1997))) - B328,
    TODAY() - Table3[[#This Row],[Date of Update]]
  ),
  TODAY()-Table3[[#This Row],[Date of Update]]
)&lt;=0,
TODAY()-Table3[[#This Row],[Date of Update]],
IFERROR(
  IF(
    COUNTIF(A$2:A$1997, A328) &gt; 1,
    MIN(IF(A$2:A$1997=A328, IF(B$2:B$1997&gt;B328, B$2:B$1997))) - B328,
    TODAY() - Table3[[#This Row],[Date of Update]]
  ),
  TODAY()-Table3[[#This Row],[Date of Update]]
)))</f>
        <v>0</v>
      </c>
      <c r="G328" s="7">
        <f>IF(Table3[[#This Row],[Stage]]="Closed",Table3[[#This Row],[Date of Update]]-(_xlfn.MINIFS(Table3[Date of Update],Table3[Ref], Table3[[#This Row],[Ref]])),"")</f>
        <v>39</v>
      </c>
    </row>
    <row r="329" spans="1:7" x14ac:dyDescent="0.25">
      <c r="A329" s="4" t="s">
        <v>203</v>
      </c>
      <c r="B329" s="5">
        <v>44933</v>
      </c>
      <c r="C329" s="6" t="s">
        <v>17</v>
      </c>
      <c r="D329" s="6" t="s">
        <v>9</v>
      </c>
      <c r="E329" s="6" t="s">
        <v>80</v>
      </c>
      <c r="F329" s="6" cm="1">
        <f t="array" aca="1" ref="F329" ca="1">IF(Table3[[#This Row],[Stage]]="Closed",0,IF(IFERROR(
  IF(
    COUNTIF(A$2:A$1997, A329) &gt; 1,
    MIN(IF(A$2:A$1997=A329, IF(B$2:B$1997&gt;B329, B$2:B$1997))) - B329,
    TODAY() - Table3[[#This Row],[Date of Update]]
  ),
  TODAY()-Table3[[#This Row],[Date of Update]]
)&lt;=0,
TODAY()-Table3[[#This Row],[Date of Update]],
IFERROR(
  IF(
    COUNTIF(A$2:A$1997, A329) &gt; 1,
    MIN(IF(A$2:A$1997=A329, IF(B$2:B$1997&gt;B329, B$2:B$1997))) - B329,
    TODAY() - Table3[[#This Row],[Date of Update]]
  ),
  TODAY()-Table3[[#This Row],[Date of Update]]
)))</f>
        <v>0</v>
      </c>
      <c r="G329" s="7">
        <f>IF(Table3[[#This Row],[Stage]]="Closed",Table3[[#This Row],[Date of Update]]-(_xlfn.MINIFS(Table3[Date of Update],Table3[Ref], Table3[[#This Row],[Ref]])),"")</f>
        <v>45</v>
      </c>
    </row>
    <row r="330" spans="1:7" x14ac:dyDescent="0.25">
      <c r="A330" s="4" t="s">
        <v>270</v>
      </c>
      <c r="B330" s="5">
        <v>44936</v>
      </c>
      <c r="C330" s="6" t="s">
        <v>8</v>
      </c>
      <c r="D330" s="6" t="s">
        <v>9</v>
      </c>
      <c r="E330" s="6" t="s">
        <v>271</v>
      </c>
      <c r="F330" s="6" cm="1">
        <f t="array" aca="1" ref="F330" ca="1">IF(Table3[[#This Row],[Stage]]="Closed",0,IF(IFERROR(
  IF(
    COUNTIF(A$2:A$1997, A330) &gt; 1,
    MIN(IF(A$2:A$1997=A330, IF(B$2:B$1997&gt;B330, B$2:B$1997))) - B330,
    TODAY() - Table3[[#This Row],[Date of Update]]
  ),
  TODAY()-Table3[[#This Row],[Date of Update]]
)&lt;=0,
TODAY()-Table3[[#This Row],[Date of Update]],
IFERROR(
  IF(
    COUNTIF(A$2:A$1997, A330) &gt; 1,
    MIN(IF(A$2:A$1997=A330, IF(B$2:B$1997&gt;B330, B$2:B$1997))) - B330,
    TODAY() - Table3[[#This Row],[Date of Update]]
  ),
  TODAY()-Table3[[#This Row],[Date of Update]]
)))</f>
        <v>17</v>
      </c>
      <c r="G330" s="7" t="str">
        <f>IF(Table3[[#This Row],[Stage]]="Closed",Table3[[#This Row],[Date of Update]]-(_xlfn.MINIFS(Table3[Date of Update],Table3[Ref], Table3[[#This Row],[Ref]])),"")</f>
        <v/>
      </c>
    </row>
    <row r="331" spans="1:7" x14ac:dyDescent="0.25">
      <c r="A331" s="4" t="s">
        <v>243</v>
      </c>
      <c r="B331" s="5">
        <v>44936</v>
      </c>
      <c r="C331" s="6" t="s">
        <v>17</v>
      </c>
      <c r="D331" s="6" t="s">
        <v>9</v>
      </c>
      <c r="E331" s="6" t="s">
        <v>244</v>
      </c>
      <c r="F331" s="6" cm="1">
        <f t="array" aca="1" ref="F331" ca="1">IF(Table3[[#This Row],[Stage]]="Closed",0,IF(IFERROR(
  IF(
    COUNTIF(A$2:A$1997, A331) &gt; 1,
    MIN(IF(A$2:A$1997=A331, IF(B$2:B$1997&gt;B331, B$2:B$1997))) - B331,
    TODAY() - Table3[[#This Row],[Date of Update]]
  ),
  TODAY()-Table3[[#This Row],[Date of Update]]
)&lt;=0,
TODAY()-Table3[[#This Row],[Date of Update]],
IFERROR(
  IF(
    COUNTIF(A$2:A$1997, A331) &gt; 1,
    MIN(IF(A$2:A$1997=A331, IF(B$2:B$1997&gt;B331, B$2:B$1997))) - B331,
    TODAY() - Table3[[#This Row],[Date of Update]]
  ),
  TODAY()-Table3[[#This Row],[Date of Update]]
)))</f>
        <v>0</v>
      </c>
      <c r="G331" s="7">
        <f>IF(Table3[[#This Row],[Stage]]="Closed",Table3[[#This Row],[Date of Update]]-(_xlfn.MINIFS(Table3[Date of Update],Table3[Ref], Table3[[#This Row],[Ref]])),"")</f>
        <v>25</v>
      </c>
    </row>
    <row r="332" spans="1:7" x14ac:dyDescent="0.25">
      <c r="A332" s="4" t="s">
        <v>272</v>
      </c>
      <c r="B332" s="5">
        <v>44936</v>
      </c>
      <c r="C332" s="6" t="s">
        <v>8</v>
      </c>
      <c r="D332" s="6" t="s">
        <v>9</v>
      </c>
      <c r="E332" s="6" t="s">
        <v>273</v>
      </c>
      <c r="F332" s="6" cm="1">
        <f t="array" aca="1" ref="F332" ca="1">IF(Table3[[#This Row],[Stage]]="Closed",0,IF(IFERROR(
  IF(
    COUNTIF(A$2:A$1997, A332) &gt; 1,
    MIN(IF(A$2:A$1997=A332, IF(B$2:B$1997&gt;B332, B$2:B$1997))) - B332,
    TODAY() - Table3[[#This Row],[Date of Update]]
  ),
  TODAY()-Table3[[#This Row],[Date of Update]]
)&lt;=0,
TODAY()-Table3[[#This Row],[Date of Update]],
IFERROR(
  IF(
    COUNTIF(A$2:A$1997, A332) &gt; 1,
    MIN(IF(A$2:A$1997=A332, IF(B$2:B$1997&gt;B332, B$2:B$1997))) - B332,
    TODAY() - Table3[[#This Row],[Date of Update]]
  ),
  TODAY()-Table3[[#This Row],[Date of Update]]
)))</f>
        <v>10</v>
      </c>
      <c r="G332" s="7" t="str">
        <f>IF(Table3[[#This Row],[Stage]]="Closed",Table3[[#This Row],[Date of Update]]-(_xlfn.MINIFS(Table3[Date of Update],Table3[Ref], Table3[[#This Row],[Ref]])),"")</f>
        <v/>
      </c>
    </row>
    <row r="333" spans="1:7" x14ac:dyDescent="0.25">
      <c r="A333" s="4" t="s">
        <v>245</v>
      </c>
      <c r="B333" s="5">
        <v>44936</v>
      </c>
      <c r="C333" s="6" t="s">
        <v>17</v>
      </c>
      <c r="D333" s="6" t="s">
        <v>9</v>
      </c>
      <c r="E333" s="6" t="s">
        <v>244</v>
      </c>
      <c r="F333" s="6" cm="1">
        <f t="array" aca="1" ref="F333" ca="1">IF(Table3[[#This Row],[Stage]]="Closed",0,IF(IFERROR(
  IF(
    COUNTIF(A$2:A$1997, A333) &gt; 1,
    MIN(IF(A$2:A$1997=A333, IF(B$2:B$1997&gt;B333, B$2:B$1997))) - B333,
    TODAY() - Table3[[#This Row],[Date of Update]]
  ),
  TODAY()-Table3[[#This Row],[Date of Update]]
)&lt;=0,
TODAY()-Table3[[#This Row],[Date of Update]],
IFERROR(
  IF(
    COUNTIF(A$2:A$1997, A333) &gt; 1,
    MIN(IF(A$2:A$1997=A333, IF(B$2:B$1997&gt;B333, B$2:B$1997))) - B333,
    TODAY() - Table3[[#This Row],[Date of Update]]
  ),
  TODAY()-Table3[[#This Row],[Date of Update]]
)))</f>
        <v>0</v>
      </c>
      <c r="G333" s="7">
        <f>IF(Table3[[#This Row],[Stage]]="Closed",Table3[[#This Row],[Date of Update]]-(_xlfn.MINIFS(Table3[Date of Update],Table3[Ref], Table3[[#This Row],[Ref]])),"")</f>
        <v>21</v>
      </c>
    </row>
    <row r="334" spans="1:7" x14ac:dyDescent="0.25">
      <c r="A334" s="4" t="s">
        <v>246</v>
      </c>
      <c r="B334" s="5">
        <v>44936</v>
      </c>
      <c r="C334" s="6" t="s">
        <v>17</v>
      </c>
      <c r="D334" s="6" t="s">
        <v>9</v>
      </c>
      <c r="E334" s="6" t="s">
        <v>244</v>
      </c>
      <c r="F334" s="6" cm="1">
        <f t="array" aca="1" ref="F334" ca="1">IF(Table3[[#This Row],[Stage]]="Closed",0,IF(IFERROR(
  IF(
    COUNTIF(A$2:A$1997, A334) &gt; 1,
    MIN(IF(A$2:A$1997=A334, IF(B$2:B$1997&gt;B334, B$2:B$1997))) - B334,
    TODAY() - Table3[[#This Row],[Date of Update]]
  ),
  TODAY()-Table3[[#This Row],[Date of Update]]
)&lt;=0,
TODAY()-Table3[[#This Row],[Date of Update]],
IFERROR(
  IF(
    COUNTIF(A$2:A$1997, A334) &gt; 1,
    MIN(IF(A$2:A$1997=A334, IF(B$2:B$1997&gt;B334, B$2:B$1997))) - B334,
    TODAY() - Table3[[#This Row],[Date of Update]]
  ),
  TODAY()-Table3[[#This Row],[Date of Update]]
)))</f>
        <v>0</v>
      </c>
      <c r="G334" s="7">
        <f>IF(Table3[[#This Row],[Stage]]="Closed",Table3[[#This Row],[Date of Update]]-(_xlfn.MINIFS(Table3[Date of Update],Table3[Ref], Table3[[#This Row],[Ref]])),"")</f>
        <v>21</v>
      </c>
    </row>
    <row r="335" spans="1:7" x14ac:dyDescent="0.25">
      <c r="A335" s="4" t="s">
        <v>274</v>
      </c>
      <c r="B335" s="5">
        <v>44936</v>
      </c>
      <c r="C335" s="6" t="s">
        <v>8</v>
      </c>
      <c r="D335" s="6" t="s">
        <v>9</v>
      </c>
      <c r="E335" s="6" t="s">
        <v>275</v>
      </c>
      <c r="F335" s="6" cm="1">
        <f t="array" aca="1" ref="F335" ca="1">IF(Table3[[#This Row],[Stage]]="Closed",0,IF(IFERROR(
  IF(
    COUNTIF(A$2:A$1997, A335) &gt; 1,
    MIN(IF(A$2:A$1997=A335, IF(B$2:B$1997&gt;B335, B$2:B$1997))) - B335,
    TODAY() - Table3[[#This Row],[Date of Update]]
  ),
  TODAY()-Table3[[#This Row],[Date of Update]]
)&lt;=0,
TODAY()-Table3[[#This Row],[Date of Update]],
IFERROR(
  IF(
    COUNTIF(A$2:A$1997, A335) &gt; 1,
    MIN(IF(A$2:A$1997=A335, IF(B$2:B$1997&gt;B335, B$2:B$1997))) - B335,
    TODAY() - Table3[[#This Row],[Date of Update]]
  ),
  TODAY()-Table3[[#This Row],[Date of Update]]
)))</f>
        <v>30</v>
      </c>
      <c r="G335" s="7" t="str">
        <f>IF(Table3[[#This Row],[Stage]]="Closed",Table3[[#This Row],[Date of Update]]-(_xlfn.MINIFS(Table3[Date of Update],Table3[Ref], Table3[[#This Row],[Ref]])),"")</f>
        <v/>
      </c>
    </row>
    <row r="336" spans="1:7" x14ac:dyDescent="0.25">
      <c r="A336" s="4" t="s">
        <v>276</v>
      </c>
      <c r="B336" s="5">
        <v>44937</v>
      </c>
      <c r="C336" s="6" t="s">
        <v>8</v>
      </c>
      <c r="D336" s="6" t="s">
        <v>9</v>
      </c>
      <c r="E336" s="6" t="s">
        <v>244</v>
      </c>
      <c r="F336" s="6" cm="1">
        <f t="array" aca="1" ref="F336" ca="1">IF(Table3[[#This Row],[Stage]]="Closed",0,IF(IFERROR(
  IF(
    COUNTIF(A$2:A$1997, A336) &gt; 1,
    MIN(IF(A$2:A$1997=A336, IF(B$2:B$1997&gt;B336, B$2:B$1997))) - B336,
    TODAY() - Table3[[#This Row],[Date of Update]]
  ),
  TODAY()-Table3[[#This Row],[Date of Update]]
)&lt;=0,
TODAY()-Table3[[#This Row],[Date of Update]],
IFERROR(
  IF(
    COUNTIF(A$2:A$1997, A336) &gt; 1,
    MIN(IF(A$2:A$1997=A336, IF(B$2:B$1997&gt;B336, B$2:B$1997))) - B336,
    TODAY() - Table3[[#This Row],[Date of Update]]
  ),
  TODAY()-Table3[[#This Row],[Date of Update]]
)))</f>
        <v>12</v>
      </c>
      <c r="G336" s="7" t="str">
        <f>IF(Table3[[#This Row],[Stage]]="Closed",Table3[[#This Row],[Date of Update]]-(_xlfn.MINIFS(Table3[Date of Update],Table3[Ref], Table3[[#This Row],[Ref]])),"")</f>
        <v/>
      </c>
    </row>
    <row r="337" spans="1:7" x14ac:dyDescent="0.25">
      <c r="A337" s="4" t="s">
        <v>277</v>
      </c>
      <c r="B337" s="5">
        <v>44937</v>
      </c>
      <c r="C337" s="6" t="s">
        <v>8</v>
      </c>
      <c r="D337" s="6" t="s">
        <v>9</v>
      </c>
      <c r="E337" s="6" t="s">
        <v>244</v>
      </c>
      <c r="F337" s="6" cm="1">
        <f t="array" aca="1" ref="F337" ca="1">IF(Table3[[#This Row],[Stage]]="Closed",0,IF(IFERROR(
  IF(
    COUNTIF(A$2:A$1997, A337) &gt; 1,
    MIN(IF(A$2:A$1997=A337, IF(B$2:B$1997&gt;B337, B$2:B$1997))) - B337,
    TODAY() - Table3[[#This Row],[Date of Update]]
  ),
  TODAY()-Table3[[#This Row],[Date of Update]]
)&lt;=0,
TODAY()-Table3[[#This Row],[Date of Update]],
IFERROR(
  IF(
    COUNTIF(A$2:A$1997, A337) &gt; 1,
    MIN(IF(A$2:A$1997=A337, IF(B$2:B$1997&gt;B337, B$2:B$1997))) - B337,
    TODAY() - Table3[[#This Row],[Date of Update]]
  ),
  TODAY()-Table3[[#This Row],[Date of Update]]
)))</f>
        <v>12</v>
      </c>
      <c r="G337" s="7" t="str">
        <f>IF(Table3[[#This Row],[Stage]]="Closed",Table3[[#This Row],[Date of Update]]-(_xlfn.MINIFS(Table3[Date of Update],Table3[Ref], Table3[[#This Row],[Ref]])),"")</f>
        <v/>
      </c>
    </row>
    <row r="338" spans="1:7" x14ac:dyDescent="0.25">
      <c r="A338" s="4" t="s">
        <v>278</v>
      </c>
      <c r="B338" s="5">
        <v>44937</v>
      </c>
      <c r="C338" s="6" t="s">
        <v>8</v>
      </c>
      <c r="D338" s="6" t="s">
        <v>9</v>
      </c>
      <c r="E338" s="6" t="s">
        <v>279</v>
      </c>
      <c r="F338" s="6" cm="1">
        <f t="array" aca="1" ref="F338" ca="1">IF(Table3[[#This Row],[Stage]]="Closed",0,IF(IFERROR(
  IF(
    COUNTIF(A$2:A$1997, A338) &gt; 1,
    MIN(IF(A$2:A$1997=A338, IF(B$2:B$1997&gt;B338, B$2:B$1997))) - B338,
    TODAY() - Table3[[#This Row],[Date of Update]]
  ),
  TODAY()-Table3[[#This Row],[Date of Update]]
)&lt;=0,
TODAY()-Table3[[#This Row],[Date of Update]],
IFERROR(
  IF(
    COUNTIF(A$2:A$1997, A338) &gt; 1,
    MIN(IF(A$2:A$1997=A338, IF(B$2:B$1997&gt;B338, B$2:B$1997))) - B338,
    TODAY() - Table3[[#This Row],[Date of Update]]
  ),
  TODAY()-Table3[[#This Row],[Date of Update]]
)))</f>
        <v>23</v>
      </c>
      <c r="G338" s="7" t="str">
        <f>IF(Table3[[#This Row],[Stage]]="Closed",Table3[[#This Row],[Date of Update]]-(_xlfn.MINIFS(Table3[Date of Update],Table3[Ref], Table3[[#This Row],[Ref]])),"")</f>
        <v/>
      </c>
    </row>
    <row r="339" spans="1:7" x14ac:dyDescent="0.25">
      <c r="A339" s="4" t="s">
        <v>280</v>
      </c>
      <c r="B339" s="5">
        <v>44937</v>
      </c>
      <c r="C339" s="6" t="s">
        <v>8</v>
      </c>
      <c r="D339" s="6" t="s">
        <v>9</v>
      </c>
      <c r="E339" s="6" t="s">
        <v>281</v>
      </c>
      <c r="F339" s="6" cm="1">
        <f t="array" aca="1" ref="F339" ca="1">IF(Table3[[#This Row],[Stage]]="Closed",0,IF(IFERROR(
  IF(
    COUNTIF(A$2:A$1997, A339) &gt; 1,
    MIN(IF(A$2:A$1997=A339, IF(B$2:B$1997&gt;B339, B$2:B$1997))) - B339,
    TODAY() - Table3[[#This Row],[Date of Update]]
  ),
  TODAY()-Table3[[#This Row],[Date of Update]]
)&lt;=0,
TODAY()-Table3[[#This Row],[Date of Update]],
IFERROR(
  IF(
    COUNTIF(A$2:A$1997, A339) &gt; 1,
    MIN(IF(A$2:A$1997=A339, IF(B$2:B$1997&gt;B339, B$2:B$1997))) - B339,
    TODAY() - Table3[[#This Row],[Date of Update]]
  ),
  TODAY()-Table3[[#This Row],[Date of Update]]
)))</f>
        <v>44</v>
      </c>
      <c r="G339" s="7" t="str">
        <f>IF(Table3[[#This Row],[Stage]]="Closed",Table3[[#This Row],[Date of Update]]-(_xlfn.MINIFS(Table3[Date of Update],Table3[Ref], Table3[[#This Row],[Ref]])),"")</f>
        <v/>
      </c>
    </row>
    <row r="340" spans="1:7" x14ac:dyDescent="0.25">
      <c r="A340" s="4" t="s">
        <v>241</v>
      </c>
      <c r="B340" s="5">
        <v>44939</v>
      </c>
      <c r="C340" s="6" t="s">
        <v>17</v>
      </c>
      <c r="D340" s="6" t="s">
        <v>9</v>
      </c>
      <c r="E340" s="6" t="s">
        <v>242</v>
      </c>
      <c r="F340" s="6" cm="1">
        <f t="array" aca="1" ref="F340" ca="1">IF(Table3[[#This Row],[Stage]]="Closed",0,IF(IFERROR(
  IF(
    COUNTIF(A$2:A$1997, A340) &gt; 1,
    MIN(IF(A$2:A$1997=A340, IF(B$2:B$1997&gt;B340, B$2:B$1997))) - B340,
    TODAY() - Table3[[#This Row],[Date of Update]]
  ),
  TODAY()-Table3[[#This Row],[Date of Update]]
)&lt;=0,
TODAY()-Table3[[#This Row],[Date of Update]],
IFERROR(
  IF(
    COUNTIF(A$2:A$1997, A340) &gt; 1,
    MIN(IF(A$2:A$1997=A340, IF(B$2:B$1997&gt;B340, B$2:B$1997))) - B340,
    TODAY() - Table3[[#This Row],[Date of Update]]
  ),
  TODAY()-Table3[[#This Row],[Date of Update]]
)))</f>
        <v>0</v>
      </c>
      <c r="G340" s="7">
        <f>IF(Table3[[#This Row],[Stage]]="Closed",Table3[[#This Row],[Date of Update]]-(_xlfn.MINIFS(Table3[Date of Update],Table3[Ref], Table3[[#This Row],[Ref]])),"")</f>
        <v>28</v>
      </c>
    </row>
    <row r="341" spans="1:7" x14ac:dyDescent="0.25">
      <c r="A341" s="4" t="s">
        <v>195</v>
      </c>
      <c r="B341" s="5">
        <v>44939</v>
      </c>
      <c r="C341" s="6" t="s">
        <v>17</v>
      </c>
      <c r="D341" s="6" t="s">
        <v>9</v>
      </c>
      <c r="E341" s="6" t="s">
        <v>196</v>
      </c>
      <c r="F341" s="6" cm="1">
        <f t="array" aca="1" ref="F341" ca="1">IF(Table3[[#This Row],[Stage]]="Closed",0,IF(IFERROR(
  IF(
    COUNTIF(A$2:A$1997, A341) &gt; 1,
    MIN(IF(A$2:A$1997=A341, IF(B$2:B$1997&gt;B341, B$2:B$1997))) - B341,
    TODAY() - Table3[[#This Row],[Date of Update]]
  ),
  TODAY()-Table3[[#This Row],[Date of Update]]
)&lt;=0,
TODAY()-Table3[[#This Row],[Date of Update]],
IFERROR(
  IF(
    COUNTIF(A$2:A$1997, A341) &gt; 1,
    MIN(IF(A$2:A$1997=A341, IF(B$2:B$1997&gt;B341, B$2:B$1997))) - B341,
    TODAY() - Table3[[#This Row],[Date of Update]]
  ),
  TODAY()-Table3[[#This Row],[Date of Update]]
)))</f>
        <v>0</v>
      </c>
      <c r="G341" s="7">
        <f>IF(Table3[[#This Row],[Stage]]="Closed",Table3[[#This Row],[Date of Update]]-(_xlfn.MINIFS(Table3[Date of Update],Table3[Ref], Table3[[#This Row],[Ref]])),"")</f>
        <v>57</v>
      </c>
    </row>
    <row r="342" spans="1:7" x14ac:dyDescent="0.25">
      <c r="A342" s="4" t="s">
        <v>282</v>
      </c>
      <c r="B342" s="5">
        <v>44939</v>
      </c>
      <c r="C342" s="6" t="s">
        <v>8</v>
      </c>
      <c r="D342" s="6" t="s">
        <v>9</v>
      </c>
      <c r="E342" s="6"/>
      <c r="F342" s="6" cm="1">
        <f t="array" aca="1" ref="F342" ca="1">IF(Table3[[#This Row],[Stage]]="Closed",0,IF(IFERROR(
  IF(
    COUNTIF(A$2:A$1997, A342) &gt; 1,
    MIN(IF(A$2:A$1997=A342, IF(B$2:B$1997&gt;B342, B$2:B$1997))) - B342,
    TODAY() - Table3[[#This Row],[Date of Update]]
  ),
  TODAY()-Table3[[#This Row],[Date of Update]]
)&lt;=0,
TODAY()-Table3[[#This Row],[Date of Update]],
IFERROR(
  IF(
    COUNTIF(A$2:A$1997, A342) &gt; 1,
    MIN(IF(A$2:A$1997=A342, IF(B$2:B$1997&gt;B342, B$2:B$1997))) - B342,
    TODAY() - Table3[[#This Row],[Date of Update]]
  ),
  TODAY()-Table3[[#This Row],[Date of Update]]
)))</f>
        <v>34</v>
      </c>
      <c r="G342" s="7" t="str">
        <f>IF(Table3[[#This Row],[Stage]]="Closed",Table3[[#This Row],[Date of Update]]-(_xlfn.MINIFS(Table3[Date of Update],Table3[Ref], Table3[[#This Row],[Ref]])),"")</f>
        <v/>
      </c>
    </row>
    <row r="343" spans="1:7" x14ac:dyDescent="0.25">
      <c r="A343" s="4" t="s">
        <v>239</v>
      </c>
      <c r="B343" s="5">
        <v>44940</v>
      </c>
      <c r="C343" s="6" t="s">
        <v>17</v>
      </c>
      <c r="D343" s="6" t="s">
        <v>9</v>
      </c>
      <c r="E343" s="6" t="s">
        <v>240</v>
      </c>
      <c r="F343" s="6" cm="1">
        <f t="array" aca="1" ref="F343" ca="1">IF(Table3[[#This Row],[Stage]]="Closed",0,IF(IFERROR(
  IF(
    COUNTIF(A$2:A$1997, A343) &gt; 1,
    MIN(IF(A$2:A$1997=A343, IF(B$2:B$1997&gt;B343, B$2:B$1997))) - B343,
    TODAY() - Table3[[#This Row],[Date of Update]]
  ),
  TODAY()-Table3[[#This Row],[Date of Update]]
)&lt;=0,
TODAY()-Table3[[#This Row],[Date of Update]],
IFERROR(
  IF(
    COUNTIF(A$2:A$1997, A343) &gt; 1,
    MIN(IF(A$2:A$1997=A343, IF(B$2:B$1997&gt;B343, B$2:B$1997))) - B343,
    TODAY() - Table3[[#This Row],[Date of Update]]
  ),
  TODAY()-Table3[[#This Row],[Date of Update]]
)))</f>
        <v>0</v>
      </c>
      <c r="G343" s="7">
        <f>IF(Table3[[#This Row],[Stage]]="Closed",Table3[[#This Row],[Date of Update]]-(_xlfn.MINIFS(Table3[Date of Update],Table3[Ref], Table3[[#This Row],[Ref]])),"")</f>
        <v>30</v>
      </c>
    </row>
    <row r="344" spans="1:7" x14ac:dyDescent="0.25">
      <c r="A344" s="4" t="s">
        <v>283</v>
      </c>
      <c r="B344" s="5">
        <v>44942</v>
      </c>
      <c r="C344" s="6" t="s">
        <v>8</v>
      </c>
      <c r="D344" s="6" t="s">
        <v>9</v>
      </c>
      <c r="E344" s="6"/>
      <c r="F344" s="6" cm="1">
        <f t="array" aca="1" ref="F344" ca="1">IF(Table3[[#This Row],[Stage]]="Closed",0,IF(IFERROR(
  IF(
    COUNTIF(A$2:A$1997, A344) &gt; 1,
    MIN(IF(A$2:A$1997=A344, IF(B$2:B$1997&gt;B344, B$2:B$1997))) - B344,
    TODAY() - Table3[[#This Row],[Date of Update]]
  ),
  TODAY()-Table3[[#This Row],[Date of Update]]
)&lt;=0,
TODAY()-Table3[[#This Row],[Date of Update]],
IFERROR(
  IF(
    COUNTIF(A$2:A$1997, A344) &gt; 1,
    MIN(IF(A$2:A$1997=A344, IF(B$2:B$1997&gt;B344, B$2:B$1997))) - B344,
    TODAY() - Table3[[#This Row],[Date of Update]]
  ),
  TODAY()-Table3[[#This Row],[Date of Update]]
)))</f>
        <v>31</v>
      </c>
      <c r="G344" s="7" t="str">
        <f>IF(Table3[[#This Row],[Stage]]="Closed",Table3[[#This Row],[Date of Update]]-(_xlfn.MINIFS(Table3[Date of Update],Table3[Ref], Table3[[#This Row],[Ref]])),"")</f>
        <v/>
      </c>
    </row>
    <row r="345" spans="1:7" x14ac:dyDescent="0.25">
      <c r="A345" s="4" t="s">
        <v>284</v>
      </c>
      <c r="B345" s="5">
        <v>44942</v>
      </c>
      <c r="C345" s="6" t="s">
        <v>8</v>
      </c>
      <c r="D345" s="6" t="s">
        <v>9</v>
      </c>
      <c r="E345" s="6"/>
      <c r="F345" s="6" cm="1">
        <f t="array" aca="1" ref="F345" ca="1">IF(Table3[[#This Row],[Stage]]="Closed",0,IF(IFERROR(
  IF(
    COUNTIF(A$2:A$1997, A345) &gt; 1,
    MIN(IF(A$2:A$1997=A345, IF(B$2:B$1997&gt;B345, B$2:B$1997))) - B345,
    TODAY() - Table3[[#This Row],[Date of Update]]
  ),
  TODAY()-Table3[[#This Row],[Date of Update]]
)&lt;=0,
TODAY()-Table3[[#This Row],[Date of Update]],
IFERROR(
  IF(
    COUNTIF(A$2:A$1997, A345) &gt; 1,
    MIN(IF(A$2:A$1997=A345, IF(B$2:B$1997&gt;B345, B$2:B$1997))) - B345,
    TODAY() - Table3[[#This Row],[Date of Update]]
  ),
  TODAY()-Table3[[#This Row],[Date of Update]]
)))</f>
        <v>31</v>
      </c>
      <c r="G345" s="7" t="str">
        <f>IF(Table3[[#This Row],[Stage]]="Closed",Table3[[#This Row],[Date of Update]]-(_xlfn.MINIFS(Table3[Date of Update],Table3[Ref], Table3[[#This Row],[Ref]])),"")</f>
        <v/>
      </c>
    </row>
    <row r="346" spans="1:7" x14ac:dyDescent="0.25">
      <c r="A346" s="4" t="s">
        <v>285</v>
      </c>
      <c r="B346" s="5">
        <v>44942</v>
      </c>
      <c r="C346" s="6" t="s">
        <v>8</v>
      </c>
      <c r="D346" s="6" t="s">
        <v>9</v>
      </c>
      <c r="E346" s="6" t="s">
        <v>244</v>
      </c>
      <c r="F346" s="6" cm="1">
        <f t="array" aca="1" ref="F346" ca="1">IF(Table3[[#This Row],[Stage]]="Closed",0,IF(IFERROR(
  IF(
    COUNTIF(A$2:A$1997, A346) &gt; 1,
    MIN(IF(A$2:A$1997=A346, IF(B$2:B$1997&gt;B346, B$2:B$1997))) - B346,
    TODAY() - Table3[[#This Row],[Date of Update]]
  ),
  TODAY()-Table3[[#This Row],[Date of Update]]
)&lt;=0,
TODAY()-Table3[[#This Row],[Date of Update]],
IFERROR(
  IF(
    COUNTIF(A$2:A$1997, A346) &gt; 1,
    MIN(IF(A$2:A$1997=A346, IF(B$2:B$1997&gt;B346, B$2:B$1997))) - B346,
    TODAY() - Table3[[#This Row],[Date of Update]]
  ),
  TODAY()-Table3[[#This Row],[Date of Update]]
)))</f>
        <v>7</v>
      </c>
      <c r="G346" s="7" t="str">
        <f>IF(Table3[[#This Row],[Stage]]="Closed",Table3[[#This Row],[Date of Update]]-(_xlfn.MINIFS(Table3[Date of Update],Table3[Ref], Table3[[#This Row],[Ref]])),"")</f>
        <v/>
      </c>
    </row>
    <row r="347" spans="1:7" x14ac:dyDescent="0.25">
      <c r="A347" s="4" t="s">
        <v>286</v>
      </c>
      <c r="B347" s="5">
        <v>44943</v>
      </c>
      <c r="C347" s="6" t="s">
        <v>8</v>
      </c>
      <c r="D347" s="6" t="s">
        <v>9</v>
      </c>
      <c r="E347" s="6"/>
      <c r="F347" s="6" cm="1">
        <f t="array" aca="1" ref="F347" ca="1">IF(Table3[[#This Row],[Stage]]="Closed",0,IF(IFERROR(
  IF(
    COUNTIF(A$2:A$1997, A347) &gt; 1,
    MIN(IF(A$2:A$1997=A347, IF(B$2:B$1997&gt;B347, B$2:B$1997))) - B347,
    TODAY() - Table3[[#This Row],[Date of Update]]
  ),
  TODAY()-Table3[[#This Row],[Date of Update]]
)&lt;=0,
TODAY()-Table3[[#This Row],[Date of Update]],
IFERROR(
  IF(
    COUNTIF(A$2:A$1997, A347) &gt; 1,
    MIN(IF(A$2:A$1997=A347, IF(B$2:B$1997&gt;B347, B$2:B$1997))) - B347,
    TODAY() - Table3[[#This Row],[Date of Update]]
  ),
  TODAY()-Table3[[#This Row],[Date of Update]]
)))</f>
        <v>43</v>
      </c>
      <c r="G347" s="7" t="str">
        <f>IF(Table3[[#This Row],[Stage]]="Closed",Table3[[#This Row],[Date of Update]]-(_xlfn.MINIFS(Table3[Date of Update],Table3[Ref], Table3[[#This Row],[Ref]])),"")</f>
        <v/>
      </c>
    </row>
    <row r="348" spans="1:7" x14ac:dyDescent="0.25">
      <c r="A348" s="4" t="s">
        <v>287</v>
      </c>
      <c r="B348" s="5">
        <v>44943</v>
      </c>
      <c r="C348" s="6" t="s">
        <v>8</v>
      </c>
      <c r="D348" s="6" t="s">
        <v>9</v>
      </c>
      <c r="E348" s="6"/>
      <c r="F348" s="6" cm="1">
        <f t="array" aca="1" ref="F348" ca="1">IF(Table3[[#This Row],[Stage]]="Closed",0,IF(IFERROR(
  IF(
    COUNTIF(A$2:A$1997, A348) &gt; 1,
    MIN(IF(A$2:A$1997=A348, IF(B$2:B$1997&gt;B348, B$2:B$1997))) - B348,
    TODAY() - Table3[[#This Row],[Date of Update]]
  ),
  TODAY()-Table3[[#This Row],[Date of Update]]
)&lt;=0,
TODAY()-Table3[[#This Row],[Date of Update]],
IFERROR(
  IF(
    COUNTIF(A$2:A$1997, A348) &gt; 1,
    MIN(IF(A$2:A$1997=A348, IF(B$2:B$1997&gt;B348, B$2:B$1997))) - B348,
    TODAY() - Table3[[#This Row],[Date of Update]]
  ),
  TODAY()-Table3[[#This Row],[Date of Update]]
)))</f>
        <v>62</v>
      </c>
      <c r="G348" s="7" t="str">
        <f>IF(Table3[[#This Row],[Stage]]="Closed",Table3[[#This Row],[Date of Update]]-(_xlfn.MINIFS(Table3[Date of Update],Table3[Ref], Table3[[#This Row],[Ref]])),"")</f>
        <v/>
      </c>
    </row>
    <row r="349" spans="1:7" x14ac:dyDescent="0.25">
      <c r="A349" s="4" t="s">
        <v>288</v>
      </c>
      <c r="B349" s="5">
        <v>44943</v>
      </c>
      <c r="C349" s="6" t="s">
        <v>8</v>
      </c>
      <c r="D349" s="6" t="s">
        <v>9</v>
      </c>
      <c r="E349" s="6" t="s">
        <v>256</v>
      </c>
      <c r="F349" s="6" cm="1">
        <f t="array" aca="1" ref="F349" ca="1">IF(Table3[[#This Row],[Stage]]="Closed",0,IF(IFERROR(
  IF(
    COUNTIF(A$2:A$1997, A349) &gt; 1,
    MIN(IF(A$2:A$1997=A349, IF(B$2:B$1997&gt;B349, B$2:B$1997))) - B349,
    TODAY() - Table3[[#This Row],[Date of Update]]
  ),
  TODAY()-Table3[[#This Row],[Date of Update]]
)&lt;=0,
TODAY()-Table3[[#This Row],[Date of Update]],
IFERROR(
  IF(
    COUNTIF(A$2:A$1997, A349) &gt; 1,
    MIN(IF(A$2:A$1997=A349, IF(B$2:B$1997&gt;B349, B$2:B$1997))) - B349,
    TODAY() - Table3[[#This Row],[Date of Update]]
  ),
  TODAY()-Table3[[#This Row],[Date of Update]]
)))</f>
        <v>17</v>
      </c>
      <c r="G349" s="7" t="str">
        <f>IF(Table3[[#This Row],[Stage]]="Closed",Table3[[#This Row],[Date of Update]]-(_xlfn.MINIFS(Table3[Date of Update],Table3[Ref], Table3[[#This Row],[Ref]])),"")</f>
        <v/>
      </c>
    </row>
    <row r="350" spans="1:7" x14ac:dyDescent="0.25">
      <c r="A350" s="4" t="s">
        <v>289</v>
      </c>
      <c r="B350" s="5">
        <v>44943</v>
      </c>
      <c r="C350" s="6" t="s">
        <v>8</v>
      </c>
      <c r="D350" s="6" t="s">
        <v>9</v>
      </c>
      <c r="E350" s="6" t="s">
        <v>290</v>
      </c>
      <c r="F350" s="6" cm="1">
        <f t="array" aca="1" ref="F350" ca="1">IF(Table3[[#This Row],[Stage]]="Closed",0,IF(IFERROR(
  IF(
    COUNTIF(A$2:A$1997, A350) &gt; 1,
    MIN(IF(A$2:A$1997=A350, IF(B$2:B$1997&gt;B350, B$2:B$1997))) - B350,
    TODAY() - Table3[[#This Row],[Date of Update]]
  ),
  TODAY()-Table3[[#This Row],[Date of Update]]
)&lt;=0,
TODAY()-Table3[[#This Row],[Date of Update]],
IFERROR(
  IF(
    COUNTIF(A$2:A$1997, A350) &gt; 1,
    MIN(IF(A$2:A$1997=A350, IF(B$2:B$1997&gt;B350, B$2:B$1997))) - B350,
    TODAY() - Table3[[#This Row],[Date of Update]]
  ),
  TODAY()-Table3[[#This Row],[Date of Update]]
)))</f>
        <v>38</v>
      </c>
      <c r="G350" s="7" t="str">
        <f>IF(Table3[[#This Row],[Stage]]="Closed",Table3[[#This Row],[Date of Update]]-(_xlfn.MINIFS(Table3[Date of Update],Table3[Ref], Table3[[#This Row],[Ref]])),"")</f>
        <v/>
      </c>
    </row>
    <row r="351" spans="1:7" x14ac:dyDescent="0.25">
      <c r="A351" s="4" t="s">
        <v>291</v>
      </c>
      <c r="B351" s="5">
        <v>44944</v>
      </c>
      <c r="C351" s="6" t="s">
        <v>8</v>
      </c>
      <c r="D351" s="6" t="s">
        <v>9</v>
      </c>
      <c r="E351" s="6" t="s">
        <v>292</v>
      </c>
      <c r="F351" s="6" cm="1">
        <f t="array" aca="1" ref="F351" ca="1">IF(Table3[[#This Row],[Stage]]="Closed",0,IF(IFERROR(
  IF(
    COUNTIF(A$2:A$1997, A351) &gt; 1,
    MIN(IF(A$2:A$1997=A351, IF(B$2:B$1997&gt;B351, B$2:B$1997))) - B351,
    TODAY() - Table3[[#This Row],[Date of Update]]
  ),
  TODAY()-Table3[[#This Row],[Date of Update]]
)&lt;=0,
TODAY()-Table3[[#This Row],[Date of Update]],
IFERROR(
  IF(
    COUNTIF(A$2:A$1997, A351) &gt; 1,
    MIN(IF(A$2:A$1997=A351, IF(B$2:B$1997&gt;B351, B$2:B$1997))) - B351,
    TODAY() - Table3[[#This Row],[Date of Update]]
  ),
  TODAY()-Table3[[#This Row],[Date of Update]]
)))</f>
        <v>92</v>
      </c>
      <c r="G351" s="7" t="str">
        <f>IF(Table3[[#This Row],[Stage]]="Closed",Table3[[#This Row],[Date of Update]]-(_xlfn.MINIFS(Table3[Date of Update],Table3[Ref], Table3[[#This Row],[Ref]])),"")</f>
        <v/>
      </c>
    </row>
    <row r="352" spans="1:7" x14ac:dyDescent="0.25">
      <c r="A352" s="4" t="s">
        <v>266</v>
      </c>
      <c r="B352" s="5">
        <v>44945</v>
      </c>
      <c r="C352" s="6" t="s">
        <v>17</v>
      </c>
      <c r="D352" s="6" t="s">
        <v>9</v>
      </c>
      <c r="E352" s="6" t="s">
        <v>244</v>
      </c>
      <c r="F352" s="6" cm="1">
        <f t="array" aca="1" ref="F352" ca="1">IF(Table3[[#This Row],[Stage]]="Closed",0,IF(IFERROR(
  IF(
    COUNTIF(A$2:A$1997, A352) &gt; 1,
    MIN(IF(A$2:A$1997=A352, IF(B$2:B$1997&gt;B352, B$2:B$1997))) - B352,
    TODAY() - Table3[[#This Row],[Date of Update]]
  ),
  TODAY()-Table3[[#This Row],[Date of Update]]
)&lt;=0,
TODAY()-Table3[[#This Row],[Date of Update]],
IFERROR(
  IF(
    COUNTIF(A$2:A$1997, A352) &gt; 1,
    MIN(IF(A$2:A$1997=A352, IF(B$2:B$1997&gt;B352, B$2:B$1997))) - B352,
    TODAY() - Table3[[#This Row],[Date of Update]]
  ),
  TODAY()-Table3[[#This Row],[Date of Update]]
)))</f>
        <v>0</v>
      </c>
      <c r="G352" s="7">
        <f>IF(Table3[[#This Row],[Stage]]="Closed",Table3[[#This Row],[Date of Update]]-(_xlfn.MINIFS(Table3[Date of Update],Table3[Ref], Table3[[#This Row],[Ref]])),"")</f>
        <v>15</v>
      </c>
    </row>
    <row r="353" spans="1:7" x14ac:dyDescent="0.25">
      <c r="A353" s="4" t="s">
        <v>293</v>
      </c>
      <c r="B353" s="5">
        <v>44945</v>
      </c>
      <c r="C353" s="6" t="s">
        <v>8</v>
      </c>
      <c r="D353" s="6" t="s">
        <v>9</v>
      </c>
      <c r="E353" s="6" t="s">
        <v>294</v>
      </c>
      <c r="F353" s="6" cm="1">
        <f t="array" aca="1" ref="F353" ca="1">IF(Table3[[#This Row],[Stage]]="Closed",0,IF(IFERROR(
  IF(
    COUNTIF(A$2:A$1997, A353) &gt; 1,
    MIN(IF(A$2:A$1997=A353, IF(B$2:B$1997&gt;B353, B$2:B$1997))) - B353,
    TODAY() - Table3[[#This Row],[Date of Update]]
  ),
  TODAY()-Table3[[#This Row],[Date of Update]]
)&lt;=0,
TODAY()-Table3[[#This Row],[Date of Update]],
IFERROR(
  IF(
    COUNTIF(A$2:A$1997, A353) &gt; 1,
    MIN(IF(A$2:A$1997=A353, IF(B$2:B$1997&gt;B353, B$2:B$1997))) - B353,
    TODAY() - Table3[[#This Row],[Date of Update]]
  ),
  TODAY()-Table3[[#This Row],[Date of Update]]
)))</f>
        <v>36</v>
      </c>
      <c r="G353" s="7" t="str">
        <f>IF(Table3[[#This Row],[Stage]]="Closed",Table3[[#This Row],[Date of Update]]-(_xlfn.MINIFS(Table3[Date of Update],Table3[Ref], Table3[[#This Row],[Ref]])),"")</f>
        <v/>
      </c>
    </row>
    <row r="354" spans="1:7" x14ac:dyDescent="0.25">
      <c r="A354" s="4" t="s">
        <v>269</v>
      </c>
      <c r="B354" s="5">
        <v>44945</v>
      </c>
      <c r="C354" s="6" t="s">
        <v>17</v>
      </c>
      <c r="D354" s="6" t="s">
        <v>9</v>
      </c>
      <c r="E354" s="6" t="s">
        <v>244</v>
      </c>
      <c r="F354" s="6" cm="1">
        <f t="array" aca="1" ref="F354" ca="1">IF(Table3[[#This Row],[Stage]]="Closed",0,IF(IFERROR(
  IF(
    COUNTIF(A$2:A$1997, A354) &gt; 1,
    MIN(IF(A$2:A$1997=A354, IF(B$2:B$1997&gt;B354, B$2:B$1997))) - B354,
    TODAY() - Table3[[#This Row],[Date of Update]]
  ),
  TODAY()-Table3[[#This Row],[Date of Update]]
)&lt;=0,
TODAY()-Table3[[#This Row],[Date of Update]],
IFERROR(
  IF(
    COUNTIF(A$2:A$1997, A354) &gt; 1,
    MIN(IF(A$2:A$1997=A354, IF(B$2:B$1997&gt;B354, B$2:B$1997))) - B354,
    TODAY() - Table3[[#This Row],[Date of Update]]
  ),
  TODAY()-Table3[[#This Row],[Date of Update]]
)))</f>
        <v>0</v>
      </c>
      <c r="G354" s="7">
        <f>IF(Table3[[#This Row],[Stage]]="Closed",Table3[[#This Row],[Date of Update]]-(_xlfn.MINIFS(Table3[Date of Update],Table3[Ref], Table3[[#This Row],[Ref]])),"")</f>
        <v>13</v>
      </c>
    </row>
    <row r="355" spans="1:7" x14ac:dyDescent="0.25">
      <c r="A355" s="4" t="s">
        <v>257</v>
      </c>
      <c r="B355" s="5">
        <v>44945</v>
      </c>
      <c r="C355" s="6" t="s">
        <v>17</v>
      </c>
      <c r="D355" s="6" t="s">
        <v>9</v>
      </c>
      <c r="E355" s="6" t="s">
        <v>244</v>
      </c>
      <c r="F355" s="6" cm="1">
        <f t="array" aca="1" ref="F355" ca="1">IF(Table3[[#This Row],[Stage]]="Closed",0,IF(IFERROR(
  IF(
    COUNTIF(A$2:A$1997, A355) &gt; 1,
    MIN(IF(A$2:A$1997=A355, IF(B$2:B$1997&gt;B355, B$2:B$1997))) - B355,
    TODAY() - Table3[[#This Row],[Date of Update]]
  ),
  TODAY()-Table3[[#This Row],[Date of Update]]
)&lt;=0,
TODAY()-Table3[[#This Row],[Date of Update]],
IFERROR(
  IF(
    COUNTIF(A$2:A$1997, A355) &gt; 1,
    MIN(IF(A$2:A$1997=A355, IF(B$2:B$1997&gt;B355, B$2:B$1997))) - B355,
    TODAY() - Table3[[#This Row],[Date of Update]]
  ),
  TODAY()-Table3[[#This Row],[Date of Update]]
)))</f>
        <v>0</v>
      </c>
      <c r="G355" s="7">
        <f>IF(Table3[[#This Row],[Stage]]="Closed",Table3[[#This Row],[Date of Update]]-(_xlfn.MINIFS(Table3[Date of Update],Table3[Ref], Table3[[#This Row],[Ref]])),"")</f>
        <v>16</v>
      </c>
    </row>
    <row r="356" spans="1:7" x14ac:dyDescent="0.25">
      <c r="A356" s="4" t="s">
        <v>258</v>
      </c>
      <c r="B356" s="5">
        <v>44945</v>
      </c>
      <c r="C356" s="6" t="s">
        <v>17</v>
      </c>
      <c r="D356" s="6" t="s">
        <v>9</v>
      </c>
      <c r="E356" s="6" t="s">
        <v>244</v>
      </c>
      <c r="F356" s="6" cm="1">
        <f t="array" aca="1" ref="F356" ca="1">IF(Table3[[#This Row],[Stage]]="Closed",0,IF(IFERROR(
  IF(
    COUNTIF(A$2:A$1997, A356) &gt; 1,
    MIN(IF(A$2:A$1997=A356, IF(B$2:B$1997&gt;B356, B$2:B$1997))) - B356,
    TODAY() - Table3[[#This Row],[Date of Update]]
  ),
  TODAY()-Table3[[#This Row],[Date of Update]]
)&lt;=0,
TODAY()-Table3[[#This Row],[Date of Update]],
IFERROR(
  IF(
    COUNTIF(A$2:A$1997, A356) &gt; 1,
    MIN(IF(A$2:A$1997=A356, IF(B$2:B$1997&gt;B356, B$2:B$1997))) - B356,
    TODAY() - Table3[[#This Row],[Date of Update]]
  ),
  TODAY()-Table3[[#This Row],[Date of Update]]
)))</f>
        <v>0</v>
      </c>
      <c r="G356" s="7">
        <f>IF(Table3[[#This Row],[Stage]]="Closed",Table3[[#This Row],[Date of Update]]-(_xlfn.MINIFS(Table3[Date of Update],Table3[Ref], Table3[[#This Row],[Ref]])),"")</f>
        <v>16</v>
      </c>
    </row>
    <row r="357" spans="1:7" x14ac:dyDescent="0.25">
      <c r="A357" s="4" t="s">
        <v>268</v>
      </c>
      <c r="B357" s="5">
        <v>44945</v>
      </c>
      <c r="C357" s="6" t="s">
        <v>17</v>
      </c>
      <c r="D357" s="6" t="s">
        <v>9</v>
      </c>
      <c r="E357" s="6" t="s">
        <v>244</v>
      </c>
      <c r="F357" s="6" cm="1">
        <f t="array" aca="1" ref="F357" ca="1">IF(Table3[[#This Row],[Stage]]="Closed",0,IF(IFERROR(
  IF(
    COUNTIF(A$2:A$1997, A357) &gt; 1,
    MIN(IF(A$2:A$1997=A357, IF(B$2:B$1997&gt;B357, B$2:B$1997))) - B357,
    TODAY() - Table3[[#This Row],[Date of Update]]
  ),
  TODAY()-Table3[[#This Row],[Date of Update]]
)&lt;=0,
TODAY()-Table3[[#This Row],[Date of Update]],
IFERROR(
  IF(
    COUNTIF(A$2:A$1997, A357) &gt; 1,
    MIN(IF(A$2:A$1997=A357, IF(B$2:B$1997&gt;B357, B$2:B$1997))) - B357,
    TODAY() - Table3[[#This Row],[Date of Update]]
  ),
  TODAY()-Table3[[#This Row],[Date of Update]]
)))</f>
        <v>0</v>
      </c>
      <c r="G357" s="7">
        <f>IF(Table3[[#This Row],[Stage]]="Closed",Table3[[#This Row],[Date of Update]]-(_xlfn.MINIFS(Table3[Date of Update],Table3[Ref], Table3[[#This Row],[Ref]])),"")</f>
        <v>14</v>
      </c>
    </row>
    <row r="358" spans="1:7" x14ac:dyDescent="0.25">
      <c r="A358" s="4" t="s">
        <v>201</v>
      </c>
      <c r="B358" s="5">
        <v>44946</v>
      </c>
      <c r="C358" s="6" t="s">
        <v>17</v>
      </c>
      <c r="D358" s="6" t="s">
        <v>9</v>
      </c>
      <c r="E358" s="6" t="s">
        <v>202</v>
      </c>
      <c r="F358" s="6" cm="1">
        <f t="array" aca="1" ref="F358" ca="1">IF(Table3[[#This Row],[Stage]]="Closed",0,IF(IFERROR(
  IF(
    COUNTIF(A$2:A$1997, A358) &gt; 1,
    MIN(IF(A$2:A$1997=A358, IF(B$2:B$1997&gt;B358, B$2:B$1997))) - B358,
    TODAY() - Table3[[#This Row],[Date of Update]]
  ),
  TODAY()-Table3[[#This Row],[Date of Update]]
)&lt;=0,
TODAY()-Table3[[#This Row],[Date of Update]],
IFERROR(
  IF(
    COUNTIF(A$2:A$1997, A358) &gt; 1,
    MIN(IF(A$2:A$1997=A358, IF(B$2:B$1997&gt;B358, B$2:B$1997))) - B358,
    TODAY() - Table3[[#This Row],[Date of Update]]
  ),
  TODAY()-Table3[[#This Row],[Date of Update]]
)))</f>
        <v>0</v>
      </c>
      <c r="G358" s="7">
        <f>IF(Table3[[#This Row],[Stage]]="Closed",Table3[[#This Row],[Date of Update]]-(_xlfn.MINIFS(Table3[Date of Update],Table3[Ref], Table3[[#This Row],[Ref]])),"")</f>
        <v>58</v>
      </c>
    </row>
    <row r="359" spans="1:7" x14ac:dyDescent="0.25">
      <c r="A359" s="4" t="s">
        <v>272</v>
      </c>
      <c r="B359" s="5">
        <v>44946</v>
      </c>
      <c r="C359" s="6" t="s">
        <v>17</v>
      </c>
      <c r="D359" s="6" t="s">
        <v>9</v>
      </c>
      <c r="E359" s="6" t="s">
        <v>273</v>
      </c>
      <c r="F359" s="6" cm="1">
        <f t="array" aca="1" ref="F359" ca="1">IF(Table3[[#This Row],[Stage]]="Closed",0,IF(IFERROR(
  IF(
    COUNTIF(A$2:A$1997, A359) &gt; 1,
    MIN(IF(A$2:A$1997=A359, IF(B$2:B$1997&gt;B359, B$2:B$1997))) - B359,
    TODAY() - Table3[[#This Row],[Date of Update]]
  ),
  TODAY()-Table3[[#This Row],[Date of Update]]
)&lt;=0,
TODAY()-Table3[[#This Row],[Date of Update]],
IFERROR(
  IF(
    COUNTIF(A$2:A$1997, A359) &gt; 1,
    MIN(IF(A$2:A$1997=A359, IF(B$2:B$1997&gt;B359, B$2:B$1997))) - B359,
    TODAY() - Table3[[#This Row],[Date of Update]]
  ),
  TODAY()-Table3[[#This Row],[Date of Update]]
)))</f>
        <v>0</v>
      </c>
      <c r="G359" s="7">
        <f>IF(Table3[[#This Row],[Stage]]="Closed",Table3[[#This Row],[Date of Update]]-(_xlfn.MINIFS(Table3[Date of Update],Table3[Ref], Table3[[#This Row],[Ref]])),"")</f>
        <v>10</v>
      </c>
    </row>
    <row r="360" spans="1:7" x14ac:dyDescent="0.25">
      <c r="A360" s="4" t="s">
        <v>276</v>
      </c>
      <c r="B360" s="5">
        <v>44949</v>
      </c>
      <c r="C360" s="6" t="s">
        <v>17</v>
      </c>
      <c r="D360" s="6" t="s">
        <v>9</v>
      </c>
      <c r="E360" s="6" t="s">
        <v>244</v>
      </c>
      <c r="F360" s="6" cm="1">
        <f t="array" aca="1" ref="F360" ca="1">IF(Table3[[#This Row],[Stage]]="Closed",0,IF(IFERROR(
  IF(
    COUNTIF(A$2:A$1997, A360) &gt; 1,
    MIN(IF(A$2:A$1997=A360, IF(B$2:B$1997&gt;B360, B$2:B$1997))) - B360,
    TODAY() - Table3[[#This Row],[Date of Update]]
  ),
  TODAY()-Table3[[#This Row],[Date of Update]]
)&lt;=0,
TODAY()-Table3[[#This Row],[Date of Update]],
IFERROR(
  IF(
    COUNTIF(A$2:A$1997, A360) &gt; 1,
    MIN(IF(A$2:A$1997=A360, IF(B$2:B$1997&gt;B360, B$2:B$1997))) - B360,
    TODAY() - Table3[[#This Row],[Date of Update]]
  ),
  TODAY()-Table3[[#This Row],[Date of Update]]
)))</f>
        <v>0</v>
      </c>
      <c r="G360" s="7">
        <f>IF(Table3[[#This Row],[Stage]]="Closed",Table3[[#This Row],[Date of Update]]-(_xlfn.MINIFS(Table3[Date of Update],Table3[Ref], Table3[[#This Row],[Ref]])),"")</f>
        <v>12</v>
      </c>
    </row>
    <row r="361" spans="1:7" x14ac:dyDescent="0.25">
      <c r="A361" s="4" t="s">
        <v>277</v>
      </c>
      <c r="B361" s="5">
        <v>44949</v>
      </c>
      <c r="C361" s="6" t="s">
        <v>17</v>
      </c>
      <c r="D361" s="6" t="s">
        <v>9</v>
      </c>
      <c r="E361" s="6" t="s">
        <v>244</v>
      </c>
      <c r="F361" s="6" cm="1">
        <f t="array" aca="1" ref="F361" ca="1">IF(Table3[[#This Row],[Stage]]="Closed",0,IF(IFERROR(
  IF(
    COUNTIF(A$2:A$1997, A361) &gt; 1,
    MIN(IF(A$2:A$1997=A361, IF(B$2:B$1997&gt;B361, B$2:B$1997))) - B361,
    TODAY() - Table3[[#This Row],[Date of Update]]
  ),
  TODAY()-Table3[[#This Row],[Date of Update]]
)&lt;=0,
TODAY()-Table3[[#This Row],[Date of Update]],
IFERROR(
  IF(
    COUNTIF(A$2:A$1997, A361) &gt; 1,
    MIN(IF(A$2:A$1997=A361, IF(B$2:B$1997&gt;B361, B$2:B$1997))) - B361,
    TODAY() - Table3[[#This Row],[Date of Update]]
  ),
  TODAY()-Table3[[#This Row],[Date of Update]]
)))</f>
        <v>0</v>
      </c>
      <c r="G361" s="7">
        <f>IF(Table3[[#This Row],[Stage]]="Closed",Table3[[#This Row],[Date of Update]]-(_xlfn.MINIFS(Table3[Date of Update],Table3[Ref], Table3[[#This Row],[Ref]])),"")</f>
        <v>12</v>
      </c>
    </row>
    <row r="362" spans="1:7" x14ac:dyDescent="0.25">
      <c r="A362" s="4" t="s">
        <v>285</v>
      </c>
      <c r="B362" s="5">
        <v>44949</v>
      </c>
      <c r="C362" s="6" t="s">
        <v>17</v>
      </c>
      <c r="D362" s="6" t="s">
        <v>9</v>
      </c>
      <c r="E362" s="6" t="s">
        <v>244</v>
      </c>
      <c r="F362" s="6" cm="1">
        <f t="array" aca="1" ref="F362" ca="1">IF(Table3[[#This Row],[Stage]]="Closed",0,IF(IFERROR(
  IF(
    COUNTIF(A$2:A$1997, A362) &gt; 1,
    MIN(IF(A$2:A$1997=A362, IF(B$2:B$1997&gt;B362, B$2:B$1997))) - B362,
    TODAY() - Table3[[#This Row],[Date of Update]]
  ),
  TODAY()-Table3[[#This Row],[Date of Update]]
)&lt;=0,
TODAY()-Table3[[#This Row],[Date of Update]],
IFERROR(
  IF(
    COUNTIF(A$2:A$1997, A362) &gt; 1,
    MIN(IF(A$2:A$1997=A362, IF(B$2:B$1997&gt;B362, B$2:B$1997))) - B362,
    TODAY() - Table3[[#This Row],[Date of Update]]
  ),
  TODAY()-Table3[[#This Row],[Date of Update]]
)))</f>
        <v>0</v>
      </c>
      <c r="G362" s="7">
        <f>IF(Table3[[#This Row],[Stage]]="Closed",Table3[[#This Row],[Date of Update]]-(_xlfn.MINIFS(Table3[Date of Update],Table3[Ref], Table3[[#This Row],[Ref]])),"")</f>
        <v>7</v>
      </c>
    </row>
    <row r="363" spans="1:7" x14ac:dyDescent="0.25">
      <c r="A363" s="4" t="s">
        <v>265</v>
      </c>
      <c r="B363" s="5">
        <v>44949</v>
      </c>
      <c r="C363" s="6" t="s">
        <v>17</v>
      </c>
      <c r="D363" s="6" t="s">
        <v>9</v>
      </c>
      <c r="E363" s="6" t="s">
        <v>244</v>
      </c>
      <c r="F363" s="6" cm="1">
        <f t="array" aca="1" ref="F363" ca="1">IF(Table3[[#This Row],[Stage]]="Closed",0,IF(IFERROR(
  IF(
    COUNTIF(A$2:A$1997, A363) &gt; 1,
    MIN(IF(A$2:A$1997=A363, IF(B$2:B$1997&gt;B363, B$2:B$1997))) - B363,
    TODAY() - Table3[[#This Row],[Date of Update]]
  ),
  TODAY()-Table3[[#This Row],[Date of Update]]
)&lt;=0,
TODAY()-Table3[[#This Row],[Date of Update]],
IFERROR(
  IF(
    COUNTIF(A$2:A$1997, A363) &gt; 1,
    MIN(IF(A$2:A$1997=A363, IF(B$2:B$1997&gt;B363, B$2:B$1997))) - B363,
    TODAY() - Table3[[#This Row],[Date of Update]]
  ),
  TODAY()-Table3[[#This Row],[Date of Update]]
)))</f>
        <v>0</v>
      </c>
      <c r="G363" s="7">
        <f>IF(Table3[[#This Row],[Stage]]="Closed",Table3[[#This Row],[Date of Update]]-(_xlfn.MINIFS(Table3[Date of Update],Table3[Ref], Table3[[#This Row],[Ref]])),"")</f>
        <v>20</v>
      </c>
    </row>
    <row r="364" spans="1:7" x14ac:dyDescent="0.25">
      <c r="A364" s="4" t="s">
        <v>295</v>
      </c>
      <c r="B364" s="5">
        <v>44951</v>
      </c>
      <c r="C364" s="6" t="s">
        <v>8</v>
      </c>
      <c r="D364" s="6" t="s">
        <v>9</v>
      </c>
      <c r="E364" s="6" t="s">
        <v>296</v>
      </c>
      <c r="F364" s="6" cm="1">
        <f t="array" aca="1" ref="F364" ca="1">IF(Table3[[#This Row],[Stage]]="Closed",0,IF(IFERROR(
  IF(
    COUNTIF(A$2:A$1997, A364) &gt; 1,
    MIN(IF(A$2:A$1997=A364, IF(B$2:B$1997&gt;B364, B$2:B$1997))) - B364,
    TODAY() - Table3[[#This Row],[Date of Update]]
  ),
  TODAY()-Table3[[#This Row],[Date of Update]]
)&lt;=0,
TODAY()-Table3[[#This Row],[Date of Update]],
IFERROR(
  IF(
    COUNTIF(A$2:A$1997, A364) &gt; 1,
    MIN(IF(A$2:A$1997=A364, IF(B$2:B$1997&gt;B364, B$2:B$1997))) - B364,
    TODAY() - Table3[[#This Row],[Date of Update]]
  ),
  TODAY()-Table3[[#This Row],[Date of Update]]
)))</f>
        <v>148</v>
      </c>
      <c r="G364" s="7" t="str">
        <f>IF(Table3[[#This Row],[Stage]]="Closed",Table3[[#This Row],[Date of Update]]-(_xlfn.MINIFS(Table3[Date of Update],Table3[Ref], Table3[[#This Row],[Ref]])),"")</f>
        <v/>
      </c>
    </row>
    <row r="365" spans="1:7" x14ac:dyDescent="0.25">
      <c r="A365" s="4" t="s">
        <v>297</v>
      </c>
      <c r="B365" s="5">
        <v>44951</v>
      </c>
      <c r="C365" s="6" t="s">
        <v>8</v>
      </c>
      <c r="D365" s="6" t="s">
        <v>9</v>
      </c>
      <c r="E365" s="6" t="s">
        <v>298</v>
      </c>
      <c r="F365" s="6" cm="1">
        <f t="array" aca="1" ref="F365" ca="1">IF(Table3[[#This Row],[Stage]]="Closed",0,IF(IFERROR(
  IF(
    COUNTIF(A$2:A$1997, A365) &gt; 1,
    MIN(IF(A$2:A$1997=A365, IF(B$2:B$1997&gt;B365, B$2:B$1997))) - B365,
    TODAY() - Table3[[#This Row],[Date of Update]]
  ),
  TODAY()-Table3[[#This Row],[Date of Update]]
)&lt;=0,
TODAY()-Table3[[#This Row],[Date of Update]],
IFERROR(
  IF(
    COUNTIF(A$2:A$1997, A365) &gt; 1,
    MIN(IF(A$2:A$1997=A365, IF(B$2:B$1997&gt;B365, B$2:B$1997))) - B365,
    TODAY() - Table3[[#This Row],[Date of Update]]
  ),
  TODAY()-Table3[[#This Row],[Date of Update]]
)))</f>
        <v>36</v>
      </c>
      <c r="G365" s="7" t="str">
        <f>IF(Table3[[#This Row],[Stage]]="Closed",Table3[[#This Row],[Date of Update]]-(_xlfn.MINIFS(Table3[Date of Update],Table3[Ref], Table3[[#This Row],[Ref]])),"")</f>
        <v/>
      </c>
    </row>
    <row r="366" spans="1:7" x14ac:dyDescent="0.25">
      <c r="A366" s="4" t="s">
        <v>299</v>
      </c>
      <c r="B366" s="5">
        <v>44951</v>
      </c>
      <c r="C366" s="6" t="s">
        <v>8</v>
      </c>
      <c r="D366" s="6" t="s">
        <v>9</v>
      </c>
      <c r="E366" s="6" t="s">
        <v>300</v>
      </c>
      <c r="F366" s="6" cm="1">
        <f t="array" aca="1" ref="F366" ca="1">IF(Table3[[#This Row],[Stage]]="Closed",0,IF(IFERROR(
  IF(
    COUNTIF(A$2:A$1997, A366) &gt; 1,
    MIN(IF(A$2:A$1997=A366, IF(B$2:B$1997&gt;B366, B$2:B$1997))) - B366,
    TODAY() - Table3[[#This Row],[Date of Update]]
  ),
  TODAY()-Table3[[#This Row],[Date of Update]]
)&lt;=0,
TODAY()-Table3[[#This Row],[Date of Update]],
IFERROR(
  IF(
    COUNTIF(A$2:A$1997, A366) &gt; 1,
    MIN(IF(A$2:A$1997=A366, IF(B$2:B$1997&gt;B366, B$2:B$1997))) - B366,
    TODAY() - Table3[[#This Row],[Date of Update]]
  ),
  TODAY()-Table3[[#This Row],[Date of Update]]
)))</f>
        <v>30</v>
      </c>
      <c r="G366" s="7" t="str">
        <f>IF(Table3[[#This Row],[Stage]]="Closed",Table3[[#This Row],[Date of Update]]-(_xlfn.MINIFS(Table3[Date of Update],Table3[Ref], Table3[[#This Row],[Ref]])),"")</f>
        <v/>
      </c>
    </row>
    <row r="367" spans="1:7" x14ac:dyDescent="0.25">
      <c r="A367" s="4" t="s">
        <v>301</v>
      </c>
      <c r="B367" s="5">
        <v>44951</v>
      </c>
      <c r="C367" s="6" t="s">
        <v>8</v>
      </c>
      <c r="D367" s="6" t="s">
        <v>9</v>
      </c>
      <c r="E367" s="6" t="s">
        <v>302</v>
      </c>
      <c r="F367" s="6" cm="1">
        <f t="array" aca="1" ref="F367" ca="1">IF(Table3[[#This Row],[Stage]]="Closed",0,IF(IFERROR(
  IF(
    COUNTIF(A$2:A$1997, A367) &gt; 1,
    MIN(IF(A$2:A$1997=A367, IF(B$2:B$1997&gt;B367, B$2:B$1997))) - B367,
    TODAY() - Table3[[#This Row],[Date of Update]]
  ),
  TODAY()-Table3[[#This Row],[Date of Update]]
)&lt;=0,
TODAY()-Table3[[#This Row],[Date of Update]],
IFERROR(
  IF(
    COUNTIF(A$2:A$1997, A367) &gt; 1,
    MIN(IF(A$2:A$1997=A367, IF(B$2:B$1997&gt;B367, B$2:B$1997))) - B367,
    TODAY() - Table3[[#This Row],[Date of Update]]
  ),
  TODAY()-Table3[[#This Row],[Date of Update]]
)))</f>
        <v>31</v>
      </c>
      <c r="G367" s="7" t="str">
        <f>IF(Table3[[#This Row],[Stage]]="Closed",Table3[[#This Row],[Date of Update]]-(_xlfn.MINIFS(Table3[Date of Update],Table3[Ref], Table3[[#This Row],[Ref]])),"")</f>
        <v/>
      </c>
    </row>
    <row r="368" spans="1:7" x14ac:dyDescent="0.25">
      <c r="A368" s="4" t="s">
        <v>270</v>
      </c>
      <c r="B368" s="5">
        <v>44953</v>
      </c>
      <c r="C368" s="6" t="s">
        <v>17</v>
      </c>
      <c r="D368" s="6" t="s">
        <v>9</v>
      </c>
      <c r="E368" s="6" t="s">
        <v>271</v>
      </c>
      <c r="F368" s="6" cm="1">
        <f t="array" aca="1" ref="F368" ca="1">IF(Table3[[#This Row],[Stage]]="Closed",0,IF(IFERROR(
  IF(
    COUNTIF(A$2:A$1997, A368) &gt; 1,
    MIN(IF(A$2:A$1997=A368, IF(B$2:B$1997&gt;B368, B$2:B$1997))) - B368,
    TODAY() - Table3[[#This Row],[Date of Update]]
  ),
  TODAY()-Table3[[#This Row],[Date of Update]]
)&lt;=0,
TODAY()-Table3[[#This Row],[Date of Update]],
IFERROR(
  IF(
    COUNTIF(A$2:A$1997, A368) &gt; 1,
    MIN(IF(A$2:A$1997=A368, IF(B$2:B$1997&gt;B368, B$2:B$1997))) - B368,
    TODAY() - Table3[[#This Row],[Date of Update]]
  ),
  TODAY()-Table3[[#This Row],[Date of Update]]
)))</f>
        <v>0</v>
      </c>
      <c r="G368" s="7">
        <f>IF(Table3[[#This Row],[Stage]]="Closed",Table3[[#This Row],[Date of Update]]-(_xlfn.MINIFS(Table3[Date of Update],Table3[Ref], Table3[[#This Row],[Ref]])),"")</f>
        <v>17</v>
      </c>
    </row>
    <row r="369" spans="1:7" x14ac:dyDescent="0.25">
      <c r="A369" s="4" t="s">
        <v>255</v>
      </c>
      <c r="B369" s="5">
        <v>44953</v>
      </c>
      <c r="C369" s="6" t="s">
        <v>17</v>
      </c>
      <c r="D369" s="6" t="s">
        <v>9</v>
      </c>
      <c r="E369" s="6" t="s">
        <v>256</v>
      </c>
      <c r="F369" s="6" cm="1">
        <f t="array" aca="1" ref="F369" ca="1">IF(Table3[[#This Row],[Stage]]="Closed",0,IF(IFERROR(
  IF(
    COUNTIF(A$2:A$1997, A369) &gt; 1,
    MIN(IF(A$2:A$1997=A369, IF(B$2:B$1997&gt;B369, B$2:B$1997))) - B369,
    TODAY() - Table3[[#This Row],[Date of Update]]
  ),
  TODAY()-Table3[[#This Row],[Date of Update]]
)&lt;=0,
TODAY()-Table3[[#This Row],[Date of Update]],
IFERROR(
  IF(
    COUNTIF(A$2:A$1997, A369) &gt; 1,
    MIN(IF(A$2:A$1997=A369, IF(B$2:B$1997&gt;B369, B$2:B$1997))) - B369,
    TODAY() - Table3[[#This Row],[Date of Update]]
  ),
  TODAY()-Table3[[#This Row],[Date of Update]]
)))</f>
        <v>0</v>
      </c>
      <c r="G369" s="7">
        <f>IF(Table3[[#This Row],[Stage]]="Closed",Table3[[#This Row],[Date of Update]]-(_xlfn.MINIFS(Table3[Date of Update],Table3[Ref], Table3[[#This Row],[Ref]])),"")</f>
        <v>24</v>
      </c>
    </row>
    <row r="370" spans="1:7" x14ac:dyDescent="0.25">
      <c r="A370" s="4" t="s">
        <v>303</v>
      </c>
      <c r="B370" s="5">
        <v>44953</v>
      </c>
      <c r="C370" s="6" t="s">
        <v>8</v>
      </c>
      <c r="D370" s="6" t="s">
        <v>9</v>
      </c>
      <c r="E370" s="6" t="s">
        <v>304</v>
      </c>
      <c r="F370" s="6" cm="1">
        <f t="array" aca="1" ref="F370" ca="1">IF(Table3[[#This Row],[Stage]]="Closed",0,IF(IFERROR(
  IF(
    COUNTIF(A$2:A$1997, A370) &gt; 1,
    MIN(IF(A$2:A$1997=A370, IF(B$2:B$1997&gt;B370, B$2:B$1997))) - B370,
    TODAY() - Table3[[#This Row],[Date of Update]]
  ),
  TODAY()-Table3[[#This Row],[Date of Update]]
)&lt;=0,
TODAY()-Table3[[#This Row],[Date of Update]],
IFERROR(
  IF(
    COUNTIF(A$2:A$1997, A370) &gt; 1,
    MIN(IF(A$2:A$1997=A370, IF(B$2:B$1997&gt;B370, B$2:B$1997))) - B370,
    TODAY() - Table3[[#This Row],[Date of Update]]
  ),
  TODAY()-Table3[[#This Row],[Date of Update]]
)))</f>
        <v>95</v>
      </c>
      <c r="G370" s="7" t="str">
        <f>IF(Table3[[#This Row],[Stage]]="Closed",Table3[[#This Row],[Date of Update]]-(_xlfn.MINIFS(Table3[Date of Update],Table3[Ref], Table3[[#This Row],[Ref]])),"")</f>
        <v/>
      </c>
    </row>
    <row r="371" spans="1:7" x14ac:dyDescent="0.25">
      <c r="A371" s="4" t="s">
        <v>109</v>
      </c>
      <c r="B371" s="5">
        <v>44953</v>
      </c>
      <c r="C371" s="6" t="s">
        <v>17</v>
      </c>
      <c r="D371" s="6" t="s">
        <v>9</v>
      </c>
      <c r="E371" s="6" t="s">
        <v>110</v>
      </c>
      <c r="F371" s="6" cm="1">
        <f t="array" aca="1" ref="F371" ca="1">IF(Table3[[#This Row],[Stage]]="Closed",0,IF(IFERROR(
  IF(
    COUNTIF(A$2:A$1997, A371) &gt; 1,
    MIN(IF(A$2:A$1997=A371, IF(B$2:B$1997&gt;B371, B$2:B$1997))) - B371,
    TODAY() - Table3[[#This Row],[Date of Update]]
  ),
  TODAY()-Table3[[#This Row],[Date of Update]]
)&lt;=0,
TODAY()-Table3[[#This Row],[Date of Update]],
IFERROR(
  IF(
    COUNTIF(A$2:A$1997, A371) &gt; 1,
    MIN(IF(A$2:A$1997=A371, IF(B$2:B$1997&gt;B371, B$2:B$1997))) - B371,
    TODAY() - Table3[[#This Row],[Date of Update]]
  ),
  TODAY()-Table3[[#This Row],[Date of Update]]
)))</f>
        <v>0</v>
      </c>
      <c r="G371" s="7">
        <f>IF(Table3[[#This Row],[Stage]]="Closed",Table3[[#This Row],[Date of Update]]-(_xlfn.MINIFS(Table3[Date of Update],Table3[Ref], Table3[[#This Row],[Ref]])),"")</f>
        <v>184</v>
      </c>
    </row>
    <row r="372" spans="1:7" x14ac:dyDescent="0.25">
      <c r="A372" s="4" t="s">
        <v>305</v>
      </c>
      <c r="B372" s="5">
        <v>44956</v>
      </c>
      <c r="C372" s="6" t="s">
        <v>8</v>
      </c>
      <c r="D372" s="6" t="s">
        <v>9</v>
      </c>
      <c r="E372" s="6" t="s">
        <v>244</v>
      </c>
      <c r="F372" s="6" cm="1">
        <f t="array" aca="1" ref="F372" ca="1">IF(Table3[[#This Row],[Stage]]="Closed",0,IF(IFERROR(
  IF(
    COUNTIF(A$2:A$1997, A372) &gt; 1,
    MIN(IF(A$2:A$1997=A372, IF(B$2:B$1997&gt;B372, B$2:B$1997))) - B372,
    TODAY() - Table3[[#This Row],[Date of Update]]
  ),
  TODAY()-Table3[[#This Row],[Date of Update]]
)&lt;=0,
TODAY()-Table3[[#This Row],[Date of Update]],
IFERROR(
  IF(
    COUNTIF(A$2:A$1997, A372) &gt; 1,
    MIN(IF(A$2:A$1997=A372, IF(B$2:B$1997&gt;B372, B$2:B$1997))) - B372,
    TODAY() - Table3[[#This Row],[Date of Update]]
  ),
  TODAY()-Table3[[#This Row],[Date of Update]]
)))</f>
        <v>4</v>
      </c>
      <c r="G372" s="7" t="str">
        <f>IF(Table3[[#This Row],[Stage]]="Closed",Table3[[#This Row],[Date of Update]]-(_xlfn.MINIFS(Table3[Date of Update],Table3[Ref], Table3[[#This Row],[Ref]])),"")</f>
        <v/>
      </c>
    </row>
    <row r="373" spans="1:7" x14ac:dyDescent="0.25">
      <c r="A373" s="4" t="s">
        <v>306</v>
      </c>
      <c r="B373" s="5">
        <v>44958</v>
      </c>
      <c r="C373" s="6" t="s">
        <v>8</v>
      </c>
      <c r="D373" s="6" t="s">
        <v>9</v>
      </c>
      <c r="E373" s="6" t="s">
        <v>307</v>
      </c>
      <c r="F373" s="6" cm="1">
        <f t="array" aca="1" ref="F373" ca="1">IF(Table3[[#This Row],[Stage]]="Closed",0,IF(IFERROR(
  IF(
    COUNTIF(A$2:A$1997, A373) &gt; 1,
    MIN(IF(A$2:A$1997=A373, IF(B$2:B$1997&gt;B373, B$2:B$1997))) - B373,
    TODAY() - Table3[[#This Row],[Date of Update]]
  ),
  TODAY()-Table3[[#This Row],[Date of Update]]
)&lt;=0,
TODAY()-Table3[[#This Row],[Date of Update]],
IFERROR(
  IF(
    COUNTIF(A$2:A$1997, A373) &gt; 1,
    MIN(IF(A$2:A$1997=A373, IF(B$2:B$1997&gt;B373, B$2:B$1997))) - B373,
    TODAY() - Table3[[#This Row],[Date of Update]]
  ),
  TODAY()-Table3[[#This Row],[Date of Update]]
)))</f>
        <v>78</v>
      </c>
      <c r="G373" s="7" t="str">
        <f>IF(Table3[[#This Row],[Stage]]="Closed",Table3[[#This Row],[Date of Update]]-(_xlfn.MINIFS(Table3[Date of Update],Table3[Ref], Table3[[#This Row],[Ref]])),"")</f>
        <v/>
      </c>
    </row>
    <row r="374" spans="1:7" x14ac:dyDescent="0.25">
      <c r="A374" s="4" t="s">
        <v>308</v>
      </c>
      <c r="B374" s="5">
        <v>44958</v>
      </c>
      <c r="C374" s="6" t="s">
        <v>8</v>
      </c>
      <c r="D374" s="6" t="s">
        <v>9</v>
      </c>
      <c r="E374" s="6" t="s">
        <v>256</v>
      </c>
      <c r="F374" s="6" cm="1">
        <f t="array" aca="1" ref="F374" ca="1">IF(Table3[[#This Row],[Stage]]="Closed",0,IF(IFERROR(
  IF(
    COUNTIF(A$2:A$1997, A374) &gt; 1,
    MIN(IF(A$2:A$1997=A374, IF(B$2:B$1997&gt;B374, B$2:B$1997))) - B374,
    TODAY() - Table3[[#This Row],[Date of Update]]
  ),
  TODAY()-Table3[[#This Row],[Date of Update]]
)&lt;=0,
TODAY()-Table3[[#This Row],[Date of Update]],
IFERROR(
  IF(
    COUNTIF(A$2:A$1997, A374) &gt; 1,
    MIN(IF(A$2:A$1997=A374, IF(B$2:B$1997&gt;B374, B$2:B$1997))) - B374,
    TODAY() - Table3[[#This Row],[Date of Update]]
  ),
  TODAY()-Table3[[#This Row],[Date of Update]]
)))</f>
        <v>78</v>
      </c>
      <c r="G374" s="7" t="str">
        <f>IF(Table3[[#This Row],[Stage]]="Closed",Table3[[#This Row],[Date of Update]]-(_xlfn.MINIFS(Table3[Date of Update],Table3[Ref], Table3[[#This Row],[Ref]])),"")</f>
        <v/>
      </c>
    </row>
    <row r="375" spans="1:7" x14ac:dyDescent="0.25">
      <c r="A375" s="4" t="s">
        <v>79</v>
      </c>
      <c r="B375" s="5">
        <v>44960</v>
      </c>
      <c r="C375" s="6" t="s">
        <v>17</v>
      </c>
      <c r="D375" s="6" t="s">
        <v>9</v>
      </c>
      <c r="E375" s="6" t="s">
        <v>80</v>
      </c>
      <c r="F375" s="6" cm="1">
        <f t="array" aca="1" ref="F375" ca="1">IF(Table3[[#This Row],[Stage]]="Closed",0,IF(IFERROR(
  IF(
    COUNTIF(A$2:A$1997, A375) &gt; 1,
    MIN(IF(A$2:A$1997=A375, IF(B$2:B$1997&gt;B375, B$2:B$1997))) - B375,
    TODAY() - Table3[[#This Row],[Date of Update]]
  ),
  TODAY()-Table3[[#This Row],[Date of Update]]
)&lt;=0,
TODAY()-Table3[[#This Row],[Date of Update]],
IFERROR(
  IF(
    COUNTIF(A$2:A$1997, A375) &gt; 1,
    MIN(IF(A$2:A$1997=A375, IF(B$2:B$1997&gt;B375, B$2:B$1997))) - B375,
    TODAY() - Table3[[#This Row],[Date of Update]]
  ),
  TODAY()-Table3[[#This Row],[Date of Update]]
)))</f>
        <v>0</v>
      </c>
      <c r="G375" s="7">
        <f>IF(Table3[[#This Row],[Stage]]="Closed",Table3[[#This Row],[Date of Update]]-(_xlfn.MINIFS(Table3[Date of Update],Table3[Ref], Table3[[#This Row],[Ref]])),"")</f>
        <v>234</v>
      </c>
    </row>
    <row r="376" spans="1:7" x14ac:dyDescent="0.25">
      <c r="A376" s="4" t="s">
        <v>288</v>
      </c>
      <c r="B376" s="5">
        <v>44960</v>
      </c>
      <c r="C376" s="6" t="s">
        <v>17</v>
      </c>
      <c r="D376" s="6" t="s">
        <v>9</v>
      </c>
      <c r="E376" s="6" t="s">
        <v>256</v>
      </c>
      <c r="F376" s="6" cm="1">
        <f t="array" aca="1" ref="F376" ca="1">IF(Table3[[#This Row],[Stage]]="Closed",0,IF(IFERROR(
  IF(
    COUNTIF(A$2:A$1997, A376) &gt; 1,
    MIN(IF(A$2:A$1997=A376, IF(B$2:B$1997&gt;B376, B$2:B$1997))) - B376,
    TODAY() - Table3[[#This Row],[Date of Update]]
  ),
  TODAY()-Table3[[#This Row],[Date of Update]]
)&lt;=0,
TODAY()-Table3[[#This Row],[Date of Update]],
IFERROR(
  IF(
    COUNTIF(A$2:A$1997, A376) &gt; 1,
    MIN(IF(A$2:A$1997=A376, IF(B$2:B$1997&gt;B376, B$2:B$1997))) - B376,
    TODAY() - Table3[[#This Row],[Date of Update]]
  ),
  TODAY()-Table3[[#This Row],[Date of Update]]
)))</f>
        <v>0</v>
      </c>
      <c r="G376" s="7">
        <f>IF(Table3[[#This Row],[Stage]]="Closed",Table3[[#This Row],[Date of Update]]-(_xlfn.MINIFS(Table3[Date of Update],Table3[Ref], Table3[[#This Row],[Ref]])),"")</f>
        <v>17</v>
      </c>
    </row>
    <row r="377" spans="1:7" x14ac:dyDescent="0.25">
      <c r="A377" s="4" t="s">
        <v>260</v>
      </c>
      <c r="B377" s="5">
        <v>44960</v>
      </c>
      <c r="C377" s="6" t="s">
        <v>17</v>
      </c>
      <c r="D377" s="6" t="s">
        <v>9</v>
      </c>
      <c r="E377" s="6" t="s">
        <v>80</v>
      </c>
      <c r="F377" s="6" cm="1">
        <f t="array" aca="1" ref="F377" ca="1">IF(Table3[[#This Row],[Stage]]="Closed",0,IF(IFERROR(
  IF(
    COUNTIF(A$2:A$1997, A377) &gt; 1,
    MIN(IF(A$2:A$1997=A377, IF(B$2:B$1997&gt;B377, B$2:B$1997))) - B377,
    TODAY() - Table3[[#This Row],[Date of Update]]
  ),
  TODAY()-Table3[[#This Row],[Date of Update]]
)&lt;=0,
TODAY()-Table3[[#This Row],[Date of Update]],
IFERROR(
  IF(
    COUNTIF(A$2:A$1997, A377) &gt; 1,
    MIN(IF(A$2:A$1997=A377, IF(B$2:B$1997&gt;B377, B$2:B$1997))) - B377,
    TODAY() - Table3[[#This Row],[Date of Update]]
  ),
  TODAY()-Table3[[#This Row],[Date of Update]]
)))</f>
        <v>0</v>
      </c>
      <c r="G377" s="7">
        <f>IF(Table3[[#This Row],[Stage]]="Closed",Table3[[#This Row],[Date of Update]]-(_xlfn.MINIFS(Table3[Date of Update],Table3[Ref], Table3[[#This Row],[Ref]])),"")</f>
        <v>31</v>
      </c>
    </row>
    <row r="378" spans="1:7" x14ac:dyDescent="0.25">
      <c r="A378" s="4" t="s">
        <v>278</v>
      </c>
      <c r="B378" s="5">
        <v>44960</v>
      </c>
      <c r="C378" s="6" t="s">
        <v>17</v>
      </c>
      <c r="D378" s="6" t="s">
        <v>9</v>
      </c>
      <c r="E378" s="6" t="s">
        <v>279</v>
      </c>
      <c r="F378" s="6" cm="1">
        <f t="array" aca="1" ref="F378" ca="1">IF(Table3[[#This Row],[Stage]]="Closed",0,IF(IFERROR(
  IF(
    COUNTIF(A$2:A$1997, A378) &gt; 1,
    MIN(IF(A$2:A$1997=A378, IF(B$2:B$1997&gt;B378, B$2:B$1997))) - B378,
    TODAY() - Table3[[#This Row],[Date of Update]]
  ),
  TODAY()-Table3[[#This Row],[Date of Update]]
)&lt;=0,
TODAY()-Table3[[#This Row],[Date of Update]],
IFERROR(
  IF(
    COUNTIF(A$2:A$1997, A378) &gt; 1,
    MIN(IF(A$2:A$1997=A378, IF(B$2:B$1997&gt;B378, B$2:B$1997))) - B378,
    TODAY() - Table3[[#This Row],[Date of Update]]
  ),
  TODAY()-Table3[[#This Row],[Date of Update]]
)))</f>
        <v>0</v>
      </c>
      <c r="G378" s="7">
        <f>IF(Table3[[#This Row],[Stage]]="Closed",Table3[[#This Row],[Date of Update]]-(_xlfn.MINIFS(Table3[Date of Update],Table3[Ref], Table3[[#This Row],[Ref]])),"")</f>
        <v>23</v>
      </c>
    </row>
    <row r="379" spans="1:7" x14ac:dyDescent="0.25">
      <c r="A379" s="4" t="s">
        <v>309</v>
      </c>
      <c r="B379" s="5">
        <v>44960</v>
      </c>
      <c r="C379" s="6" t="s">
        <v>8</v>
      </c>
      <c r="D379" s="6" t="s">
        <v>9</v>
      </c>
      <c r="E379" s="6" t="s">
        <v>178</v>
      </c>
      <c r="F379" s="6" cm="1">
        <f t="array" aca="1" ref="F379" ca="1">IF(Table3[[#This Row],[Stage]]="Closed",0,IF(IFERROR(
  IF(
    COUNTIF(A$2:A$1997, A379) &gt; 1,
    MIN(IF(A$2:A$1997=A379, IF(B$2:B$1997&gt;B379, B$2:B$1997))) - B379,
    TODAY() - Table3[[#This Row],[Date of Update]]
  ),
  TODAY()-Table3[[#This Row],[Date of Update]]
)&lt;=0,
TODAY()-Table3[[#This Row],[Date of Update]],
IFERROR(
  IF(
    COUNTIF(A$2:A$1997, A379) &gt; 1,
    MIN(IF(A$2:A$1997=A379, IF(B$2:B$1997&gt;B379, B$2:B$1997))) - B379,
    TODAY() - Table3[[#This Row],[Date of Update]]
  ),
  TODAY()-Table3[[#This Row],[Date of Update]]
)))</f>
        <v>13</v>
      </c>
      <c r="G379" s="7" t="str">
        <f>IF(Table3[[#This Row],[Stage]]="Closed",Table3[[#This Row],[Date of Update]]-(_xlfn.MINIFS(Table3[Date of Update],Table3[Ref], Table3[[#This Row],[Ref]])),"")</f>
        <v/>
      </c>
    </row>
    <row r="380" spans="1:7" x14ac:dyDescent="0.25">
      <c r="A380" s="4" t="s">
        <v>305</v>
      </c>
      <c r="B380" s="5">
        <v>44960</v>
      </c>
      <c r="C380" s="6" t="s">
        <v>17</v>
      </c>
      <c r="D380" s="6" t="s">
        <v>9</v>
      </c>
      <c r="E380" s="6" t="s">
        <v>244</v>
      </c>
      <c r="F380" s="6" cm="1">
        <f t="array" aca="1" ref="F380" ca="1">IF(Table3[[#This Row],[Stage]]="Closed",0,IF(IFERROR(
  IF(
    COUNTIF(A$2:A$1997, A380) &gt; 1,
    MIN(IF(A$2:A$1997=A380, IF(B$2:B$1997&gt;B380, B$2:B$1997))) - B380,
    TODAY() - Table3[[#This Row],[Date of Update]]
  ),
  TODAY()-Table3[[#This Row],[Date of Update]]
)&lt;=0,
TODAY()-Table3[[#This Row],[Date of Update]],
IFERROR(
  IF(
    COUNTIF(A$2:A$1997, A380) &gt; 1,
    MIN(IF(A$2:A$1997=A380, IF(B$2:B$1997&gt;B380, B$2:B$1997))) - B380,
    TODAY() - Table3[[#This Row],[Date of Update]]
  ),
  TODAY()-Table3[[#This Row],[Date of Update]]
)))</f>
        <v>0</v>
      </c>
      <c r="G380" s="7">
        <f>IF(Table3[[#This Row],[Stage]]="Closed",Table3[[#This Row],[Date of Update]]-(_xlfn.MINIFS(Table3[Date of Update],Table3[Ref], Table3[[#This Row],[Ref]])),"")</f>
        <v>4</v>
      </c>
    </row>
    <row r="381" spans="1:7" x14ac:dyDescent="0.25">
      <c r="A381" s="4" t="s">
        <v>310</v>
      </c>
      <c r="B381" s="5">
        <v>44961</v>
      </c>
      <c r="C381" s="6" t="s">
        <v>8</v>
      </c>
      <c r="D381" s="6" t="s">
        <v>9</v>
      </c>
      <c r="E381" s="6" t="s">
        <v>80</v>
      </c>
      <c r="F381" s="6" cm="1">
        <f t="array" aca="1" ref="F381" ca="1">IF(Table3[[#This Row],[Stage]]="Closed",0,IF(IFERROR(
  IF(
    COUNTIF(A$2:A$1997, A381) &gt; 1,
    MIN(IF(A$2:A$1997=A381, IF(B$2:B$1997&gt;B381, B$2:B$1997))) - B381,
    TODAY() - Table3[[#This Row],[Date of Update]]
  ),
  TODAY()-Table3[[#This Row],[Date of Update]]
)&lt;=0,
TODAY()-Table3[[#This Row],[Date of Update]],
IFERROR(
  IF(
    COUNTIF(A$2:A$1997, A381) &gt; 1,
    MIN(IF(A$2:A$1997=A381, IF(B$2:B$1997&gt;B381, B$2:B$1997))) - B381,
    TODAY() - Table3[[#This Row],[Date of Update]]
  ),
  TODAY()-Table3[[#This Row],[Date of Update]]
)))</f>
        <v>209</v>
      </c>
      <c r="G381" s="7" t="str">
        <f>IF(Table3[[#This Row],[Stage]]="Closed",Table3[[#This Row],[Date of Update]]-(_xlfn.MINIFS(Table3[Date of Update],Table3[Ref], Table3[[#This Row],[Ref]])),"")</f>
        <v/>
      </c>
    </row>
    <row r="382" spans="1:7" x14ac:dyDescent="0.25">
      <c r="A382" s="4" t="s">
        <v>311</v>
      </c>
      <c r="B382" s="5">
        <v>44965</v>
      </c>
      <c r="C382" s="6" t="s">
        <v>8</v>
      </c>
      <c r="D382" s="6" t="s">
        <v>9</v>
      </c>
      <c r="E382" s="6" t="s">
        <v>244</v>
      </c>
      <c r="F382" s="6" cm="1">
        <f t="array" aca="1" ref="F382" ca="1">IF(Table3[[#This Row],[Stage]]="Closed",0,IF(IFERROR(
  IF(
    COUNTIF(A$2:A$1997, A382) &gt; 1,
    MIN(IF(A$2:A$1997=A382, IF(B$2:B$1997&gt;B382, B$2:B$1997))) - B382,
    TODAY() - Table3[[#This Row],[Date of Update]]
  ),
  TODAY()-Table3[[#This Row],[Date of Update]]
)&lt;=0,
TODAY()-Table3[[#This Row],[Date of Update]],
IFERROR(
  IF(
    COUNTIF(A$2:A$1997, A382) &gt; 1,
    MIN(IF(A$2:A$1997=A382, IF(B$2:B$1997&gt;B382, B$2:B$1997))) - B382,
    TODAY() - Table3[[#This Row],[Date of Update]]
  ),
  TODAY()-Table3[[#This Row],[Date of Update]]
)))</f>
        <v>6</v>
      </c>
      <c r="G382" s="7" t="str">
        <f>IF(Table3[[#This Row],[Stage]]="Closed",Table3[[#This Row],[Date of Update]]-(_xlfn.MINIFS(Table3[Date of Update],Table3[Ref], Table3[[#This Row],[Ref]])),"")</f>
        <v/>
      </c>
    </row>
    <row r="383" spans="1:7" x14ac:dyDescent="0.25">
      <c r="A383" s="4" t="s">
        <v>312</v>
      </c>
      <c r="B383" s="5">
        <v>44965</v>
      </c>
      <c r="C383" s="6" t="s">
        <v>8</v>
      </c>
      <c r="D383" s="6" t="s">
        <v>9</v>
      </c>
      <c r="E383" s="6" t="s">
        <v>244</v>
      </c>
      <c r="F383" s="6" cm="1">
        <f t="array" aca="1" ref="F383" ca="1">IF(Table3[[#This Row],[Stage]]="Closed",0,IF(IFERROR(
  IF(
    COUNTIF(A$2:A$1997, A383) &gt; 1,
    MIN(IF(A$2:A$1997=A383, IF(B$2:B$1997&gt;B383, B$2:B$1997))) - B383,
    TODAY() - Table3[[#This Row],[Date of Update]]
  ),
  TODAY()-Table3[[#This Row],[Date of Update]]
)&lt;=0,
TODAY()-Table3[[#This Row],[Date of Update]],
IFERROR(
  IF(
    COUNTIF(A$2:A$1997, A383) &gt; 1,
    MIN(IF(A$2:A$1997=A383, IF(B$2:B$1997&gt;B383, B$2:B$1997))) - B383,
    TODAY() - Table3[[#This Row],[Date of Update]]
  ),
  TODAY()-Table3[[#This Row],[Date of Update]]
)))</f>
        <v>6</v>
      </c>
      <c r="G383" s="7" t="str">
        <f>IF(Table3[[#This Row],[Stage]]="Closed",Table3[[#This Row],[Date of Update]]-(_xlfn.MINIFS(Table3[Date of Update],Table3[Ref], Table3[[#This Row],[Ref]])),"")</f>
        <v/>
      </c>
    </row>
    <row r="384" spans="1:7" x14ac:dyDescent="0.25">
      <c r="A384" s="4" t="s">
        <v>313</v>
      </c>
      <c r="B384" s="5">
        <v>44965</v>
      </c>
      <c r="C384" s="6" t="s">
        <v>8</v>
      </c>
      <c r="D384" s="6" t="s">
        <v>9</v>
      </c>
      <c r="E384" s="6" t="s">
        <v>178</v>
      </c>
      <c r="F384" s="6" cm="1">
        <f t="array" aca="1" ref="F384" ca="1">IF(Table3[[#This Row],[Stage]]="Closed",0,IF(IFERROR(
  IF(
    COUNTIF(A$2:A$1997, A384) &gt; 1,
    MIN(IF(A$2:A$1997=A384, IF(B$2:B$1997&gt;B384, B$2:B$1997))) - B384,
    TODAY() - Table3[[#This Row],[Date of Update]]
  ),
  TODAY()-Table3[[#This Row],[Date of Update]]
)&lt;=0,
TODAY()-Table3[[#This Row],[Date of Update]],
IFERROR(
  IF(
    COUNTIF(A$2:A$1997, A384) &gt; 1,
    MIN(IF(A$2:A$1997=A384, IF(B$2:B$1997&gt;B384, B$2:B$1997))) - B384,
    TODAY() - Table3[[#This Row],[Date of Update]]
  ),
  TODAY()-Table3[[#This Row],[Date of Update]]
)))</f>
        <v>8</v>
      </c>
      <c r="G384" s="7" t="str">
        <f>IF(Table3[[#This Row],[Stage]]="Closed",Table3[[#This Row],[Date of Update]]-(_xlfn.MINIFS(Table3[Date of Update],Table3[Ref], Table3[[#This Row],[Ref]])),"")</f>
        <v/>
      </c>
    </row>
    <row r="385" spans="1:7" x14ac:dyDescent="0.25">
      <c r="A385" s="4" t="s">
        <v>314</v>
      </c>
      <c r="B385" s="5">
        <v>44965</v>
      </c>
      <c r="C385" s="6" t="s">
        <v>8</v>
      </c>
      <c r="D385" s="6" t="s">
        <v>9</v>
      </c>
      <c r="E385" s="6" t="s">
        <v>244</v>
      </c>
      <c r="F385" s="6" cm="1">
        <f t="array" aca="1" ref="F385" ca="1">IF(Table3[[#This Row],[Stage]]="Closed",0,IF(IFERROR(
  IF(
    COUNTIF(A$2:A$1997, A385) &gt; 1,
    MIN(IF(A$2:A$1997=A385, IF(B$2:B$1997&gt;B385, B$2:B$1997))) - B385,
    TODAY() - Table3[[#This Row],[Date of Update]]
  ),
  TODAY()-Table3[[#This Row],[Date of Update]]
)&lt;=0,
TODAY()-Table3[[#This Row],[Date of Update]],
IFERROR(
  IF(
    COUNTIF(A$2:A$1997, A385) &gt; 1,
    MIN(IF(A$2:A$1997=A385, IF(B$2:B$1997&gt;B385, B$2:B$1997))) - B385,
    TODAY() - Table3[[#This Row],[Date of Update]]
  ),
  TODAY()-Table3[[#This Row],[Date of Update]]
)))</f>
        <v>6</v>
      </c>
      <c r="G385" s="7" t="str">
        <f>IF(Table3[[#This Row],[Stage]]="Closed",Table3[[#This Row],[Date of Update]]-(_xlfn.MINIFS(Table3[Date of Update],Table3[Ref], Table3[[#This Row],[Ref]])),"")</f>
        <v/>
      </c>
    </row>
    <row r="386" spans="1:7" x14ac:dyDescent="0.25">
      <c r="A386" s="4" t="s">
        <v>315</v>
      </c>
      <c r="B386" s="5">
        <v>44966</v>
      </c>
      <c r="C386" s="6" t="s">
        <v>8</v>
      </c>
      <c r="D386" s="6" t="s">
        <v>9</v>
      </c>
      <c r="E386" s="6" t="s">
        <v>244</v>
      </c>
      <c r="F386" s="6" cm="1">
        <f t="array" aca="1" ref="F386" ca="1">IF(Table3[[#This Row],[Stage]]="Closed",0,IF(IFERROR(
  IF(
    COUNTIF(A$2:A$1997, A386) &gt; 1,
    MIN(IF(A$2:A$1997=A386, IF(B$2:B$1997&gt;B386, B$2:B$1997))) - B386,
    TODAY() - Table3[[#This Row],[Date of Update]]
  ),
  TODAY()-Table3[[#This Row],[Date of Update]]
)&lt;=0,
TODAY()-Table3[[#This Row],[Date of Update]],
IFERROR(
  IF(
    COUNTIF(A$2:A$1997, A386) &gt; 1,
    MIN(IF(A$2:A$1997=A386, IF(B$2:B$1997&gt;B386, B$2:B$1997))) - B386,
    TODAY() - Table3[[#This Row],[Date of Update]]
  ),
  TODAY()-Table3[[#This Row],[Date of Update]]
)))</f>
        <v>5</v>
      </c>
      <c r="G386" s="7" t="str">
        <f>IF(Table3[[#This Row],[Stage]]="Closed",Table3[[#This Row],[Date of Update]]-(_xlfn.MINIFS(Table3[Date of Update],Table3[Ref], Table3[[#This Row],[Ref]])),"")</f>
        <v/>
      </c>
    </row>
    <row r="387" spans="1:7" x14ac:dyDescent="0.25">
      <c r="A387" s="4" t="s">
        <v>274</v>
      </c>
      <c r="B387" s="5">
        <v>44966</v>
      </c>
      <c r="C387" s="6" t="s">
        <v>17</v>
      </c>
      <c r="D387" s="6" t="s">
        <v>9</v>
      </c>
      <c r="E387" s="6" t="s">
        <v>275</v>
      </c>
      <c r="F387" s="6" cm="1">
        <f t="array" aca="1" ref="F387" ca="1">IF(Table3[[#This Row],[Stage]]="Closed",0,IF(IFERROR(
  IF(
    COUNTIF(A$2:A$1997, A387) &gt; 1,
    MIN(IF(A$2:A$1997=A387, IF(B$2:B$1997&gt;B387, B$2:B$1997))) - B387,
    TODAY() - Table3[[#This Row],[Date of Update]]
  ),
  TODAY()-Table3[[#This Row],[Date of Update]]
)&lt;=0,
TODAY()-Table3[[#This Row],[Date of Update]],
IFERROR(
  IF(
    COUNTIF(A$2:A$1997, A387) &gt; 1,
    MIN(IF(A$2:A$1997=A387, IF(B$2:B$1997&gt;B387, B$2:B$1997))) - B387,
    TODAY() - Table3[[#This Row],[Date of Update]]
  ),
  TODAY()-Table3[[#This Row],[Date of Update]]
)))</f>
        <v>0</v>
      </c>
      <c r="G387" s="7">
        <f>IF(Table3[[#This Row],[Stage]]="Closed",Table3[[#This Row],[Date of Update]]-(_xlfn.MINIFS(Table3[Date of Update],Table3[Ref], Table3[[#This Row],[Ref]])),"")</f>
        <v>30</v>
      </c>
    </row>
    <row r="388" spans="1:7" x14ac:dyDescent="0.25">
      <c r="A388" s="4" t="s">
        <v>316</v>
      </c>
      <c r="B388" s="5">
        <v>44970</v>
      </c>
      <c r="C388" s="6" t="s">
        <v>8</v>
      </c>
      <c r="D388" s="6" t="s">
        <v>9</v>
      </c>
      <c r="E388" s="6" t="s">
        <v>317</v>
      </c>
      <c r="F388" s="6" cm="1">
        <f t="array" aca="1" ref="F388" ca="1">IF(Table3[[#This Row],[Stage]]="Closed",0,IF(IFERROR(
  IF(
    COUNTIF(A$2:A$1997, A388) &gt; 1,
    MIN(IF(A$2:A$1997=A388, IF(B$2:B$1997&gt;B388, B$2:B$1997))) - B388,
    TODAY() - Table3[[#This Row],[Date of Update]]
  ),
  TODAY()-Table3[[#This Row],[Date of Update]]
)&lt;=0,
TODAY()-Table3[[#This Row],[Date of Update]],
IFERROR(
  IF(
    COUNTIF(A$2:A$1997, A388) &gt; 1,
    MIN(IF(A$2:A$1997=A388, IF(B$2:B$1997&gt;B388, B$2:B$1997))) - B388,
    TODAY() - Table3[[#This Row],[Date of Update]]
  ),
  TODAY()-Table3[[#This Row],[Date of Update]]
)))</f>
        <v>129</v>
      </c>
      <c r="G388" s="7" t="str">
        <f>IF(Table3[[#This Row],[Stage]]="Closed",Table3[[#This Row],[Date of Update]]-(_xlfn.MINIFS(Table3[Date of Update],Table3[Ref], Table3[[#This Row],[Ref]])),"")</f>
        <v/>
      </c>
    </row>
    <row r="389" spans="1:7" x14ac:dyDescent="0.25">
      <c r="A389" s="4" t="s">
        <v>318</v>
      </c>
      <c r="B389" s="5">
        <v>44970</v>
      </c>
      <c r="C389" s="6" t="s">
        <v>8</v>
      </c>
      <c r="D389" s="6" t="s">
        <v>9</v>
      </c>
      <c r="E389" s="6" t="s">
        <v>319</v>
      </c>
      <c r="F389" s="6" cm="1">
        <f t="array" aca="1" ref="F389" ca="1">IF(Table3[[#This Row],[Stage]]="Closed",0,IF(IFERROR(
  IF(
    COUNTIF(A$2:A$1997, A389) &gt; 1,
    MIN(IF(A$2:A$1997=A389, IF(B$2:B$1997&gt;B389, B$2:B$1997))) - B389,
    TODAY() - Table3[[#This Row],[Date of Update]]
  ),
  TODAY()-Table3[[#This Row],[Date of Update]]
)&lt;=0,
TODAY()-Table3[[#This Row],[Date of Update]],
IFERROR(
  IF(
    COUNTIF(A$2:A$1997, A389) &gt; 1,
    MIN(IF(A$2:A$1997=A389, IF(B$2:B$1997&gt;B389, B$2:B$1997))) - B389,
    TODAY() - Table3[[#This Row],[Date of Update]]
  ),
  TODAY()-Table3[[#This Row],[Date of Update]]
)))</f>
        <v>4</v>
      </c>
      <c r="G389" s="7" t="str">
        <f>IF(Table3[[#This Row],[Stage]]="Closed",Table3[[#This Row],[Date of Update]]-(_xlfn.MINIFS(Table3[Date of Update],Table3[Ref], Table3[[#This Row],[Ref]])),"")</f>
        <v/>
      </c>
    </row>
    <row r="390" spans="1:7" x14ac:dyDescent="0.25">
      <c r="A390" s="4" t="s">
        <v>311</v>
      </c>
      <c r="B390" s="5">
        <v>44971</v>
      </c>
      <c r="C390" s="6" t="s">
        <v>17</v>
      </c>
      <c r="D390" s="6" t="s">
        <v>9</v>
      </c>
      <c r="E390" s="6" t="s">
        <v>244</v>
      </c>
      <c r="F390" s="6" cm="1">
        <f t="array" aca="1" ref="F390" ca="1">IF(Table3[[#This Row],[Stage]]="Closed",0,IF(IFERROR(
  IF(
    COUNTIF(A$2:A$1997, A390) &gt; 1,
    MIN(IF(A$2:A$1997=A390, IF(B$2:B$1997&gt;B390, B$2:B$1997))) - B390,
    TODAY() - Table3[[#This Row],[Date of Update]]
  ),
  TODAY()-Table3[[#This Row],[Date of Update]]
)&lt;=0,
TODAY()-Table3[[#This Row],[Date of Update]],
IFERROR(
  IF(
    COUNTIF(A$2:A$1997, A390) &gt; 1,
    MIN(IF(A$2:A$1997=A390, IF(B$2:B$1997&gt;B390, B$2:B$1997))) - B390,
    TODAY() - Table3[[#This Row],[Date of Update]]
  ),
  TODAY()-Table3[[#This Row],[Date of Update]]
)))</f>
        <v>0</v>
      </c>
      <c r="G390" s="7">
        <f>IF(Table3[[#This Row],[Stage]]="Closed",Table3[[#This Row],[Date of Update]]-(_xlfn.MINIFS(Table3[Date of Update],Table3[Ref], Table3[[#This Row],[Ref]])),"")</f>
        <v>6</v>
      </c>
    </row>
    <row r="391" spans="1:7" x14ac:dyDescent="0.25">
      <c r="A391" s="4" t="s">
        <v>312</v>
      </c>
      <c r="B391" s="5">
        <v>44971</v>
      </c>
      <c r="C391" s="6" t="s">
        <v>17</v>
      </c>
      <c r="D391" s="6" t="s">
        <v>9</v>
      </c>
      <c r="E391" s="6" t="s">
        <v>244</v>
      </c>
      <c r="F391" s="6" cm="1">
        <f t="array" aca="1" ref="F391" ca="1">IF(Table3[[#This Row],[Stage]]="Closed",0,IF(IFERROR(
  IF(
    COUNTIF(A$2:A$1997, A391) &gt; 1,
    MIN(IF(A$2:A$1997=A391, IF(B$2:B$1997&gt;B391, B$2:B$1997))) - B391,
    TODAY() - Table3[[#This Row],[Date of Update]]
  ),
  TODAY()-Table3[[#This Row],[Date of Update]]
)&lt;=0,
TODAY()-Table3[[#This Row],[Date of Update]],
IFERROR(
  IF(
    COUNTIF(A$2:A$1997, A391) &gt; 1,
    MIN(IF(A$2:A$1997=A391, IF(B$2:B$1997&gt;B391, B$2:B$1997))) - B391,
    TODAY() - Table3[[#This Row],[Date of Update]]
  ),
  TODAY()-Table3[[#This Row],[Date of Update]]
)))</f>
        <v>0</v>
      </c>
      <c r="G391" s="7">
        <f>IF(Table3[[#This Row],[Stage]]="Closed",Table3[[#This Row],[Date of Update]]-(_xlfn.MINIFS(Table3[Date of Update],Table3[Ref], Table3[[#This Row],[Ref]])),"")</f>
        <v>6</v>
      </c>
    </row>
    <row r="392" spans="1:7" x14ac:dyDescent="0.25">
      <c r="A392" s="4" t="s">
        <v>315</v>
      </c>
      <c r="B392" s="5">
        <v>44971</v>
      </c>
      <c r="C392" s="6" t="s">
        <v>17</v>
      </c>
      <c r="D392" s="6" t="s">
        <v>9</v>
      </c>
      <c r="E392" s="6" t="s">
        <v>244</v>
      </c>
      <c r="F392" s="6" cm="1">
        <f t="array" aca="1" ref="F392" ca="1">IF(Table3[[#This Row],[Stage]]="Closed",0,IF(IFERROR(
  IF(
    COUNTIF(A$2:A$1997, A392) &gt; 1,
    MIN(IF(A$2:A$1997=A392, IF(B$2:B$1997&gt;B392, B$2:B$1997))) - B392,
    TODAY() - Table3[[#This Row],[Date of Update]]
  ),
  TODAY()-Table3[[#This Row],[Date of Update]]
)&lt;=0,
TODAY()-Table3[[#This Row],[Date of Update]],
IFERROR(
  IF(
    COUNTIF(A$2:A$1997, A392) &gt; 1,
    MIN(IF(A$2:A$1997=A392, IF(B$2:B$1997&gt;B392, B$2:B$1997))) - B392,
    TODAY() - Table3[[#This Row],[Date of Update]]
  ),
  TODAY()-Table3[[#This Row],[Date of Update]]
)))</f>
        <v>0</v>
      </c>
      <c r="G392" s="7">
        <f>IF(Table3[[#This Row],[Stage]]="Closed",Table3[[#This Row],[Date of Update]]-(_xlfn.MINIFS(Table3[Date of Update],Table3[Ref], Table3[[#This Row],[Ref]])),"")</f>
        <v>5</v>
      </c>
    </row>
    <row r="393" spans="1:7" x14ac:dyDescent="0.25">
      <c r="A393" s="4" t="s">
        <v>320</v>
      </c>
      <c r="B393" s="5">
        <v>44971</v>
      </c>
      <c r="C393" s="6" t="s">
        <v>8</v>
      </c>
      <c r="D393" s="6" t="s">
        <v>9</v>
      </c>
      <c r="E393" s="6" t="s">
        <v>321</v>
      </c>
      <c r="F393" s="6" cm="1">
        <f t="array" aca="1" ref="F393" ca="1">IF(Table3[[#This Row],[Stage]]="Closed",0,IF(IFERROR(
  IF(
    COUNTIF(A$2:A$1997, A393) &gt; 1,
    MIN(IF(A$2:A$1997=A393, IF(B$2:B$1997&gt;B393, B$2:B$1997))) - B393,
    TODAY() - Table3[[#This Row],[Date of Update]]
  ),
  TODAY()-Table3[[#This Row],[Date of Update]]
)&lt;=0,
TODAY()-Table3[[#This Row],[Date of Update]],
IFERROR(
  IF(
    COUNTIF(A$2:A$1997, A393) &gt; 1,
    MIN(IF(A$2:A$1997=A393, IF(B$2:B$1997&gt;B393, B$2:B$1997))) - B393,
    TODAY() - Table3[[#This Row],[Date of Update]]
  ),
  TODAY()-Table3[[#This Row],[Date of Update]]
)))</f>
        <v>30</v>
      </c>
      <c r="G393" s="7" t="str">
        <f>IF(Table3[[#This Row],[Stage]]="Closed",Table3[[#This Row],[Date of Update]]-(_xlfn.MINIFS(Table3[Date of Update],Table3[Ref], Table3[[#This Row],[Ref]])),"")</f>
        <v/>
      </c>
    </row>
    <row r="394" spans="1:7" x14ac:dyDescent="0.25">
      <c r="A394" s="4" t="s">
        <v>322</v>
      </c>
      <c r="B394" s="5">
        <v>44971</v>
      </c>
      <c r="C394" s="6" t="s">
        <v>8</v>
      </c>
      <c r="D394" s="6" t="s">
        <v>9</v>
      </c>
      <c r="E394" s="6" t="s">
        <v>304</v>
      </c>
      <c r="F394" s="6" cm="1">
        <f t="array" aca="1" ref="F394" ca="1">IF(Table3[[#This Row],[Stage]]="Closed",0,IF(IFERROR(
  IF(
    COUNTIF(A$2:A$1997, A394) &gt; 1,
    MIN(IF(A$2:A$1997=A394, IF(B$2:B$1997&gt;B394, B$2:B$1997))) - B394,
    TODAY() - Table3[[#This Row],[Date of Update]]
  ),
  TODAY()-Table3[[#This Row],[Date of Update]]
)&lt;=0,
TODAY()-Table3[[#This Row],[Date of Update]],
IFERROR(
  IF(
    COUNTIF(A$2:A$1997, A394) &gt; 1,
    MIN(IF(A$2:A$1997=A394, IF(B$2:B$1997&gt;B394, B$2:B$1997))) - B394,
    TODAY() - Table3[[#This Row],[Date of Update]]
  ),
  TODAY()-Table3[[#This Row],[Date of Update]]
)))</f>
        <v>24</v>
      </c>
      <c r="G394" s="7" t="str">
        <f>IF(Table3[[#This Row],[Stage]]="Closed",Table3[[#This Row],[Date of Update]]-(_xlfn.MINIFS(Table3[Date of Update],Table3[Ref], Table3[[#This Row],[Ref]])),"")</f>
        <v/>
      </c>
    </row>
    <row r="395" spans="1:7" x14ac:dyDescent="0.25">
      <c r="A395" s="4" t="s">
        <v>323</v>
      </c>
      <c r="B395" s="5">
        <v>44971</v>
      </c>
      <c r="C395" s="6" t="s">
        <v>8</v>
      </c>
      <c r="D395" s="6" t="s">
        <v>9</v>
      </c>
      <c r="E395" s="6" t="s">
        <v>304</v>
      </c>
      <c r="F395" s="6" cm="1">
        <f t="array" aca="1" ref="F395" ca="1">IF(Table3[[#This Row],[Stage]]="Closed",0,IF(IFERROR(
  IF(
    COUNTIF(A$2:A$1997, A395) &gt; 1,
    MIN(IF(A$2:A$1997=A395, IF(B$2:B$1997&gt;B395, B$2:B$1997))) - B395,
    TODAY() - Table3[[#This Row],[Date of Update]]
  ),
  TODAY()-Table3[[#This Row],[Date of Update]]
)&lt;=0,
TODAY()-Table3[[#This Row],[Date of Update]],
IFERROR(
  IF(
    COUNTIF(A$2:A$1997, A395) &gt; 1,
    MIN(IF(A$2:A$1997=A395, IF(B$2:B$1997&gt;B395, B$2:B$1997))) - B395,
    TODAY() - Table3[[#This Row],[Date of Update]]
  ),
  TODAY()-Table3[[#This Row],[Date of Update]]
)))</f>
        <v>164</v>
      </c>
      <c r="G395" s="7" t="str">
        <f>IF(Table3[[#This Row],[Stage]]="Closed",Table3[[#This Row],[Date of Update]]-(_xlfn.MINIFS(Table3[Date of Update],Table3[Ref], Table3[[#This Row],[Ref]])),"")</f>
        <v/>
      </c>
    </row>
    <row r="396" spans="1:7" x14ac:dyDescent="0.25">
      <c r="A396" s="4" t="s">
        <v>314</v>
      </c>
      <c r="B396" s="5">
        <v>44971</v>
      </c>
      <c r="C396" s="6" t="s">
        <v>17</v>
      </c>
      <c r="D396" s="6" t="s">
        <v>9</v>
      </c>
      <c r="E396" s="6" t="s">
        <v>244</v>
      </c>
      <c r="F396" s="6" cm="1">
        <f t="array" aca="1" ref="F396" ca="1">IF(Table3[[#This Row],[Stage]]="Closed",0,IF(IFERROR(
  IF(
    COUNTIF(A$2:A$1997, A396) &gt; 1,
    MIN(IF(A$2:A$1997=A396, IF(B$2:B$1997&gt;B396, B$2:B$1997))) - B396,
    TODAY() - Table3[[#This Row],[Date of Update]]
  ),
  TODAY()-Table3[[#This Row],[Date of Update]]
)&lt;=0,
TODAY()-Table3[[#This Row],[Date of Update]],
IFERROR(
  IF(
    COUNTIF(A$2:A$1997, A396) &gt; 1,
    MIN(IF(A$2:A$1997=A396, IF(B$2:B$1997&gt;B396, B$2:B$1997))) - B396,
    TODAY() - Table3[[#This Row],[Date of Update]]
  ),
  TODAY()-Table3[[#This Row],[Date of Update]]
)))</f>
        <v>0</v>
      </c>
      <c r="G396" s="7">
        <f>IF(Table3[[#This Row],[Stage]]="Closed",Table3[[#This Row],[Date of Update]]-(_xlfn.MINIFS(Table3[Date of Update],Table3[Ref], Table3[[#This Row],[Ref]])),"")</f>
        <v>6</v>
      </c>
    </row>
    <row r="397" spans="1:7" x14ac:dyDescent="0.25">
      <c r="A397" s="4" t="s">
        <v>324</v>
      </c>
      <c r="B397" s="5">
        <v>44972</v>
      </c>
      <c r="C397" s="6" t="s">
        <v>8</v>
      </c>
      <c r="D397" s="6" t="s">
        <v>9</v>
      </c>
      <c r="E397" s="6" t="s">
        <v>244</v>
      </c>
      <c r="F397" s="6" cm="1">
        <f t="array" aca="1" ref="F397" ca="1">IF(Table3[[#This Row],[Stage]]="Closed",0,IF(IFERROR(
  IF(
    COUNTIF(A$2:A$1997, A397) &gt; 1,
    MIN(IF(A$2:A$1997=A397, IF(B$2:B$1997&gt;B397, B$2:B$1997))) - B397,
    TODAY() - Table3[[#This Row],[Date of Update]]
  ),
  TODAY()-Table3[[#This Row],[Date of Update]]
)&lt;=0,
TODAY()-Table3[[#This Row],[Date of Update]],
IFERROR(
  IF(
    COUNTIF(A$2:A$1997, A397) &gt; 1,
    MIN(IF(A$2:A$1997=A397, IF(B$2:B$1997&gt;B397, B$2:B$1997))) - B397,
    TODAY() - Table3[[#This Row],[Date of Update]]
  ),
  TODAY()-Table3[[#This Row],[Date of Update]]
)))</f>
        <v>6</v>
      </c>
      <c r="G397" s="7" t="str">
        <f>IF(Table3[[#This Row],[Stage]]="Closed",Table3[[#This Row],[Date of Update]]-(_xlfn.MINIFS(Table3[Date of Update],Table3[Ref], Table3[[#This Row],[Ref]])),"")</f>
        <v/>
      </c>
    </row>
    <row r="398" spans="1:7" x14ac:dyDescent="0.25">
      <c r="A398" s="4" t="s">
        <v>325</v>
      </c>
      <c r="B398" s="5">
        <v>44972</v>
      </c>
      <c r="C398" s="6" t="s">
        <v>8</v>
      </c>
      <c r="D398" s="6" t="s">
        <v>9</v>
      </c>
      <c r="E398" s="6" t="s">
        <v>244</v>
      </c>
      <c r="F398" s="6" cm="1">
        <f t="array" aca="1" ref="F398" ca="1">IF(Table3[[#This Row],[Stage]]="Closed",0,IF(IFERROR(
  IF(
    COUNTIF(A$2:A$1997, A398) &gt; 1,
    MIN(IF(A$2:A$1997=A398, IF(B$2:B$1997&gt;B398, B$2:B$1997))) - B398,
    TODAY() - Table3[[#This Row],[Date of Update]]
  ),
  TODAY()-Table3[[#This Row],[Date of Update]]
)&lt;=0,
TODAY()-Table3[[#This Row],[Date of Update]],
IFERROR(
  IF(
    COUNTIF(A$2:A$1997, A398) &gt; 1,
    MIN(IF(A$2:A$1997=A398, IF(B$2:B$1997&gt;B398, B$2:B$1997))) - B398,
    TODAY() - Table3[[#This Row],[Date of Update]]
  ),
  TODAY()-Table3[[#This Row],[Date of Update]]
)))</f>
        <v>6</v>
      </c>
      <c r="G398" s="7" t="str">
        <f>IF(Table3[[#This Row],[Stage]]="Closed",Table3[[#This Row],[Date of Update]]-(_xlfn.MINIFS(Table3[Date of Update],Table3[Ref], Table3[[#This Row],[Ref]])),"")</f>
        <v/>
      </c>
    </row>
    <row r="399" spans="1:7" x14ac:dyDescent="0.25">
      <c r="A399" s="4" t="s">
        <v>247</v>
      </c>
      <c r="B399" s="5">
        <v>44973</v>
      </c>
      <c r="C399" s="6" t="s">
        <v>17</v>
      </c>
      <c r="D399" s="6" t="s">
        <v>9</v>
      </c>
      <c r="E399" s="6" t="s">
        <v>178</v>
      </c>
      <c r="F399" s="6" cm="1">
        <f t="array" aca="1" ref="F399" ca="1">IF(Table3[[#This Row],[Stage]]="Closed",0,IF(IFERROR(
  IF(
    COUNTIF(A$2:A$1997, A399) &gt; 1,
    MIN(IF(A$2:A$1997=A399, IF(B$2:B$1997&gt;B399, B$2:B$1997))) - B399,
    TODAY() - Table3[[#This Row],[Date of Update]]
  ),
  TODAY()-Table3[[#This Row],[Date of Update]]
)&lt;=0,
TODAY()-Table3[[#This Row],[Date of Update]],
IFERROR(
  IF(
    COUNTIF(A$2:A$1997, A399) &gt; 1,
    MIN(IF(A$2:A$1997=A399, IF(B$2:B$1997&gt;B399, B$2:B$1997))) - B399,
    TODAY() - Table3[[#This Row],[Date of Update]]
  ),
  TODAY()-Table3[[#This Row],[Date of Update]]
)))</f>
        <v>0</v>
      </c>
      <c r="G399" s="7">
        <f>IF(Table3[[#This Row],[Stage]]="Closed",Table3[[#This Row],[Date of Update]]-(_xlfn.MINIFS(Table3[Date of Update],Table3[Ref], Table3[[#This Row],[Ref]])),"")</f>
        <v>56</v>
      </c>
    </row>
    <row r="400" spans="1:7" x14ac:dyDescent="0.25">
      <c r="A400" s="4" t="s">
        <v>326</v>
      </c>
      <c r="B400" s="5">
        <v>44973</v>
      </c>
      <c r="C400" s="6" t="s">
        <v>8</v>
      </c>
      <c r="D400" s="6" t="s">
        <v>9</v>
      </c>
      <c r="E400" s="6" t="s">
        <v>292</v>
      </c>
      <c r="F400" s="6" cm="1">
        <f t="array" aca="1" ref="F400" ca="1">IF(Table3[[#This Row],[Stage]]="Closed",0,IF(IFERROR(
  IF(
    COUNTIF(A$2:A$1997, A400) &gt; 1,
    MIN(IF(A$2:A$1997=A400, IF(B$2:B$1997&gt;B400, B$2:B$1997))) - B400,
    TODAY() - Table3[[#This Row],[Date of Update]]
  ),
  TODAY()-Table3[[#This Row],[Date of Update]]
)&lt;=0,
TODAY()-Table3[[#This Row],[Date of Update]],
IFERROR(
  IF(
    COUNTIF(A$2:A$1997, A400) &gt; 1,
    MIN(IF(A$2:A$1997=A400, IF(B$2:B$1997&gt;B400, B$2:B$1997))) - B400,
    TODAY() - Table3[[#This Row],[Date of Update]]
  ),
  TODAY()-Table3[[#This Row],[Date of Update]]
)))</f>
        <v>63</v>
      </c>
      <c r="G400" s="7" t="str">
        <f>IF(Table3[[#This Row],[Stage]]="Closed",Table3[[#This Row],[Date of Update]]-(_xlfn.MINIFS(Table3[Date of Update],Table3[Ref], Table3[[#This Row],[Ref]])),"")</f>
        <v/>
      </c>
    </row>
    <row r="401" spans="1:7" x14ac:dyDescent="0.25">
      <c r="A401" s="4" t="s">
        <v>283</v>
      </c>
      <c r="B401" s="5">
        <v>44973</v>
      </c>
      <c r="C401" s="6" t="s">
        <v>17</v>
      </c>
      <c r="D401" s="6" t="s">
        <v>9</v>
      </c>
      <c r="E401" s="6"/>
      <c r="F401" s="6" cm="1">
        <f t="array" aca="1" ref="F401" ca="1">IF(Table3[[#This Row],[Stage]]="Closed",0,IF(IFERROR(
  IF(
    COUNTIF(A$2:A$1997, A401) &gt; 1,
    MIN(IF(A$2:A$1997=A401, IF(B$2:B$1997&gt;B401, B$2:B$1997))) - B401,
    TODAY() - Table3[[#This Row],[Date of Update]]
  ),
  TODAY()-Table3[[#This Row],[Date of Update]]
)&lt;=0,
TODAY()-Table3[[#This Row],[Date of Update]],
IFERROR(
  IF(
    COUNTIF(A$2:A$1997, A401) &gt; 1,
    MIN(IF(A$2:A$1997=A401, IF(B$2:B$1997&gt;B401, B$2:B$1997))) - B401,
    TODAY() - Table3[[#This Row],[Date of Update]]
  ),
  TODAY()-Table3[[#This Row],[Date of Update]]
)))</f>
        <v>0</v>
      </c>
      <c r="G401" s="7">
        <f>IF(Table3[[#This Row],[Stage]]="Closed",Table3[[#This Row],[Date of Update]]-(_xlfn.MINIFS(Table3[Date of Update],Table3[Ref], Table3[[#This Row],[Ref]])),"")</f>
        <v>31</v>
      </c>
    </row>
    <row r="402" spans="1:7" x14ac:dyDescent="0.25">
      <c r="A402" s="4" t="s">
        <v>313</v>
      </c>
      <c r="B402" s="5">
        <v>44973</v>
      </c>
      <c r="C402" s="6" t="s">
        <v>17</v>
      </c>
      <c r="D402" s="6" t="s">
        <v>9</v>
      </c>
      <c r="E402" s="6" t="s">
        <v>178</v>
      </c>
      <c r="F402" s="6" cm="1">
        <f t="array" aca="1" ref="F402" ca="1">IF(Table3[[#This Row],[Stage]]="Closed",0,IF(IFERROR(
  IF(
    COUNTIF(A$2:A$1997, A402) &gt; 1,
    MIN(IF(A$2:A$1997=A402, IF(B$2:B$1997&gt;B402, B$2:B$1997))) - B402,
    TODAY() - Table3[[#This Row],[Date of Update]]
  ),
  TODAY()-Table3[[#This Row],[Date of Update]]
)&lt;=0,
TODAY()-Table3[[#This Row],[Date of Update]],
IFERROR(
  IF(
    COUNTIF(A$2:A$1997, A402) &gt; 1,
    MIN(IF(A$2:A$1997=A402, IF(B$2:B$1997&gt;B402, B$2:B$1997))) - B402,
    TODAY() - Table3[[#This Row],[Date of Update]]
  ),
  TODAY()-Table3[[#This Row],[Date of Update]]
)))</f>
        <v>0</v>
      </c>
      <c r="G402" s="7">
        <f>IF(Table3[[#This Row],[Stage]]="Closed",Table3[[#This Row],[Date of Update]]-(_xlfn.MINIFS(Table3[Date of Update],Table3[Ref], Table3[[#This Row],[Ref]])),"")</f>
        <v>8</v>
      </c>
    </row>
    <row r="403" spans="1:7" x14ac:dyDescent="0.25">
      <c r="A403" s="4" t="s">
        <v>177</v>
      </c>
      <c r="B403" s="5">
        <v>44973</v>
      </c>
      <c r="C403" s="6" t="s">
        <v>17</v>
      </c>
      <c r="D403" s="6" t="s">
        <v>9</v>
      </c>
      <c r="E403" s="6" t="s">
        <v>178</v>
      </c>
      <c r="F403" s="6" cm="1">
        <f t="array" aca="1" ref="F403" ca="1">IF(Table3[[#This Row],[Stage]]="Closed",0,IF(IFERROR(
  IF(
    COUNTIF(A$2:A$1997, A403) &gt; 1,
    MIN(IF(A$2:A$1997=A403, IF(B$2:B$1997&gt;B403, B$2:B$1997))) - B403,
    TODAY() - Table3[[#This Row],[Date of Update]]
  ),
  TODAY()-Table3[[#This Row],[Date of Update]]
)&lt;=0,
TODAY()-Table3[[#This Row],[Date of Update]],
IFERROR(
  IF(
    COUNTIF(A$2:A$1997, A403) &gt; 1,
    MIN(IF(A$2:A$1997=A403, IF(B$2:B$1997&gt;B403, B$2:B$1997))) - B403,
    TODAY() - Table3[[#This Row],[Date of Update]]
  ),
  TODAY()-Table3[[#This Row],[Date of Update]]
)))</f>
        <v>0</v>
      </c>
      <c r="G403" s="7">
        <f>IF(Table3[[#This Row],[Stage]]="Closed",Table3[[#This Row],[Date of Update]]-(_xlfn.MINIFS(Table3[Date of Update],Table3[Ref], Table3[[#This Row],[Ref]])),"")</f>
        <v>121</v>
      </c>
    </row>
    <row r="404" spans="1:7" x14ac:dyDescent="0.25">
      <c r="A404" s="4" t="s">
        <v>309</v>
      </c>
      <c r="B404" s="5">
        <v>44973</v>
      </c>
      <c r="C404" s="6" t="s">
        <v>17</v>
      </c>
      <c r="D404" s="6" t="s">
        <v>9</v>
      </c>
      <c r="E404" s="6" t="s">
        <v>178</v>
      </c>
      <c r="F404" s="6" cm="1">
        <f t="array" aca="1" ref="F404" ca="1">IF(Table3[[#This Row],[Stage]]="Closed",0,IF(IFERROR(
  IF(
    COUNTIF(A$2:A$1997, A404) &gt; 1,
    MIN(IF(A$2:A$1997=A404, IF(B$2:B$1997&gt;B404, B$2:B$1997))) - B404,
    TODAY() - Table3[[#This Row],[Date of Update]]
  ),
  TODAY()-Table3[[#This Row],[Date of Update]]
)&lt;=0,
TODAY()-Table3[[#This Row],[Date of Update]],
IFERROR(
  IF(
    COUNTIF(A$2:A$1997, A404) &gt; 1,
    MIN(IF(A$2:A$1997=A404, IF(B$2:B$1997&gt;B404, B$2:B$1997))) - B404,
    TODAY() - Table3[[#This Row],[Date of Update]]
  ),
  TODAY()-Table3[[#This Row],[Date of Update]]
)))</f>
        <v>0</v>
      </c>
      <c r="G404" s="7">
        <f>IF(Table3[[#This Row],[Stage]]="Closed",Table3[[#This Row],[Date of Update]]-(_xlfn.MINIFS(Table3[Date of Update],Table3[Ref], Table3[[#This Row],[Ref]])),"")</f>
        <v>13</v>
      </c>
    </row>
    <row r="405" spans="1:7" x14ac:dyDescent="0.25">
      <c r="A405" s="4" t="s">
        <v>282</v>
      </c>
      <c r="B405" s="5">
        <v>44973</v>
      </c>
      <c r="C405" s="6" t="s">
        <v>17</v>
      </c>
      <c r="D405" s="6" t="s">
        <v>9</v>
      </c>
      <c r="E405" s="6"/>
      <c r="F405" s="6" cm="1">
        <f t="array" aca="1" ref="F405" ca="1">IF(Table3[[#This Row],[Stage]]="Closed",0,IF(IFERROR(
  IF(
    COUNTIF(A$2:A$1997, A405) &gt; 1,
    MIN(IF(A$2:A$1997=A405, IF(B$2:B$1997&gt;B405, B$2:B$1997))) - B405,
    TODAY() - Table3[[#This Row],[Date of Update]]
  ),
  TODAY()-Table3[[#This Row],[Date of Update]]
)&lt;=0,
TODAY()-Table3[[#This Row],[Date of Update]],
IFERROR(
  IF(
    COUNTIF(A$2:A$1997, A405) &gt; 1,
    MIN(IF(A$2:A$1997=A405, IF(B$2:B$1997&gt;B405, B$2:B$1997))) - B405,
    TODAY() - Table3[[#This Row],[Date of Update]]
  ),
  TODAY()-Table3[[#This Row],[Date of Update]]
)))</f>
        <v>0</v>
      </c>
      <c r="G405" s="7">
        <f>IF(Table3[[#This Row],[Stage]]="Closed",Table3[[#This Row],[Date of Update]]-(_xlfn.MINIFS(Table3[Date of Update],Table3[Ref], Table3[[#This Row],[Ref]])),"")</f>
        <v>34</v>
      </c>
    </row>
    <row r="406" spans="1:7" x14ac:dyDescent="0.25">
      <c r="A406" s="4" t="s">
        <v>284</v>
      </c>
      <c r="B406" s="5">
        <v>44973</v>
      </c>
      <c r="C406" s="6" t="s">
        <v>17</v>
      </c>
      <c r="D406" s="6" t="s">
        <v>9</v>
      </c>
      <c r="E406" s="6"/>
      <c r="F406" s="6" cm="1">
        <f t="array" aca="1" ref="F406" ca="1">IF(Table3[[#This Row],[Stage]]="Closed",0,IF(IFERROR(
  IF(
    COUNTIF(A$2:A$1997, A406) &gt; 1,
    MIN(IF(A$2:A$1997=A406, IF(B$2:B$1997&gt;B406, B$2:B$1997))) - B406,
    TODAY() - Table3[[#This Row],[Date of Update]]
  ),
  TODAY()-Table3[[#This Row],[Date of Update]]
)&lt;=0,
TODAY()-Table3[[#This Row],[Date of Update]],
IFERROR(
  IF(
    COUNTIF(A$2:A$1997, A406) &gt; 1,
    MIN(IF(A$2:A$1997=A406, IF(B$2:B$1997&gt;B406, B$2:B$1997))) - B406,
    TODAY() - Table3[[#This Row],[Date of Update]]
  ),
  TODAY()-Table3[[#This Row],[Date of Update]]
)))</f>
        <v>0</v>
      </c>
      <c r="G406" s="7">
        <f>IF(Table3[[#This Row],[Stage]]="Closed",Table3[[#This Row],[Date of Update]]-(_xlfn.MINIFS(Table3[Date of Update],Table3[Ref], Table3[[#This Row],[Ref]])),"")</f>
        <v>31</v>
      </c>
    </row>
    <row r="407" spans="1:7" x14ac:dyDescent="0.25">
      <c r="A407" s="4" t="s">
        <v>327</v>
      </c>
      <c r="B407" s="5">
        <v>44974</v>
      </c>
      <c r="C407" s="6" t="s">
        <v>8</v>
      </c>
      <c r="D407" s="6" t="s">
        <v>9</v>
      </c>
      <c r="E407" s="6" t="s">
        <v>328</v>
      </c>
      <c r="F407" s="6" cm="1">
        <f t="array" aca="1" ref="F407" ca="1">IF(Table3[[#This Row],[Stage]]="Closed",0,IF(IFERROR(
  IF(
    COUNTIF(A$2:A$1997, A407) &gt; 1,
    MIN(IF(A$2:A$1997=A407, IF(B$2:B$1997&gt;B407, B$2:B$1997))) - B407,
    TODAY() - Table3[[#This Row],[Date of Update]]
  ),
  TODAY()-Table3[[#This Row],[Date of Update]]
)&lt;=0,
TODAY()-Table3[[#This Row],[Date of Update]],
IFERROR(
  IF(
    COUNTIF(A$2:A$1997, A407) &gt; 1,
    MIN(IF(A$2:A$1997=A407, IF(B$2:B$1997&gt;B407, B$2:B$1997))) - B407,
    TODAY() - Table3[[#This Row],[Date of Update]]
  ),
  TODAY()-Table3[[#This Row],[Date of Update]]
)))</f>
        <v>125</v>
      </c>
      <c r="G407" s="7" t="str">
        <f>IF(Table3[[#This Row],[Stage]]="Closed",Table3[[#This Row],[Date of Update]]-(_xlfn.MINIFS(Table3[Date of Update],Table3[Ref], Table3[[#This Row],[Ref]])),"")</f>
        <v/>
      </c>
    </row>
    <row r="408" spans="1:7" x14ac:dyDescent="0.25">
      <c r="A408" s="4" t="s">
        <v>318</v>
      </c>
      <c r="B408" s="5">
        <v>44974</v>
      </c>
      <c r="C408" s="6" t="s">
        <v>17</v>
      </c>
      <c r="D408" s="6" t="s">
        <v>9</v>
      </c>
      <c r="E408" s="6" t="s">
        <v>319</v>
      </c>
      <c r="F408" s="6" cm="1">
        <f t="array" aca="1" ref="F408" ca="1">IF(Table3[[#This Row],[Stage]]="Closed",0,IF(IFERROR(
  IF(
    COUNTIF(A$2:A$1997, A408) &gt; 1,
    MIN(IF(A$2:A$1997=A408, IF(B$2:B$1997&gt;B408, B$2:B$1997))) - B408,
    TODAY() - Table3[[#This Row],[Date of Update]]
  ),
  TODAY()-Table3[[#This Row],[Date of Update]]
)&lt;=0,
TODAY()-Table3[[#This Row],[Date of Update]],
IFERROR(
  IF(
    COUNTIF(A$2:A$1997, A408) &gt; 1,
    MIN(IF(A$2:A$1997=A408, IF(B$2:B$1997&gt;B408, B$2:B$1997))) - B408,
    TODAY() - Table3[[#This Row],[Date of Update]]
  ),
  TODAY()-Table3[[#This Row],[Date of Update]]
)))</f>
        <v>0</v>
      </c>
      <c r="G408" s="7">
        <f>IF(Table3[[#This Row],[Stage]]="Closed",Table3[[#This Row],[Date of Update]]-(_xlfn.MINIFS(Table3[Date of Update],Table3[Ref], Table3[[#This Row],[Ref]])),"")</f>
        <v>4</v>
      </c>
    </row>
    <row r="409" spans="1:7" x14ac:dyDescent="0.25">
      <c r="A409" s="4" t="s">
        <v>329</v>
      </c>
      <c r="B409" s="5">
        <v>44977</v>
      </c>
      <c r="C409" s="6" t="s">
        <v>8</v>
      </c>
      <c r="D409" s="6" t="s">
        <v>9</v>
      </c>
      <c r="E409" s="6" t="s">
        <v>244</v>
      </c>
      <c r="F409" s="6" cm="1">
        <f t="array" aca="1" ref="F409" ca="1">IF(Table3[[#This Row],[Stage]]="Closed",0,IF(IFERROR(
  IF(
    COUNTIF(A$2:A$1997, A409) &gt; 1,
    MIN(IF(A$2:A$1997=A409, IF(B$2:B$1997&gt;B409, B$2:B$1997))) - B409,
    TODAY() - Table3[[#This Row],[Date of Update]]
  ),
  TODAY()-Table3[[#This Row],[Date of Update]]
)&lt;=0,
TODAY()-Table3[[#This Row],[Date of Update]],
IFERROR(
  IF(
    COUNTIF(A$2:A$1997, A409) &gt; 1,
    MIN(IF(A$2:A$1997=A409, IF(B$2:B$1997&gt;B409, B$2:B$1997))) - B409,
    TODAY() - Table3[[#This Row],[Date of Update]]
  ),
  TODAY()-Table3[[#This Row],[Date of Update]]
)))</f>
        <v>36</v>
      </c>
      <c r="G409" s="7" t="str">
        <f>IF(Table3[[#This Row],[Stage]]="Closed",Table3[[#This Row],[Date of Update]]-(_xlfn.MINIFS(Table3[Date of Update],Table3[Ref], Table3[[#This Row],[Ref]])),"")</f>
        <v/>
      </c>
    </row>
    <row r="410" spans="1:7" x14ac:dyDescent="0.25">
      <c r="A410" s="4" t="s">
        <v>324</v>
      </c>
      <c r="B410" s="5">
        <v>44978</v>
      </c>
      <c r="C410" s="6" t="s">
        <v>17</v>
      </c>
      <c r="D410" s="6" t="s">
        <v>9</v>
      </c>
      <c r="E410" s="6" t="s">
        <v>244</v>
      </c>
      <c r="F410" s="6" cm="1">
        <f t="array" aca="1" ref="F410" ca="1">IF(Table3[[#This Row],[Stage]]="Closed",0,IF(IFERROR(
  IF(
    COUNTIF(A$2:A$1997, A410) &gt; 1,
    MIN(IF(A$2:A$1997=A410, IF(B$2:B$1997&gt;B410, B$2:B$1997))) - B410,
    TODAY() - Table3[[#This Row],[Date of Update]]
  ),
  TODAY()-Table3[[#This Row],[Date of Update]]
)&lt;=0,
TODAY()-Table3[[#This Row],[Date of Update]],
IFERROR(
  IF(
    COUNTIF(A$2:A$1997, A410) &gt; 1,
    MIN(IF(A$2:A$1997=A410, IF(B$2:B$1997&gt;B410, B$2:B$1997))) - B410,
    TODAY() - Table3[[#This Row],[Date of Update]]
  ),
  TODAY()-Table3[[#This Row],[Date of Update]]
)))</f>
        <v>0</v>
      </c>
      <c r="G410" s="7">
        <f>IF(Table3[[#This Row],[Stage]]="Closed",Table3[[#This Row],[Date of Update]]-(_xlfn.MINIFS(Table3[Date of Update],Table3[Ref], Table3[[#This Row],[Ref]])),"")</f>
        <v>6</v>
      </c>
    </row>
    <row r="411" spans="1:7" x14ac:dyDescent="0.25">
      <c r="A411" s="4" t="s">
        <v>330</v>
      </c>
      <c r="B411" s="5">
        <v>44978</v>
      </c>
      <c r="C411" s="6" t="s">
        <v>8</v>
      </c>
      <c r="D411" s="6" t="s">
        <v>9</v>
      </c>
      <c r="E411" s="6" t="s">
        <v>80</v>
      </c>
      <c r="F411" s="6" cm="1">
        <f t="array" aca="1" ref="F411" ca="1">IF(Table3[[#This Row],[Stage]]="Closed",0,IF(IFERROR(
  IF(
    COUNTIF(A$2:A$1997, A411) &gt; 1,
    MIN(IF(A$2:A$1997=A411, IF(B$2:B$1997&gt;B411, B$2:B$1997))) - B411,
    TODAY() - Table3[[#This Row],[Date of Update]]
  ),
  TODAY()-Table3[[#This Row],[Date of Update]]
)&lt;=0,
TODAY()-Table3[[#This Row],[Date of Update]],
IFERROR(
  IF(
    COUNTIF(A$2:A$1997, A411) &gt; 1,
    MIN(IF(A$2:A$1997=A411, IF(B$2:B$1997&gt;B411, B$2:B$1997))) - B411,
    TODAY() - Table3[[#This Row],[Date of Update]]
  ),
  TODAY()-Table3[[#This Row],[Date of Update]]
)))</f>
        <v>9</v>
      </c>
      <c r="G411" s="7" t="str">
        <f>IF(Table3[[#This Row],[Stage]]="Closed",Table3[[#This Row],[Date of Update]]-(_xlfn.MINIFS(Table3[Date of Update],Table3[Ref], Table3[[#This Row],[Ref]])),"")</f>
        <v/>
      </c>
    </row>
    <row r="412" spans="1:7" x14ac:dyDescent="0.25">
      <c r="A412" s="4" t="s">
        <v>325</v>
      </c>
      <c r="B412" s="5">
        <v>44978</v>
      </c>
      <c r="C412" s="6" t="s">
        <v>17</v>
      </c>
      <c r="D412" s="6" t="s">
        <v>9</v>
      </c>
      <c r="E412" s="6" t="s">
        <v>244</v>
      </c>
      <c r="F412" s="6" cm="1">
        <f t="array" aca="1" ref="F412" ca="1">IF(Table3[[#This Row],[Stage]]="Closed",0,IF(IFERROR(
  IF(
    COUNTIF(A$2:A$1997, A412) &gt; 1,
    MIN(IF(A$2:A$1997=A412, IF(B$2:B$1997&gt;B412, B$2:B$1997))) - B412,
    TODAY() - Table3[[#This Row],[Date of Update]]
  ),
  TODAY()-Table3[[#This Row],[Date of Update]]
)&lt;=0,
TODAY()-Table3[[#This Row],[Date of Update]],
IFERROR(
  IF(
    COUNTIF(A$2:A$1997, A412) &gt; 1,
    MIN(IF(A$2:A$1997=A412, IF(B$2:B$1997&gt;B412, B$2:B$1997))) - B412,
    TODAY() - Table3[[#This Row],[Date of Update]]
  ),
  TODAY()-Table3[[#This Row],[Date of Update]]
)))</f>
        <v>0</v>
      </c>
      <c r="G412" s="7">
        <f>IF(Table3[[#This Row],[Stage]]="Closed",Table3[[#This Row],[Date of Update]]-(_xlfn.MINIFS(Table3[Date of Update],Table3[Ref], Table3[[#This Row],[Ref]])),"")</f>
        <v>6</v>
      </c>
    </row>
    <row r="413" spans="1:7" x14ac:dyDescent="0.25">
      <c r="A413" s="4" t="s">
        <v>331</v>
      </c>
      <c r="B413" s="5">
        <v>44978</v>
      </c>
      <c r="C413" s="6" t="s">
        <v>8</v>
      </c>
      <c r="D413" s="6" t="s">
        <v>9</v>
      </c>
      <c r="E413" s="6"/>
      <c r="F413" s="6" cm="1">
        <f t="array" aca="1" ref="F413" ca="1">IF(Table3[[#This Row],[Stage]]="Closed",0,IF(IFERROR(
  IF(
    COUNTIF(A$2:A$1997, A413) &gt; 1,
    MIN(IF(A$2:A$1997=A413, IF(B$2:B$1997&gt;B413, B$2:B$1997))) - B413,
    TODAY() - Table3[[#This Row],[Date of Update]]
  ),
  TODAY()-Table3[[#This Row],[Date of Update]]
)&lt;=0,
TODAY()-Table3[[#This Row],[Date of Update]],
IFERROR(
  IF(
    COUNTIF(A$2:A$1997, A413) &gt; 1,
    MIN(IF(A$2:A$1997=A413, IF(B$2:B$1997&gt;B413, B$2:B$1997))) - B413,
    TODAY() - Table3[[#This Row],[Date of Update]]
  ),
  TODAY()-Table3[[#This Row],[Date of Update]]
)))</f>
        <v>58</v>
      </c>
      <c r="G413" s="7" t="str">
        <f>IF(Table3[[#This Row],[Stage]]="Closed",Table3[[#This Row],[Date of Update]]-(_xlfn.MINIFS(Table3[Date of Update],Table3[Ref], Table3[[#This Row],[Ref]])),"")</f>
        <v/>
      </c>
    </row>
    <row r="414" spans="1:7" x14ac:dyDescent="0.25">
      <c r="A414" s="4" t="s">
        <v>332</v>
      </c>
      <c r="B414" s="5">
        <v>44981</v>
      </c>
      <c r="C414" s="6" t="s">
        <v>8</v>
      </c>
      <c r="D414" s="6" t="s">
        <v>9</v>
      </c>
      <c r="E414" s="6" t="s">
        <v>333</v>
      </c>
      <c r="F414" s="6" cm="1">
        <f t="array" aca="1" ref="F414" ca="1">IF(Table3[[#This Row],[Stage]]="Closed",0,IF(IFERROR(
  IF(
    COUNTIF(A$2:A$1997, A414) &gt; 1,
    MIN(IF(A$2:A$1997=A414, IF(B$2:B$1997&gt;B414, B$2:B$1997))) - B414,
    TODAY() - Table3[[#This Row],[Date of Update]]
  ),
  TODAY()-Table3[[#This Row],[Date of Update]]
)&lt;=0,
TODAY()-Table3[[#This Row],[Date of Update]],
IFERROR(
  IF(
    COUNTIF(A$2:A$1997, A414) &gt; 1,
    MIN(IF(A$2:A$1997=A414, IF(B$2:B$1997&gt;B414, B$2:B$1997))) - B414,
    TODAY() - Table3[[#This Row],[Date of Update]]
  ),
  TODAY()-Table3[[#This Row],[Date of Update]]
)))</f>
        <v>27</v>
      </c>
      <c r="G414" s="7" t="str">
        <f>IF(Table3[[#This Row],[Stage]]="Closed",Table3[[#This Row],[Date of Update]]-(_xlfn.MINIFS(Table3[Date of Update],Table3[Ref], Table3[[#This Row],[Ref]])),"")</f>
        <v/>
      </c>
    </row>
    <row r="415" spans="1:7" x14ac:dyDescent="0.25">
      <c r="A415" s="4" t="s">
        <v>221</v>
      </c>
      <c r="B415" s="5">
        <v>44981</v>
      </c>
      <c r="C415" s="6" t="s">
        <v>17</v>
      </c>
      <c r="D415" s="6" t="s">
        <v>9</v>
      </c>
      <c r="E415" s="6" t="s">
        <v>222</v>
      </c>
      <c r="F415" s="6" cm="1">
        <f t="array" aca="1" ref="F415" ca="1">IF(Table3[[#This Row],[Stage]]="Closed",0,IF(IFERROR(
  IF(
    COUNTIF(A$2:A$1997, A415) &gt; 1,
    MIN(IF(A$2:A$1997=A415, IF(B$2:B$1997&gt;B415, B$2:B$1997))) - B415,
    TODAY() - Table3[[#This Row],[Date of Update]]
  ),
  TODAY()-Table3[[#This Row],[Date of Update]]
)&lt;=0,
TODAY()-Table3[[#This Row],[Date of Update]],
IFERROR(
  IF(
    COUNTIF(A$2:A$1997, A415) &gt; 1,
    MIN(IF(A$2:A$1997=A415, IF(B$2:B$1997&gt;B415, B$2:B$1997))) - B415,
    TODAY() - Table3[[#This Row],[Date of Update]]
  ),
  TODAY()-Table3[[#This Row],[Date of Update]]
)))</f>
        <v>0</v>
      </c>
      <c r="G415" s="7">
        <f>IF(Table3[[#This Row],[Stage]]="Closed",Table3[[#This Row],[Date of Update]]-(_xlfn.MINIFS(Table3[Date of Update],Table3[Ref], Table3[[#This Row],[Ref]])),"")</f>
        <v>85</v>
      </c>
    </row>
    <row r="416" spans="1:7" x14ac:dyDescent="0.25">
      <c r="A416" s="4" t="s">
        <v>171</v>
      </c>
      <c r="B416" s="5">
        <v>44981</v>
      </c>
      <c r="C416" s="6" t="s">
        <v>17</v>
      </c>
      <c r="D416" s="6" t="s">
        <v>9</v>
      </c>
      <c r="E416" s="6" t="s">
        <v>172</v>
      </c>
      <c r="F416" s="6" cm="1">
        <f t="array" aca="1" ref="F416" ca="1">IF(Table3[[#This Row],[Stage]]="Closed",0,IF(IFERROR(
  IF(
    COUNTIF(A$2:A$1997, A416) &gt; 1,
    MIN(IF(A$2:A$1997=A416, IF(B$2:B$1997&gt;B416, B$2:B$1997))) - B416,
    TODAY() - Table3[[#This Row],[Date of Update]]
  ),
  TODAY()-Table3[[#This Row],[Date of Update]]
)&lt;=0,
TODAY()-Table3[[#This Row],[Date of Update]],
IFERROR(
  IF(
    COUNTIF(A$2:A$1997, A416) &gt; 1,
    MIN(IF(A$2:A$1997=A416, IF(B$2:B$1997&gt;B416, B$2:B$1997))) - B416,
    TODAY() - Table3[[#This Row],[Date of Update]]
  ),
  TODAY()-Table3[[#This Row],[Date of Update]]
)))</f>
        <v>0</v>
      </c>
      <c r="G416" s="7">
        <f>IF(Table3[[#This Row],[Stage]]="Closed",Table3[[#This Row],[Date of Update]]-(_xlfn.MINIFS(Table3[Date of Update],Table3[Ref], Table3[[#This Row],[Ref]])),"")</f>
        <v>134</v>
      </c>
    </row>
    <row r="417" spans="1:7" x14ac:dyDescent="0.25">
      <c r="A417" s="4" t="s">
        <v>299</v>
      </c>
      <c r="B417" s="5">
        <v>44981</v>
      </c>
      <c r="C417" s="6" t="s">
        <v>17</v>
      </c>
      <c r="D417" s="6" t="s">
        <v>9</v>
      </c>
      <c r="E417" s="6" t="s">
        <v>300</v>
      </c>
      <c r="F417" s="6" cm="1">
        <f t="array" aca="1" ref="F417" ca="1">IF(Table3[[#This Row],[Stage]]="Closed",0,IF(IFERROR(
  IF(
    COUNTIF(A$2:A$1997, A417) &gt; 1,
    MIN(IF(A$2:A$1997=A417, IF(B$2:B$1997&gt;B417, B$2:B$1997))) - B417,
    TODAY() - Table3[[#This Row],[Date of Update]]
  ),
  TODAY()-Table3[[#This Row],[Date of Update]]
)&lt;=0,
TODAY()-Table3[[#This Row],[Date of Update]],
IFERROR(
  IF(
    COUNTIF(A$2:A$1997, A417) &gt; 1,
    MIN(IF(A$2:A$1997=A417, IF(B$2:B$1997&gt;B417, B$2:B$1997))) - B417,
    TODAY() - Table3[[#This Row],[Date of Update]]
  ),
  TODAY()-Table3[[#This Row],[Date of Update]]
)))</f>
        <v>0</v>
      </c>
      <c r="G417" s="7">
        <f>IF(Table3[[#This Row],[Stage]]="Closed",Table3[[#This Row],[Date of Update]]-(_xlfn.MINIFS(Table3[Date of Update],Table3[Ref], Table3[[#This Row],[Ref]])),"")</f>
        <v>30</v>
      </c>
    </row>
    <row r="418" spans="1:7" x14ac:dyDescent="0.25">
      <c r="A418" s="4" t="s">
        <v>334</v>
      </c>
      <c r="B418" s="5">
        <v>44981</v>
      </c>
      <c r="C418" s="6" t="s">
        <v>8</v>
      </c>
      <c r="D418" s="6" t="s">
        <v>9</v>
      </c>
      <c r="E418" s="6" t="s">
        <v>335</v>
      </c>
      <c r="F418" s="6" cm="1">
        <f t="array" aca="1" ref="F418" ca="1">IF(Table3[[#This Row],[Stage]]="Closed",0,IF(IFERROR(
  IF(
    COUNTIF(A$2:A$1997, A418) &gt; 1,
    MIN(IF(A$2:A$1997=A418, IF(B$2:B$1997&gt;B418, B$2:B$1997))) - B418,
    TODAY() - Table3[[#This Row],[Date of Update]]
  ),
  TODAY()-Table3[[#This Row],[Date of Update]]
)&lt;=0,
TODAY()-Table3[[#This Row],[Date of Update]],
IFERROR(
  IF(
    COUNTIF(A$2:A$1997, A418) &gt; 1,
    MIN(IF(A$2:A$1997=A418, IF(B$2:B$1997&gt;B418, B$2:B$1997))) - B418,
    TODAY() - Table3[[#This Row],[Date of Update]]
  ),
  TODAY()-Table3[[#This Row],[Date of Update]]
)))</f>
        <v>6</v>
      </c>
      <c r="G418" s="7" t="str">
        <f>IF(Table3[[#This Row],[Stage]]="Closed",Table3[[#This Row],[Date of Update]]-(_xlfn.MINIFS(Table3[Date of Update],Table3[Ref], Table3[[#This Row],[Ref]])),"")</f>
        <v/>
      </c>
    </row>
    <row r="419" spans="1:7" x14ac:dyDescent="0.25">
      <c r="A419" s="4" t="s">
        <v>293</v>
      </c>
      <c r="B419" s="5">
        <v>44981</v>
      </c>
      <c r="C419" s="6" t="s">
        <v>17</v>
      </c>
      <c r="D419" s="6" t="s">
        <v>9</v>
      </c>
      <c r="E419" s="6" t="s">
        <v>294</v>
      </c>
      <c r="F419" s="6" cm="1">
        <f t="array" aca="1" ref="F419" ca="1">IF(Table3[[#This Row],[Stage]]="Closed",0,IF(IFERROR(
  IF(
    COUNTIF(A$2:A$1997, A419) &gt; 1,
    MIN(IF(A$2:A$1997=A419, IF(B$2:B$1997&gt;B419, B$2:B$1997))) - B419,
    TODAY() - Table3[[#This Row],[Date of Update]]
  ),
  TODAY()-Table3[[#This Row],[Date of Update]]
)&lt;=0,
TODAY()-Table3[[#This Row],[Date of Update]],
IFERROR(
  IF(
    COUNTIF(A$2:A$1997, A419) &gt; 1,
    MIN(IF(A$2:A$1997=A419, IF(B$2:B$1997&gt;B419, B$2:B$1997))) - B419,
    TODAY() - Table3[[#This Row],[Date of Update]]
  ),
  TODAY()-Table3[[#This Row],[Date of Update]]
)))</f>
        <v>0</v>
      </c>
      <c r="G419" s="7">
        <f>IF(Table3[[#This Row],[Stage]]="Closed",Table3[[#This Row],[Date of Update]]-(_xlfn.MINIFS(Table3[Date of Update],Table3[Ref], Table3[[#This Row],[Ref]])),"")</f>
        <v>36</v>
      </c>
    </row>
    <row r="420" spans="1:7" x14ac:dyDescent="0.25">
      <c r="A420" s="4" t="s">
        <v>249</v>
      </c>
      <c r="B420" s="5">
        <v>44981</v>
      </c>
      <c r="C420" s="6" t="s">
        <v>17</v>
      </c>
      <c r="D420" s="6" t="s">
        <v>9</v>
      </c>
      <c r="E420" s="6" t="s">
        <v>250</v>
      </c>
      <c r="F420" s="6" cm="1">
        <f t="array" aca="1" ref="F420" ca="1">IF(Table3[[#This Row],[Stage]]="Closed",0,IF(IFERROR(
  IF(
    COUNTIF(A$2:A$1997, A420) &gt; 1,
    MIN(IF(A$2:A$1997=A420, IF(B$2:B$1997&gt;B420, B$2:B$1997))) - B420,
    TODAY() - Table3[[#This Row],[Date of Update]]
  ),
  TODAY()-Table3[[#This Row],[Date of Update]]
)&lt;=0,
TODAY()-Table3[[#This Row],[Date of Update]],
IFERROR(
  IF(
    COUNTIF(A$2:A$1997, A420) &gt; 1,
    MIN(IF(A$2:A$1997=A420, IF(B$2:B$1997&gt;B420, B$2:B$1997))) - B420,
    TODAY() - Table3[[#This Row],[Date of Update]]
  ),
  TODAY()-Table3[[#This Row],[Date of Update]]
)))</f>
        <v>0</v>
      </c>
      <c r="G420" s="7">
        <f>IF(Table3[[#This Row],[Stage]]="Closed",Table3[[#This Row],[Date of Update]]-(_xlfn.MINIFS(Table3[Date of Update],Table3[Ref], Table3[[#This Row],[Ref]])),"")</f>
        <v>63</v>
      </c>
    </row>
    <row r="421" spans="1:7" x14ac:dyDescent="0.25">
      <c r="A421" s="4" t="s">
        <v>215</v>
      </c>
      <c r="B421" s="5">
        <v>44981</v>
      </c>
      <c r="C421" s="6" t="s">
        <v>17</v>
      </c>
      <c r="D421" s="6" t="s">
        <v>9</v>
      </c>
      <c r="E421" s="6" t="s">
        <v>216</v>
      </c>
      <c r="F421" s="6" cm="1">
        <f t="array" aca="1" ref="F421" ca="1">IF(Table3[[#This Row],[Stage]]="Closed",0,IF(IFERROR(
  IF(
    COUNTIF(A$2:A$1997, A421) &gt; 1,
    MIN(IF(A$2:A$1997=A421, IF(B$2:B$1997&gt;B421, B$2:B$1997))) - B421,
    TODAY() - Table3[[#This Row],[Date of Update]]
  ),
  TODAY()-Table3[[#This Row],[Date of Update]]
)&lt;=0,
TODAY()-Table3[[#This Row],[Date of Update]],
IFERROR(
  IF(
    COUNTIF(A$2:A$1997, A421) &gt; 1,
    MIN(IF(A$2:A$1997=A421, IF(B$2:B$1997&gt;B421, B$2:B$1997))) - B421,
    TODAY() - Table3[[#This Row],[Date of Update]]
  ),
  TODAY()-Table3[[#This Row],[Date of Update]]
)))</f>
        <v>0</v>
      </c>
      <c r="G421" s="7">
        <f>IF(Table3[[#This Row],[Stage]]="Closed",Table3[[#This Row],[Date of Update]]-(_xlfn.MINIFS(Table3[Date of Update],Table3[Ref], Table3[[#This Row],[Ref]])),"")</f>
        <v>86</v>
      </c>
    </row>
    <row r="422" spans="1:7" x14ac:dyDescent="0.25">
      <c r="A422" s="4" t="s">
        <v>206</v>
      </c>
      <c r="B422" s="5">
        <v>44981</v>
      </c>
      <c r="C422" s="6" t="s">
        <v>17</v>
      </c>
      <c r="D422" s="6" t="s">
        <v>9</v>
      </c>
      <c r="E422" s="6" t="s">
        <v>80</v>
      </c>
      <c r="F422" s="6" cm="1">
        <f t="array" aca="1" ref="F422" ca="1">IF(Table3[[#This Row],[Stage]]="Closed",0,IF(IFERROR(
  IF(
    COUNTIF(A$2:A$1997, A422) &gt; 1,
    MIN(IF(A$2:A$1997=A422, IF(B$2:B$1997&gt;B422, B$2:B$1997))) - B422,
    TODAY() - Table3[[#This Row],[Date of Update]]
  ),
  TODAY()-Table3[[#This Row],[Date of Update]]
)&lt;=0,
TODAY()-Table3[[#This Row],[Date of Update]],
IFERROR(
  IF(
    COUNTIF(A$2:A$1997, A422) &gt; 1,
    MIN(IF(A$2:A$1997=A422, IF(B$2:B$1997&gt;B422, B$2:B$1997))) - B422,
    TODAY() - Table3[[#This Row],[Date of Update]]
  ),
  TODAY()-Table3[[#This Row],[Date of Update]]
)))</f>
        <v>0</v>
      </c>
      <c r="G422" s="7">
        <f>IF(Table3[[#This Row],[Stage]]="Closed",Table3[[#This Row],[Date of Update]]-(_xlfn.MINIFS(Table3[Date of Update],Table3[Ref], Table3[[#This Row],[Ref]])),"")</f>
        <v>92</v>
      </c>
    </row>
    <row r="423" spans="1:7" x14ac:dyDescent="0.25">
      <c r="A423" s="4" t="s">
        <v>289</v>
      </c>
      <c r="B423" s="5">
        <v>44981</v>
      </c>
      <c r="C423" s="6" t="s">
        <v>17</v>
      </c>
      <c r="D423" s="6" t="s">
        <v>9</v>
      </c>
      <c r="E423" s="6" t="s">
        <v>290</v>
      </c>
      <c r="F423" s="6" cm="1">
        <f t="array" aca="1" ref="F423" ca="1">IF(Table3[[#This Row],[Stage]]="Closed",0,IF(IFERROR(
  IF(
    COUNTIF(A$2:A$1997, A423) &gt; 1,
    MIN(IF(A$2:A$1997=A423, IF(B$2:B$1997&gt;B423, B$2:B$1997))) - B423,
    TODAY() - Table3[[#This Row],[Date of Update]]
  ),
  TODAY()-Table3[[#This Row],[Date of Update]]
)&lt;=0,
TODAY()-Table3[[#This Row],[Date of Update]],
IFERROR(
  IF(
    COUNTIF(A$2:A$1997, A423) &gt; 1,
    MIN(IF(A$2:A$1997=A423, IF(B$2:B$1997&gt;B423, B$2:B$1997))) - B423,
    TODAY() - Table3[[#This Row],[Date of Update]]
  ),
  TODAY()-Table3[[#This Row],[Date of Update]]
)))</f>
        <v>0</v>
      </c>
      <c r="G423" s="7">
        <f>IF(Table3[[#This Row],[Stage]]="Closed",Table3[[#This Row],[Date of Update]]-(_xlfn.MINIFS(Table3[Date of Update],Table3[Ref], Table3[[#This Row],[Ref]])),"")</f>
        <v>38</v>
      </c>
    </row>
    <row r="424" spans="1:7" x14ac:dyDescent="0.25">
      <c r="A424" s="4" t="s">
        <v>225</v>
      </c>
      <c r="B424" s="5">
        <v>44981</v>
      </c>
      <c r="C424" s="6" t="s">
        <v>17</v>
      </c>
      <c r="D424" s="6" t="s">
        <v>9</v>
      </c>
      <c r="E424" s="6" t="s">
        <v>226</v>
      </c>
      <c r="F424" s="6" cm="1">
        <f t="array" aca="1" ref="F424" ca="1">IF(Table3[[#This Row],[Stage]]="Closed",0,IF(IFERROR(
  IF(
    COUNTIF(A$2:A$1997, A424) &gt; 1,
    MIN(IF(A$2:A$1997=A424, IF(B$2:B$1997&gt;B424, B$2:B$1997))) - B424,
    TODAY() - Table3[[#This Row],[Date of Update]]
  ),
  TODAY()-Table3[[#This Row],[Date of Update]]
)&lt;=0,
TODAY()-Table3[[#This Row],[Date of Update]],
IFERROR(
  IF(
    COUNTIF(A$2:A$1997, A424) &gt; 1,
    MIN(IF(A$2:A$1997=A424, IF(B$2:B$1997&gt;B424, B$2:B$1997))) - B424,
    TODAY() - Table3[[#This Row],[Date of Update]]
  ),
  TODAY()-Table3[[#This Row],[Date of Update]]
)))</f>
        <v>0</v>
      </c>
      <c r="G424" s="7">
        <f>IF(Table3[[#This Row],[Stage]]="Closed",Table3[[#This Row],[Date of Update]]-(_xlfn.MINIFS(Table3[Date of Update],Table3[Ref], Table3[[#This Row],[Ref]])),"")</f>
        <v>84</v>
      </c>
    </row>
    <row r="425" spans="1:7" x14ac:dyDescent="0.25">
      <c r="A425" s="4" t="s">
        <v>227</v>
      </c>
      <c r="B425" s="5">
        <v>44981</v>
      </c>
      <c r="C425" s="6" t="s">
        <v>17</v>
      </c>
      <c r="D425" s="6" t="s">
        <v>9</v>
      </c>
      <c r="E425" s="6" t="s">
        <v>228</v>
      </c>
      <c r="F425" s="6" cm="1">
        <f t="array" aca="1" ref="F425" ca="1">IF(Table3[[#This Row],[Stage]]="Closed",0,IF(IFERROR(
  IF(
    COUNTIF(A$2:A$1997, A425) &gt; 1,
    MIN(IF(A$2:A$1997=A425, IF(B$2:B$1997&gt;B425, B$2:B$1997))) - B425,
    TODAY() - Table3[[#This Row],[Date of Update]]
  ),
  TODAY()-Table3[[#This Row],[Date of Update]]
)&lt;=0,
TODAY()-Table3[[#This Row],[Date of Update]],
IFERROR(
  IF(
    COUNTIF(A$2:A$1997, A425) &gt; 1,
    MIN(IF(A$2:A$1997=A425, IF(B$2:B$1997&gt;B425, B$2:B$1997))) - B425,
    TODAY() - Table3[[#This Row],[Date of Update]]
  ),
  TODAY()-Table3[[#This Row],[Date of Update]]
)))</f>
        <v>0</v>
      </c>
      <c r="G425" s="7">
        <f>IF(Table3[[#This Row],[Stage]]="Closed",Table3[[#This Row],[Date of Update]]-(_xlfn.MINIFS(Table3[Date of Update],Table3[Ref], Table3[[#This Row],[Ref]])),"")</f>
        <v>84</v>
      </c>
    </row>
    <row r="426" spans="1:7" x14ac:dyDescent="0.25">
      <c r="A426" s="4" t="s">
        <v>280</v>
      </c>
      <c r="B426" s="5">
        <v>44981</v>
      </c>
      <c r="C426" s="6" t="s">
        <v>17</v>
      </c>
      <c r="D426" s="6" t="s">
        <v>9</v>
      </c>
      <c r="E426" s="6" t="s">
        <v>281</v>
      </c>
      <c r="F426" s="6" cm="1">
        <f t="array" aca="1" ref="F426" ca="1">IF(Table3[[#This Row],[Stage]]="Closed",0,IF(IFERROR(
  IF(
    COUNTIF(A$2:A$1997, A426) &gt; 1,
    MIN(IF(A$2:A$1997=A426, IF(B$2:B$1997&gt;B426, B$2:B$1997))) - B426,
    TODAY() - Table3[[#This Row],[Date of Update]]
  ),
  TODAY()-Table3[[#This Row],[Date of Update]]
)&lt;=0,
TODAY()-Table3[[#This Row],[Date of Update]],
IFERROR(
  IF(
    COUNTIF(A$2:A$1997, A426) &gt; 1,
    MIN(IF(A$2:A$1997=A426, IF(B$2:B$1997&gt;B426, B$2:B$1997))) - B426,
    TODAY() - Table3[[#This Row],[Date of Update]]
  ),
  TODAY()-Table3[[#This Row],[Date of Update]]
)))</f>
        <v>0</v>
      </c>
      <c r="G426" s="7">
        <f>IF(Table3[[#This Row],[Stage]]="Closed",Table3[[#This Row],[Date of Update]]-(_xlfn.MINIFS(Table3[Date of Update],Table3[Ref], Table3[[#This Row],[Ref]])),"")</f>
        <v>44</v>
      </c>
    </row>
    <row r="427" spans="1:7" x14ac:dyDescent="0.25">
      <c r="A427" s="4" t="s">
        <v>301</v>
      </c>
      <c r="B427" s="5">
        <v>44982</v>
      </c>
      <c r="C427" s="6" t="s">
        <v>17</v>
      </c>
      <c r="D427" s="6" t="s">
        <v>9</v>
      </c>
      <c r="E427" s="6" t="s">
        <v>302</v>
      </c>
      <c r="F427" s="6" cm="1">
        <f t="array" aca="1" ref="F427" ca="1">IF(Table3[[#This Row],[Stage]]="Closed",0,IF(IFERROR(
  IF(
    COUNTIF(A$2:A$1997, A427) &gt; 1,
    MIN(IF(A$2:A$1997=A427, IF(B$2:B$1997&gt;B427, B$2:B$1997))) - B427,
    TODAY() - Table3[[#This Row],[Date of Update]]
  ),
  TODAY()-Table3[[#This Row],[Date of Update]]
)&lt;=0,
TODAY()-Table3[[#This Row],[Date of Update]],
IFERROR(
  IF(
    COUNTIF(A$2:A$1997, A427) &gt; 1,
    MIN(IF(A$2:A$1997=A427, IF(B$2:B$1997&gt;B427, B$2:B$1997))) - B427,
    TODAY() - Table3[[#This Row],[Date of Update]]
  ),
  TODAY()-Table3[[#This Row],[Date of Update]]
)))</f>
        <v>0</v>
      </c>
      <c r="G427" s="7">
        <f>IF(Table3[[#This Row],[Stage]]="Closed",Table3[[#This Row],[Date of Update]]-(_xlfn.MINIFS(Table3[Date of Update],Table3[Ref], Table3[[#This Row],[Ref]])),"")</f>
        <v>31</v>
      </c>
    </row>
    <row r="428" spans="1:7" x14ac:dyDescent="0.25">
      <c r="A428" s="4" t="s">
        <v>336</v>
      </c>
      <c r="B428" s="5">
        <v>44984</v>
      </c>
      <c r="C428" s="6" t="s">
        <v>8</v>
      </c>
      <c r="D428" s="6" t="s">
        <v>9</v>
      </c>
      <c r="E428" s="6" t="s">
        <v>337</v>
      </c>
      <c r="F428" s="6" cm="1">
        <f t="array" aca="1" ref="F428" ca="1">IF(Table3[[#This Row],[Stage]]="Closed",0,IF(IFERROR(
  IF(
    COUNTIF(A$2:A$1997, A428) &gt; 1,
    MIN(IF(A$2:A$1997=A428, IF(B$2:B$1997&gt;B428, B$2:B$1997))) - B428,
    TODAY() - Table3[[#This Row],[Date of Update]]
  ),
  TODAY()-Table3[[#This Row],[Date of Update]]
)&lt;=0,
TODAY()-Table3[[#This Row],[Date of Update]],
IFERROR(
  IF(
    COUNTIF(A$2:A$1997, A428) &gt; 1,
    MIN(IF(A$2:A$1997=A428, IF(B$2:B$1997&gt;B428, B$2:B$1997))) - B428,
    TODAY() - Table3[[#This Row],[Date of Update]]
  ),
  TODAY()-Table3[[#This Row],[Date of Update]]
)))</f>
        <v>11</v>
      </c>
      <c r="G428" s="7" t="str">
        <f>IF(Table3[[#This Row],[Stage]]="Closed",Table3[[#This Row],[Date of Update]]-(_xlfn.MINIFS(Table3[Date of Update],Table3[Ref], Table3[[#This Row],[Ref]])),"")</f>
        <v/>
      </c>
    </row>
    <row r="429" spans="1:7" x14ac:dyDescent="0.25">
      <c r="A429" s="4" t="s">
        <v>267</v>
      </c>
      <c r="B429" s="5">
        <v>44985</v>
      </c>
      <c r="C429" s="6" t="s">
        <v>17</v>
      </c>
      <c r="D429" s="6" t="s">
        <v>9</v>
      </c>
      <c r="E429" s="6"/>
      <c r="F429" s="6" cm="1">
        <f t="array" aca="1" ref="F429" ca="1">IF(Table3[[#This Row],[Stage]]="Closed",0,IF(IFERROR(
  IF(
    COUNTIF(A$2:A$1997, A429) &gt; 1,
    MIN(IF(A$2:A$1997=A429, IF(B$2:B$1997&gt;B429, B$2:B$1997))) - B429,
    TODAY() - Table3[[#This Row],[Date of Update]]
  ),
  TODAY()-Table3[[#This Row],[Date of Update]]
)&lt;=0,
TODAY()-Table3[[#This Row],[Date of Update]],
IFERROR(
  IF(
    COUNTIF(A$2:A$1997, A429) &gt; 1,
    MIN(IF(A$2:A$1997=A429, IF(B$2:B$1997&gt;B429, B$2:B$1997))) - B429,
    TODAY() - Table3[[#This Row],[Date of Update]]
  ),
  TODAY()-Table3[[#This Row],[Date of Update]]
)))</f>
        <v>0</v>
      </c>
      <c r="G429" s="7">
        <f>IF(Table3[[#This Row],[Stage]]="Closed",Table3[[#This Row],[Date of Update]]-(_xlfn.MINIFS(Table3[Date of Update],Table3[Ref], Table3[[#This Row],[Ref]])),"")</f>
        <v>55</v>
      </c>
    </row>
    <row r="430" spans="1:7" x14ac:dyDescent="0.25">
      <c r="A430" s="4" t="s">
        <v>286</v>
      </c>
      <c r="B430" s="5">
        <v>44986</v>
      </c>
      <c r="C430" s="6" t="s">
        <v>17</v>
      </c>
      <c r="D430" s="6" t="s">
        <v>9</v>
      </c>
      <c r="E430" s="6"/>
      <c r="F430" s="6" cm="1">
        <f t="array" aca="1" ref="F430" ca="1">IF(Table3[[#This Row],[Stage]]="Closed",0,IF(IFERROR(
  IF(
    COUNTIF(A$2:A$1997, A430) &gt; 1,
    MIN(IF(A$2:A$1997=A430, IF(B$2:B$1997&gt;B430, B$2:B$1997))) - B430,
    TODAY() - Table3[[#This Row],[Date of Update]]
  ),
  TODAY()-Table3[[#This Row],[Date of Update]]
)&lt;=0,
TODAY()-Table3[[#This Row],[Date of Update]],
IFERROR(
  IF(
    COUNTIF(A$2:A$1997, A430) &gt; 1,
    MIN(IF(A$2:A$1997=A430, IF(B$2:B$1997&gt;B430, B$2:B$1997))) - B430,
    TODAY() - Table3[[#This Row],[Date of Update]]
  ),
  TODAY()-Table3[[#This Row],[Date of Update]]
)))</f>
        <v>0</v>
      </c>
      <c r="G430" s="7">
        <f>IF(Table3[[#This Row],[Stage]]="Closed",Table3[[#This Row],[Date of Update]]-(_xlfn.MINIFS(Table3[Date of Update],Table3[Ref], Table3[[#This Row],[Ref]])),"")</f>
        <v>43</v>
      </c>
    </row>
    <row r="431" spans="1:7" x14ac:dyDescent="0.25">
      <c r="A431" s="4" t="s">
        <v>297</v>
      </c>
      <c r="B431" s="5">
        <v>44987</v>
      </c>
      <c r="C431" s="6" t="s">
        <v>17</v>
      </c>
      <c r="D431" s="6" t="s">
        <v>9</v>
      </c>
      <c r="E431" s="6" t="s">
        <v>298</v>
      </c>
      <c r="F431" s="6" cm="1">
        <f t="array" aca="1" ref="F431" ca="1">IF(Table3[[#This Row],[Stage]]="Closed",0,IF(IFERROR(
  IF(
    COUNTIF(A$2:A$1997, A431) &gt; 1,
    MIN(IF(A$2:A$1997=A431, IF(B$2:B$1997&gt;B431, B$2:B$1997))) - B431,
    TODAY() - Table3[[#This Row],[Date of Update]]
  ),
  TODAY()-Table3[[#This Row],[Date of Update]]
)&lt;=0,
TODAY()-Table3[[#This Row],[Date of Update]],
IFERROR(
  IF(
    COUNTIF(A$2:A$1997, A431) &gt; 1,
    MIN(IF(A$2:A$1997=A431, IF(B$2:B$1997&gt;B431, B$2:B$1997))) - B431,
    TODAY() - Table3[[#This Row],[Date of Update]]
  ),
  TODAY()-Table3[[#This Row],[Date of Update]]
)))</f>
        <v>0</v>
      </c>
      <c r="G431" s="7">
        <f>IF(Table3[[#This Row],[Stage]]="Closed",Table3[[#This Row],[Date of Update]]-(_xlfn.MINIFS(Table3[Date of Update],Table3[Ref], Table3[[#This Row],[Ref]])),"")</f>
        <v>36</v>
      </c>
    </row>
    <row r="432" spans="1:7" x14ac:dyDescent="0.25">
      <c r="A432" s="4" t="s">
        <v>338</v>
      </c>
      <c r="B432" s="5">
        <v>44987</v>
      </c>
      <c r="C432" s="6" t="s">
        <v>8</v>
      </c>
      <c r="D432" s="6" t="s">
        <v>9</v>
      </c>
      <c r="E432" s="6" t="s">
        <v>106</v>
      </c>
      <c r="F432" s="6" cm="1">
        <f t="array" aca="1" ref="F432" ca="1">IF(Table3[[#This Row],[Stage]]="Closed",0,IF(IFERROR(
  IF(
    COUNTIF(A$2:A$1997, A432) &gt; 1,
    MIN(IF(A$2:A$1997=A432, IF(B$2:B$1997&gt;B432, B$2:B$1997))) - B432,
    TODAY() - Table3[[#This Row],[Date of Update]]
  ),
  TODAY()-Table3[[#This Row],[Date of Update]]
)&lt;=0,
TODAY()-Table3[[#This Row],[Date of Update]],
IFERROR(
  IF(
    COUNTIF(A$2:A$1997, A432) &gt; 1,
    MIN(IF(A$2:A$1997=A432, IF(B$2:B$1997&gt;B432, B$2:B$1997))) - B432,
    TODAY() - Table3[[#This Row],[Date of Update]]
  ),
  TODAY()-Table3[[#This Row],[Date of Update]]
)))</f>
        <v>61</v>
      </c>
      <c r="G432" s="7" t="str">
        <f>IF(Table3[[#This Row],[Stage]]="Closed",Table3[[#This Row],[Date of Update]]-(_xlfn.MINIFS(Table3[Date of Update],Table3[Ref], Table3[[#This Row],[Ref]])),"")</f>
        <v/>
      </c>
    </row>
    <row r="433" spans="1:7" x14ac:dyDescent="0.25">
      <c r="A433" s="4" t="s">
        <v>334</v>
      </c>
      <c r="B433" s="5">
        <v>44987</v>
      </c>
      <c r="C433" s="6" t="s">
        <v>17</v>
      </c>
      <c r="D433" s="6" t="s">
        <v>9</v>
      </c>
      <c r="E433" s="6" t="s">
        <v>335</v>
      </c>
      <c r="F433" s="6" cm="1">
        <f t="array" aca="1" ref="F433" ca="1">IF(Table3[[#This Row],[Stage]]="Closed",0,IF(IFERROR(
  IF(
    COUNTIF(A$2:A$1997, A433) &gt; 1,
    MIN(IF(A$2:A$1997=A433, IF(B$2:B$1997&gt;B433, B$2:B$1997))) - B433,
    TODAY() - Table3[[#This Row],[Date of Update]]
  ),
  TODAY()-Table3[[#This Row],[Date of Update]]
)&lt;=0,
TODAY()-Table3[[#This Row],[Date of Update]],
IFERROR(
  IF(
    COUNTIF(A$2:A$1997, A433) &gt; 1,
    MIN(IF(A$2:A$1997=A433, IF(B$2:B$1997&gt;B433, B$2:B$1997))) - B433,
    TODAY() - Table3[[#This Row],[Date of Update]]
  ),
  TODAY()-Table3[[#This Row],[Date of Update]]
)))</f>
        <v>0</v>
      </c>
      <c r="G433" s="7">
        <f>IF(Table3[[#This Row],[Stage]]="Closed",Table3[[#This Row],[Date of Update]]-(_xlfn.MINIFS(Table3[Date of Update],Table3[Ref], Table3[[#This Row],[Ref]])),"")</f>
        <v>6</v>
      </c>
    </row>
    <row r="434" spans="1:7" x14ac:dyDescent="0.25">
      <c r="A434" s="4" t="s">
        <v>108</v>
      </c>
      <c r="B434" s="5">
        <v>44987</v>
      </c>
      <c r="C434" s="6" t="s">
        <v>17</v>
      </c>
      <c r="D434" s="6" t="s">
        <v>9</v>
      </c>
      <c r="E434" s="6" t="s">
        <v>80</v>
      </c>
      <c r="F434" s="6" cm="1">
        <f t="array" aca="1" ref="F434" ca="1">IF(Table3[[#This Row],[Stage]]="Closed",0,IF(IFERROR(
  IF(
    COUNTIF(A$2:A$1997, A434) &gt; 1,
    MIN(IF(A$2:A$1997=A434, IF(B$2:B$1997&gt;B434, B$2:B$1997))) - B434,
    TODAY() - Table3[[#This Row],[Date of Update]]
  ),
  TODAY()-Table3[[#This Row],[Date of Update]]
)&lt;=0,
TODAY()-Table3[[#This Row],[Date of Update]],
IFERROR(
  IF(
    COUNTIF(A$2:A$1997, A434) &gt; 1,
    MIN(IF(A$2:A$1997=A434, IF(B$2:B$1997&gt;B434, B$2:B$1997))) - B434,
    TODAY() - Table3[[#This Row],[Date of Update]]
  ),
  TODAY()-Table3[[#This Row],[Date of Update]]
)))</f>
        <v>0</v>
      </c>
      <c r="G434" s="7">
        <f>IF(Table3[[#This Row],[Stage]]="Closed",Table3[[#This Row],[Date of Update]]-(_xlfn.MINIFS(Table3[Date of Update],Table3[Ref], Table3[[#This Row],[Ref]])),"")</f>
        <v>218</v>
      </c>
    </row>
    <row r="435" spans="1:7" x14ac:dyDescent="0.25">
      <c r="A435" s="4" t="s">
        <v>339</v>
      </c>
      <c r="B435" s="5">
        <v>44987</v>
      </c>
      <c r="C435" s="6" t="s">
        <v>8</v>
      </c>
      <c r="D435" s="6" t="s">
        <v>9</v>
      </c>
      <c r="E435" s="6" t="s">
        <v>340</v>
      </c>
      <c r="F435" s="6" cm="1">
        <f t="array" aca="1" ref="F435" ca="1">IF(Table3[[#This Row],[Stage]]="Closed",0,IF(IFERROR(
  IF(
    COUNTIF(A$2:A$1997, A435) &gt; 1,
    MIN(IF(A$2:A$1997=A435, IF(B$2:B$1997&gt;B435, B$2:B$1997))) - B435,
    TODAY() - Table3[[#This Row],[Date of Update]]
  ),
  TODAY()-Table3[[#This Row],[Date of Update]]
)&lt;=0,
TODAY()-Table3[[#This Row],[Date of Update]],
IFERROR(
  IF(
    COUNTIF(A$2:A$1997, A435) &gt; 1,
    MIN(IF(A$2:A$1997=A435, IF(B$2:B$1997&gt;B435, B$2:B$1997))) - B435,
    TODAY() - Table3[[#This Row],[Date of Update]]
  ),
  TODAY()-Table3[[#This Row],[Date of Update]]
)))</f>
        <v>8</v>
      </c>
      <c r="G435" s="7" t="str">
        <f>IF(Table3[[#This Row],[Stage]]="Closed",Table3[[#This Row],[Date of Update]]-(_xlfn.MINIFS(Table3[Date of Update],Table3[Ref], Table3[[#This Row],[Ref]])),"")</f>
        <v/>
      </c>
    </row>
    <row r="436" spans="1:7" x14ac:dyDescent="0.25">
      <c r="A436" s="4" t="s">
        <v>341</v>
      </c>
      <c r="B436" s="5">
        <v>44987</v>
      </c>
      <c r="C436" s="6" t="s">
        <v>8</v>
      </c>
      <c r="D436" s="6" t="s">
        <v>9</v>
      </c>
      <c r="E436" s="6" t="s">
        <v>342</v>
      </c>
      <c r="F436" s="6" cm="1">
        <f t="array" aca="1" ref="F436" ca="1">IF(Table3[[#This Row],[Stage]]="Closed",0,IF(IFERROR(
  IF(
    COUNTIF(A$2:A$1997, A436) &gt; 1,
    MIN(IF(A$2:A$1997=A436, IF(B$2:B$1997&gt;B436, B$2:B$1997))) - B436,
    TODAY() - Table3[[#This Row],[Date of Update]]
  ),
  TODAY()-Table3[[#This Row],[Date of Update]]
)&lt;=0,
TODAY()-Table3[[#This Row],[Date of Update]],
IFERROR(
  IF(
    COUNTIF(A$2:A$1997, A436) &gt; 1,
    MIN(IF(A$2:A$1997=A436, IF(B$2:B$1997&gt;B436, B$2:B$1997))) - B436,
    TODAY() - Table3[[#This Row],[Date of Update]]
  ),
  TODAY()-Table3[[#This Row],[Date of Update]]
)))</f>
        <v>49</v>
      </c>
      <c r="G436" s="7" t="str">
        <f>IF(Table3[[#This Row],[Stage]]="Closed",Table3[[#This Row],[Date of Update]]-(_xlfn.MINIFS(Table3[Date of Update],Table3[Ref], Table3[[#This Row],[Ref]])),"")</f>
        <v/>
      </c>
    </row>
    <row r="437" spans="1:7" x14ac:dyDescent="0.25">
      <c r="A437" s="4" t="s">
        <v>330</v>
      </c>
      <c r="B437" s="5">
        <v>44987</v>
      </c>
      <c r="C437" s="6" t="s">
        <v>17</v>
      </c>
      <c r="D437" s="6" t="s">
        <v>9</v>
      </c>
      <c r="E437" s="6" t="s">
        <v>80</v>
      </c>
      <c r="F437" s="6" cm="1">
        <f t="array" aca="1" ref="F437" ca="1">IF(Table3[[#This Row],[Stage]]="Closed",0,IF(IFERROR(
  IF(
    COUNTIF(A$2:A$1997, A437) &gt; 1,
    MIN(IF(A$2:A$1997=A437, IF(B$2:B$1997&gt;B437, B$2:B$1997))) - B437,
    TODAY() - Table3[[#This Row],[Date of Update]]
  ),
  TODAY()-Table3[[#This Row],[Date of Update]]
)&lt;=0,
TODAY()-Table3[[#This Row],[Date of Update]],
IFERROR(
  IF(
    COUNTIF(A$2:A$1997, A437) &gt; 1,
    MIN(IF(A$2:A$1997=A437, IF(B$2:B$1997&gt;B437, B$2:B$1997))) - B437,
    TODAY() - Table3[[#This Row],[Date of Update]]
  ),
  TODAY()-Table3[[#This Row],[Date of Update]]
)))</f>
        <v>0</v>
      </c>
      <c r="G437" s="7">
        <f>IF(Table3[[#This Row],[Stage]]="Closed",Table3[[#This Row],[Date of Update]]-(_xlfn.MINIFS(Table3[Date of Update],Table3[Ref], Table3[[#This Row],[Ref]])),"")</f>
        <v>9</v>
      </c>
    </row>
    <row r="438" spans="1:7" x14ac:dyDescent="0.25">
      <c r="A438" s="4" t="s">
        <v>151</v>
      </c>
      <c r="B438" s="5">
        <v>44988</v>
      </c>
      <c r="C438" s="6" t="s">
        <v>17</v>
      </c>
      <c r="D438" s="6" t="s">
        <v>9</v>
      </c>
      <c r="E438" s="6" t="s">
        <v>152</v>
      </c>
      <c r="F438" s="6" cm="1">
        <f t="array" aca="1" ref="F438" ca="1">IF(Table3[[#This Row],[Stage]]="Closed",0,IF(IFERROR(
  IF(
    COUNTIF(A$2:A$1997, A438) &gt; 1,
    MIN(IF(A$2:A$1997=A438, IF(B$2:B$1997&gt;B438, B$2:B$1997))) - B438,
    TODAY() - Table3[[#This Row],[Date of Update]]
  ),
  TODAY()-Table3[[#This Row],[Date of Update]]
)&lt;=0,
TODAY()-Table3[[#This Row],[Date of Update]],
IFERROR(
  IF(
    COUNTIF(A$2:A$1997, A438) &gt; 1,
    MIN(IF(A$2:A$1997=A438, IF(B$2:B$1997&gt;B438, B$2:B$1997))) - B438,
    TODAY() - Table3[[#This Row],[Date of Update]]
  ),
  TODAY()-Table3[[#This Row],[Date of Update]]
)))</f>
        <v>0</v>
      </c>
      <c r="G438" s="7">
        <f>IF(Table3[[#This Row],[Stage]]="Closed",Table3[[#This Row],[Date of Update]]-(_xlfn.MINIFS(Table3[Date of Update],Table3[Ref], Table3[[#This Row],[Ref]])),"")</f>
        <v>172</v>
      </c>
    </row>
    <row r="439" spans="1:7" x14ac:dyDescent="0.25">
      <c r="A439" s="4" t="s">
        <v>148</v>
      </c>
      <c r="B439" s="5">
        <v>44988</v>
      </c>
      <c r="C439" s="6" t="s">
        <v>17</v>
      </c>
      <c r="D439" s="6" t="s">
        <v>9</v>
      </c>
      <c r="E439" s="6" t="s">
        <v>149</v>
      </c>
      <c r="F439" s="6" cm="1">
        <f t="array" aca="1" ref="F439" ca="1">IF(Table3[[#This Row],[Stage]]="Closed",0,IF(IFERROR(
  IF(
    COUNTIF(A$2:A$1997, A439) &gt; 1,
    MIN(IF(A$2:A$1997=A439, IF(B$2:B$1997&gt;B439, B$2:B$1997))) - B439,
    TODAY() - Table3[[#This Row],[Date of Update]]
  ),
  TODAY()-Table3[[#This Row],[Date of Update]]
)&lt;=0,
TODAY()-Table3[[#This Row],[Date of Update]],
IFERROR(
  IF(
    COUNTIF(A$2:A$1997, A439) &gt; 1,
    MIN(IF(A$2:A$1997=A439, IF(B$2:B$1997&gt;B439, B$2:B$1997))) - B439,
    TODAY() - Table3[[#This Row],[Date of Update]]
  ),
  TODAY()-Table3[[#This Row],[Date of Update]]
)))</f>
        <v>0</v>
      </c>
      <c r="G439" s="7">
        <f>IF(Table3[[#This Row],[Stage]]="Closed",Table3[[#This Row],[Date of Update]]-(_xlfn.MINIFS(Table3[Date of Update],Table3[Ref], Table3[[#This Row],[Ref]])),"")</f>
        <v>175</v>
      </c>
    </row>
    <row r="440" spans="1:7" x14ac:dyDescent="0.25">
      <c r="A440" s="4" t="s">
        <v>150</v>
      </c>
      <c r="B440" s="5">
        <v>44988</v>
      </c>
      <c r="C440" s="6" t="s">
        <v>17</v>
      </c>
      <c r="D440" s="6" t="s">
        <v>9</v>
      </c>
      <c r="E440" s="6" t="s">
        <v>149</v>
      </c>
      <c r="F440" s="6" cm="1">
        <f t="array" aca="1" ref="F440" ca="1">IF(Table3[[#This Row],[Stage]]="Closed",0,IF(IFERROR(
  IF(
    COUNTIF(A$2:A$1997, A440) &gt; 1,
    MIN(IF(A$2:A$1997=A440, IF(B$2:B$1997&gt;B440, B$2:B$1997))) - B440,
    TODAY() - Table3[[#This Row],[Date of Update]]
  ),
  TODAY()-Table3[[#This Row],[Date of Update]]
)&lt;=0,
TODAY()-Table3[[#This Row],[Date of Update]],
IFERROR(
  IF(
    COUNTIF(A$2:A$1997, A440) &gt; 1,
    MIN(IF(A$2:A$1997=A440, IF(B$2:B$1997&gt;B440, B$2:B$1997))) - B440,
    TODAY() - Table3[[#This Row],[Date of Update]]
  ),
  TODAY()-Table3[[#This Row],[Date of Update]]
)))</f>
        <v>0</v>
      </c>
      <c r="G440" s="7">
        <f>IF(Table3[[#This Row],[Stage]]="Closed",Table3[[#This Row],[Date of Update]]-(_xlfn.MINIFS(Table3[Date of Update],Table3[Ref], Table3[[#This Row],[Ref]])),"")</f>
        <v>175</v>
      </c>
    </row>
    <row r="441" spans="1:7" x14ac:dyDescent="0.25">
      <c r="A441" s="4" t="s">
        <v>155</v>
      </c>
      <c r="B441" s="5">
        <v>44988</v>
      </c>
      <c r="C441" s="6" t="s">
        <v>17</v>
      </c>
      <c r="D441" s="6" t="s">
        <v>9</v>
      </c>
      <c r="E441" s="6" t="s">
        <v>156</v>
      </c>
      <c r="F441" s="6" cm="1">
        <f t="array" aca="1" ref="F441" ca="1">IF(Table3[[#This Row],[Stage]]="Closed",0,IF(IFERROR(
  IF(
    COUNTIF(A$2:A$1997, A441) &gt; 1,
    MIN(IF(A$2:A$1997=A441, IF(B$2:B$1997&gt;B441, B$2:B$1997))) - B441,
    TODAY() - Table3[[#This Row],[Date of Update]]
  ),
  TODAY()-Table3[[#This Row],[Date of Update]]
)&lt;=0,
TODAY()-Table3[[#This Row],[Date of Update]],
IFERROR(
  IF(
    COUNTIF(A$2:A$1997, A441) &gt; 1,
    MIN(IF(A$2:A$1997=A441, IF(B$2:B$1997&gt;B441, B$2:B$1997))) - B441,
    TODAY() - Table3[[#This Row],[Date of Update]]
  ),
  TODAY()-Table3[[#This Row],[Date of Update]]
)))</f>
        <v>0</v>
      </c>
      <c r="G441" s="7">
        <f>IF(Table3[[#This Row],[Stage]]="Closed",Table3[[#This Row],[Date of Update]]-(_xlfn.MINIFS(Table3[Date of Update],Table3[Ref], Table3[[#This Row],[Ref]])),"")</f>
        <v>169</v>
      </c>
    </row>
    <row r="442" spans="1:7" x14ac:dyDescent="0.25">
      <c r="A442" s="4" t="s">
        <v>153</v>
      </c>
      <c r="B442" s="5">
        <v>44988</v>
      </c>
      <c r="C442" s="6" t="s">
        <v>17</v>
      </c>
      <c r="D442" s="6" t="s">
        <v>9</v>
      </c>
      <c r="E442" s="6" t="s">
        <v>154</v>
      </c>
      <c r="F442" s="6" cm="1">
        <f t="array" aca="1" ref="F442" ca="1">IF(Table3[[#This Row],[Stage]]="Closed",0,IF(IFERROR(
  IF(
    COUNTIF(A$2:A$1997, A442) &gt; 1,
    MIN(IF(A$2:A$1997=A442, IF(B$2:B$1997&gt;B442, B$2:B$1997))) - B442,
    TODAY() - Table3[[#This Row],[Date of Update]]
  ),
  TODAY()-Table3[[#This Row],[Date of Update]]
)&lt;=0,
TODAY()-Table3[[#This Row],[Date of Update]],
IFERROR(
  IF(
    COUNTIF(A$2:A$1997, A442) &gt; 1,
    MIN(IF(A$2:A$1997=A442, IF(B$2:B$1997&gt;B442, B$2:B$1997))) - B442,
    TODAY() - Table3[[#This Row],[Date of Update]]
  ),
  TODAY()-Table3[[#This Row],[Date of Update]]
)))</f>
        <v>0</v>
      </c>
      <c r="G442" s="7">
        <f>IF(Table3[[#This Row],[Stage]]="Closed",Table3[[#This Row],[Date of Update]]-(_xlfn.MINIFS(Table3[Date of Update],Table3[Ref], Table3[[#This Row],[Ref]])),"")</f>
        <v>171</v>
      </c>
    </row>
    <row r="443" spans="1:7" x14ac:dyDescent="0.25">
      <c r="A443" s="4" t="s">
        <v>343</v>
      </c>
      <c r="B443" s="5">
        <v>44992</v>
      </c>
      <c r="C443" s="6" t="s">
        <v>8</v>
      </c>
      <c r="D443" s="6" t="s">
        <v>9</v>
      </c>
      <c r="E443" s="6" t="s">
        <v>256</v>
      </c>
      <c r="F443" s="6" cm="1">
        <f t="array" aca="1" ref="F443" ca="1">IF(Table3[[#This Row],[Stage]]="Closed",0,IF(IFERROR(
  IF(
    COUNTIF(A$2:A$1997, A443) &gt; 1,
    MIN(IF(A$2:A$1997=A443, IF(B$2:B$1997&gt;B443, B$2:B$1997))) - B443,
    TODAY() - Table3[[#This Row],[Date of Update]]
  ),
  TODAY()-Table3[[#This Row],[Date of Update]]
)&lt;=0,
TODAY()-Table3[[#This Row],[Date of Update]],
IFERROR(
  IF(
    COUNTIF(A$2:A$1997, A443) &gt; 1,
    MIN(IF(A$2:A$1997=A443, IF(B$2:B$1997&gt;B443, B$2:B$1997))) - B443,
    TODAY() - Table3[[#This Row],[Date of Update]]
  ),
  TODAY()-Table3[[#This Row],[Date of Update]]
)))</f>
        <v>44</v>
      </c>
      <c r="G443" s="7" t="str">
        <f>IF(Table3[[#This Row],[Stage]]="Closed",Table3[[#This Row],[Date of Update]]-(_xlfn.MINIFS(Table3[Date of Update],Table3[Ref], Table3[[#This Row],[Ref]])),"")</f>
        <v/>
      </c>
    </row>
    <row r="444" spans="1:7" x14ac:dyDescent="0.25">
      <c r="A444" s="4" t="s">
        <v>107</v>
      </c>
      <c r="B444" s="5">
        <v>44993</v>
      </c>
      <c r="C444" s="6" t="s">
        <v>17</v>
      </c>
      <c r="D444" s="6" t="s">
        <v>9</v>
      </c>
      <c r="E444" s="6" t="s">
        <v>102</v>
      </c>
      <c r="F444" s="6" cm="1">
        <f t="array" aca="1" ref="F444" ca="1">IF(Table3[[#This Row],[Stage]]="Closed",0,IF(IFERROR(
  IF(
    COUNTIF(A$2:A$1997, A444) &gt; 1,
    MIN(IF(A$2:A$1997=A444, IF(B$2:B$1997&gt;B444, B$2:B$1997))) - B444,
    TODAY() - Table3[[#This Row],[Date of Update]]
  ),
  TODAY()-Table3[[#This Row],[Date of Update]]
)&lt;=0,
TODAY()-Table3[[#This Row],[Date of Update]],
IFERROR(
  IF(
    COUNTIF(A$2:A$1997, A444) &gt; 1,
    MIN(IF(A$2:A$1997=A444, IF(B$2:B$1997&gt;B444, B$2:B$1997))) - B444,
    TODAY() - Table3[[#This Row],[Date of Update]]
  ),
  TODAY()-Table3[[#This Row],[Date of Update]]
)))</f>
        <v>0</v>
      </c>
      <c r="G444" s="7">
        <f>IF(Table3[[#This Row],[Stage]]="Closed",Table3[[#This Row],[Date of Update]]-(_xlfn.MINIFS(Table3[Date of Update],Table3[Ref], Table3[[#This Row],[Ref]])),"")</f>
        <v>224</v>
      </c>
    </row>
    <row r="445" spans="1:7" x14ac:dyDescent="0.25">
      <c r="A445" s="4" t="s">
        <v>344</v>
      </c>
      <c r="B445" s="5">
        <v>44993</v>
      </c>
      <c r="C445" s="6" t="s">
        <v>8</v>
      </c>
      <c r="D445" s="6" t="s">
        <v>9</v>
      </c>
      <c r="E445" s="6" t="s">
        <v>345</v>
      </c>
      <c r="F445" s="6" cm="1">
        <f t="array" aca="1" ref="F445" ca="1">IF(Table3[[#This Row],[Stage]]="Closed",0,IF(IFERROR(
  IF(
    COUNTIF(A$2:A$1997, A445) &gt; 1,
    MIN(IF(A$2:A$1997=A445, IF(B$2:B$1997&gt;B445, B$2:B$1997))) - B445,
    TODAY() - Table3[[#This Row],[Date of Update]]
  ),
  TODAY()-Table3[[#This Row],[Date of Update]]
)&lt;=0,
TODAY()-Table3[[#This Row],[Date of Update]],
IFERROR(
  IF(
    COUNTIF(A$2:A$1997, A445) &gt; 1,
    MIN(IF(A$2:A$1997=A445, IF(B$2:B$1997&gt;B445, B$2:B$1997))) - B445,
    TODAY() - Table3[[#This Row],[Date of Update]]
  ),
  TODAY()-Table3[[#This Row],[Date of Update]]
)))</f>
        <v>106</v>
      </c>
      <c r="G445" s="7" t="str">
        <f>IF(Table3[[#This Row],[Stage]]="Closed",Table3[[#This Row],[Date of Update]]-(_xlfn.MINIFS(Table3[Date of Update],Table3[Ref], Table3[[#This Row],[Ref]])),"")</f>
        <v/>
      </c>
    </row>
    <row r="446" spans="1:7" x14ac:dyDescent="0.25">
      <c r="A446" s="4" t="s">
        <v>163</v>
      </c>
      <c r="B446" s="5">
        <v>44993</v>
      </c>
      <c r="C446" s="6" t="s">
        <v>17</v>
      </c>
      <c r="D446" s="6" t="s">
        <v>9</v>
      </c>
      <c r="E446" s="6" t="s">
        <v>102</v>
      </c>
      <c r="F446" s="6" cm="1">
        <f t="array" aca="1" ref="F446" ca="1">IF(Table3[[#This Row],[Stage]]="Closed",0,IF(IFERROR(
  IF(
    COUNTIF(A$2:A$1997, A446) &gt; 1,
    MIN(IF(A$2:A$1997=A446, IF(B$2:B$1997&gt;B446, B$2:B$1997))) - B446,
    TODAY() - Table3[[#This Row],[Date of Update]]
  ),
  TODAY()-Table3[[#This Row],[Date of Update]]
)&lt;=0,
TODAY()-Table3[[#This Row],[Date of Update]],
IFERROR(
  IF(
    COUNTIF(A$2:A$1997, A446) &gt; 1,
    MIN(IF(A$2:A$1997=A446, IF(B$2:B$1997&gt;B446, B$2:B$1997))) - B446,
    TODAY() - Table3[[#This Row],[Date of Update]]
  ),
  TODAY()-Table3[[#This Row],[Date of Update]]
)))</f>
        <v>0</v>
      </c>
      <c r="G446" s="7">
        <f>IF(Table3[[#This Row],[Stage]]="Closed",Table3[[#This Row],[Date of Update]]-(_xlfn.MINIFS(Table3[Date of Update],Table3[Ref], Table3[[#This Row],[Ref]])),"")</f>
        <v>167</v>
      </c>
    </row>
    <row r="447" spans="1:7" x14ac:dyDescent="0.25">
      <c r="A447" s="4" t="s">
        <v>346</v>
      </c>
      <c r="B447" s="5">
        <v>44993</v>
      </c>
      <c r="C447" s="6" t="s">
        <v>8</v>
      </c>
      <c r="D447" s="6" t="s">
        <v>9</v>
      </c>
      <c r="E447" s="6" t="s">
        <v>80</v>
      </c>
      <c r="F447" s="6" cm="1">
        <f t="array" aca="1" ref="F447" ca="1">IF(Table3[[#This Row],[Stage]]="Closed",0,IF(IFERROR(
  IF(
    COUNTIF(A$2:A$1997, A447) &gt; 1,
    MIN(IF(A$2:A$1997=A447, IF(B$2:B$1997&gt;B447, B$2:B$1997))) - B447,
    TODAY() - Table3[[#This Row],[Date of Update]]
  ),
  TODAY()-Table3[[#This Row],[Date of Update]]
)&lt;=0,
TODAY()-Table3[[#This Row],[Date of Update]],
IFERROR(
  IF(
    COUNTIF(A$2:A$1997, A447) &gt; 1,
    MIN(IF(A$2:A$1997=A447, IF(B$2:B$1997&gt;B447, B$2:B$1997))) - B447,
    TODAY() - Table3[[#This Row],[Date of Update]]
  ),
  TODAY()-Table3[[#This Row],[Date of Update]]
)))</f>
        <v>177</v>
      </c>
      <c r="G447" s="7" t="str">
        <f>IF(Table3[[#This Row],[Stage]]="Closed",Table3[[#This Row],[Date of Update]]-(_xlfn.MINIFS(Table3[Date of Update],Table3[Ref], Table3[[#This Row],[Ref]])),"")</f>
        <v/>
      </c>
    </row>
    <row r="448" spans="1:7" x14ac:dyDescent="0.25">
      <c r="A448" s="4" t="s">
        <v>347</v>
      </c>
      <c r="B448" s="5">
        <v>44993</v>
      </c>
      <c r="C448" s="6" t="s">
        <v>8</v>
      </c>
      <c r="D448" s="6" t="s">
        <v>9</v>
      </c>
      <c r="E448" s="6" t="s">
        <v>244</v>
      </c>
      <c r="F448" s="6" cm="1">
        <f t="array" aca="1" ref="F448" ca="1">IF(Table3[[#This Row],[Stage]]="Closed",0,IF(IFERROR(
  IF(
    COUNTIF(A$2:A$1997, A448) &gt; 1,
    MIN(IF(A$2:A$1997=A448, IF(B$2:B$1997&gt;B448, B$2:B$1997))) - B448,
    TODAY() - Table3[[#This Row],[Date of Update]]
  ),
  TODAY()-Table3[[#This Row],[Date of Update]]
)&lt;=0,
TODAY()-Table3[[#This Row],[Date of Update]],
IFERROR(
  IF(
    COUNTIF(A$2:A$1997, A448) &gt; 1,
    MIN(IF(A$2:A$1997=A448, IF(B$2:B$1997&gt;B448, B$2:B$1997))) - B448,
    TODAY() - Table3[[#This Row],[Date of Update]]
  ),
  TODAY()-Table3[[#This Row],[Date of Update]]
)))</f>
        <v>12</v>
      </c>
      <c r="G448" s="7" t="str">
        <f>IF(Table3[[#This Row],[Stage]]="Closed",Table3[[#This Row],[Date of Update]]-(_xlfn.MINIFS(Table3[Date of Update],Table3[Ref], Table3[[#This Row],[Ref]])),"")</f>
        <v/>
      </c>
    </row>
    <row r="449" spans="1:7" x14ac:dyDescent="0.25">
      <c r="A449" s="4" t="s">
        <v>164</v>
      </c>
      <c r="B449" s="5">
        <v>44994</v>
      </c>
      <c r="C449" s="6" t="s">
        <v>17</v>
      </c>
      <c r="D449" s="6" t="s">
        <v>9</v>
      </c>
      <c r="E449" s="6" t="s">
        <v>80</v>
      </c>
      <c r="F449" s="6" cm="1">
        <f t="array" aca="1" ref="F449" ca="1">IF(Table3[[#This Row],[Stage]]="Closed",0,IF(IFERROR(
  IF(
    COUNTIF(A$2:A$1997, A449) &gt; 1,
    MIN(IF(A$2:A$1997=A449, IF(B$2:B$1997&gt;B449, B$2:B$1997))) - B449,
    TODAY() - Table3[[#This Row],[Date of Update]]
  ),
  TODAY()-Table3[[#This Row],[Date of Update]]
)&lt;=0,
TODAY()-Table3[[#This Row],[Date of Update]],
IFERROR(
  IF(
    COUNTIF(A$2:A$1997, A449) &gt; 1,
    MIN(IF(A$2:A$1997=A449, IF(B$2:B$1997&gt;B449, B$2:B$1997))) - B449,
    TODAY() - Table3[[#This Row],[Date of Update]]
  ),
  TODAY()-Table3[[#This Row],[Date of Update]]
)))</f>
        <v>0</v>
      </c>
      <c r="G449" s="7">
        <f>IF(Table3[[#This Row],[Stage]]="Closed",Table3[[#This Row],[Date of Update]]-(_xlfn.MINIFS(Table3[Date of Update],Table3[Ref], Table3[[#This Row],[Ref]])),"")</f>
        <v>161</v>
      </c>
    </row>
    <row r="450" spans="1:7" x14ac:dyDescent="0.25">
      <c r="A450" s="4" t="s">
        <v>179</v>
      </c>
      <c r="B450" s="5">
        <v>44994</v>
      </c>
      <c r="C450" s="6" t="s">
        <v>17</v>
      </c>
      <c r="D450" s="6" t="s">
        <v>9</v>
      </c>
      <c r="E450" s="6" t="s">
        <v>80</v>
      </c>
      <c r="F450" s="6" cm="1">
        <f t="array" aca="1" ref="F450" ca="1">IF(Table3[[#This Row],[Stage]]="Closed",0,IF(IFERROR(
  IF(
    COUNTIF(A$2:A$1997, A450) &gt; 1,
    MIN(IF(A$2:A$1997=A450, IF(B$2:B$1997&gt;B450, B$2:B$1997))) - B450,
    TODAY() - Table3[[#This Row],[Date of Update]]
  ),
  TODAY()-Table3[[#This Row],[Date of Update]]
)&lt;=0,
TODAY()-Table3[[#This Row],[Date of Update]],
IFERROR(
  IF(
    COUNTIF(A$2:A$1997, A450) &gt; 1,
    MIN(IF(A$2:A$1997=A450, IF(B$2:B$1997&gt;B450, B$2:B$1997))) - B450,
    TODAY() - Table3[[#This Row],[Date of Update]]
  ),
  TODAY()-Table3[[#This Row],[Date of Update]]
)))</f>
        <v>0</v>
      </c>
      <c r="G450" s="7">
        <f>IF(Table3[[#This Row],[Stage]]="Closed",Table3[[#This Row],[Date of Update]]-(_xlfn.MINIFS(Table3[Date of Update],Table3[Ref], Table3[[#This Row],[Ref]])),"")</f>
        <v>142</v>
      </c>
    </row>
    <row r="451" spans="1:7" x14ac:dyDescent="0.25">
      <c r="A451" s="4" t="s">
        <v>113</v>
      </c>
      <c r="B451" s="5">
        <v>44994</v>
      </c>
      <c r="C451" s="6" t="s">
        <v>17</v>
      </c>
      <c r="D451" s="6" t="s">
        <v>9</v>
      </c>
      <c r="E451" s="6" t="s">
        <v>80</v>
      </c>
      <c r="F451" s="6" cm="1">
        <f t="array" aca="1" ref="F451" ca="1">IF(Table3[[#This Row],[Stage]]="Closed",0,IF(IFERROR(
  IF(
    COUNTIF(A$2:A$1997, A451) &gt; 1,
    MIN(IF(A$2:A$1997=A451, IF(B$2:B$1997&gt;B451, B$2:B$1997))) - B451,
    TODAY() - Table3[[#This Row],[Date of Update]]
  ),
  TODAY()-Table3[[#This Row],[Date of Update]]
)&lt;=0,
TODAY()-Table3[[#This Row],[Date of Update]],
IFERROR(
  IF(
    COUNTIF(A$2:A$1997, A451) &gt; 1,
    MIN(IF(A$2:A$1997=A451, IF(B$2:B$1997&gt;B451, B$2:B$1997))) - B451,
    TODAY() - Table3[[#This Row],[Date of Update]]
  ),
  TODAY()-Table3[[#This Row],[Date of Update]]
)))</f>
        <v>0</v>
      </c>
      <c r="G451" s="7">
        <f>IF(Table3[[#This Row],[Stage]]="Closed",Table3[[#This Row],[Date of Update]]-(_xlfn.MINIFS(Table3[Date of Update],Table3[Ref], Table3[[#This Row],[Ref]])),"")</f>
        <v>225</v>
      </c>
    </row>
    <row r="452" spans="1:7" x14ac:dyDescent="0.25">
      <c r="A452" s="4" t="s">
        <v>182</v>
      </c>
      <c r="B452" s="5">
        <v>44995</v>
      </c>
      <c r="C452" s="6" t="s">
        <v>17</v>
      </c>
      <c r="D452" s="6" t="s">
        <v>9</v>
      </c>
      <c r="E452" s="6" t="s">
        <v>102</v>
      </c>
      <c r="F452" s="6" cm="1">
        <f t="array" aca="1" ref="F452" ca="1">IF(Table3[[#This Row],[Stage]]="Closed",0,IF(IFERROR(
  IF(
    COUNTIF(A$2:A$1997, A452) &gt; 1,
    MIN(IF(A$2:A$1997=A452, IF(B$2:B$1997&gt;B452, B$2:B$1997))) - B452,
    TODAY() - Table3[[#This Row],[Date of Update]]
  ),
  TODAY()-Table3[[#This Row],[Date of Update]]
)&lt;=0,
TODAY()-Table3[[#This Row],[Date of Update]],
IFERROR(
  IF(
    COUNTIF(A$2:A$1997, A452) &gt; 1,
    MIN(IF(A$2:A$1997=A452, IF(B$2:B$1997&gt;B452, B$2:B$1997))) - B452,
    TODAY() - Table3[[#This Row],[Date of Update]]
  ),
  TODAY()-Table3[[#This Row],[Date of Update]]
)))</f>
        <v>0</v>
      </c>
      <c r="G452" s="7">
        <f>IF(Table3[[#This Row],[Stage]]="Closed",Table3[[#This Row],[Date of Update]]-(_xlfn.MINIFS(Table3[Date of Update],Table3[Ref], Table3[[#This Row],[Ref]])),"")</f>
        <v>133</v>
      </c>
    </row>
    <row r="453" spans="1:7" x14ac:dyDescent="0.25">
      <c r="A453" s="4" t="s">
        <v>101</v>
      </c>
      <c r="B453" s="5">
        <v>44995</v>
      </c>
      <c r="C453" s="6" t="s">
        <v>17</v>
      </c>
      <c r="D453" s="6" t="s">
        <v>9</v>
      </c>
      <c r="E453" s="6" t="s">
        <v>102</v>
      </c>
      <c r="F453" s="6" cm="1">
        <f t="array" aca="1" ref="F453" ca="1">IF(Table3[[#This Row],[Stage]]="Closed",0,IF(IFERROR(
  IF(
    COUNTIF(A$2:A$1997, A453) &gt; 1,
    MIN(IF(A$2:A$1997=A453, IF(B$2:B$1997&gt;B453, B$2:B$1997))) - B453,
    TODAY() - Table3[[#This Row],[Date of Update]]
  ),
  TODAY()-Table3[[#This Row],[Date of Update]]
)&lt;=0,
TODAY()-Table3[[#This Row],[Date of Update]],
IFERROR(
  IF(
    COUNTIF(A$2:A$1997, A453) &gt; 1,
    MIN(IF(A$2:A$1997=A453, IF(B$2:B$1997&gt;B453, B$2:B$1997))) - B453,
    TODAY() - Table3[[#This Row],[Date of Update]]
  ),
  TODAY()-Table3[[#This Row],[Date of Update]]
)))</f>
        <v>0</v>
      </c>
      <c r="G453" s="7">
        <f>IF(Table3[[#This Row],[Stage]]="Closed",Table3[[#This Row],[Date of Update]]-(_xlfn.MINIFS(Table3[Date of Update],Table3[Ref], Table3[[#This Row],[Ref]])),"")</f>
        <v>235</v>
      </c>
    </row>
    <row r="454" spans="1:7" x14ac:dyDescent="0.25">
      <c r="A454" s="4" t="s">
        <v>336</v>
      </c>
      <c r="B454" s="5">
        <v>44995</v>
      </c>
      <c r="C454" s="6" t="s">
        <v>17</v>
      </c>
      <c r="D454" s="6" t="s">
        <v>9</v>
      </c>
      <c r="E454" s="6" t="s">
        <v>337</v>
      </c>
      <c r="F454" s="6" cm="1">
        <f t="array" aca="1" ref="F454" ca="1">IF(Table3[[#This Row],[Stage]]="Closed",0,IF(IFERROR(
  IF(
    COUNTIF(A$2:A$1997, A454) &gt; 1,
    MIN(IF(A$2:A$1997=A454, IF(B$2:B$1997&gt;B454, B$2:B$1997))) - B454,
    TODAY() - Table3[[#This Row],[Date of Update]]
  ),
  TODAY()-Table3[[#This Row],[Date of Update]]
)&lt;=0,
TODAY()-Table3[[#This Row],[Date of Update]],
IFERROR(
  IF(
    COUNTIF(A$2:A$1997, A454) &gt; 1,
    MIN(IF(A$2:A$1997=A454, IF(B$2:B$1997&gt;B454, B$2:B$1997))) - B454,
    TODAY() - Table3[[#This Row],[Date of Update]]
  ),
  TODAY()-Table3[[#This Row],[Date of Update]]
)))</f>
        <v>0</v>
      </c>
      <c r="G454" s="7">
        <f>IF(Table3[[#This Row],[Stage]]="Closed",Table3[[#This Row],[Date of Update]]-(_xlfn.MINIFS(Table3[Date of Update],Table3[Ref], Table3[[#This Row],[Ref]])),"")</f>
        <v>11</v>
      </c>
    </row>
    <row r="455" spans="1:7" x14ac:dyDescent="0.25">
      <c r="A455" s="4" t="s">
        <v>339</v>
      </c>
      <c r="B455" s="5">
        <v>44995</v>
      </c>
      <c r="C455" s="6" t="s">
        <v>17</v>
      </c>
      <c r="D455" s="6" t="s">
        <v>9</v>
      </c>
      <c r="E455" s="6" t="s">
        <v>340</v>
      </c>
      <c r="F455" s="6" cm="1">
        <f t="array" aca="1" ref="F455" ca="1">IF(Table3[[#This Row],[Stage]]="Closed",0,IF(IFERROR(
  IF(
    COUNTIF(A$2:A$1997, A455) &gt; 1,
    MIN(IF(A$2:A$1997=A455, IF(B$2:B$1997&gt;B455, B$2:B$1997))) - B455,
    TODAY() - Table3[[#This Row],[Date of Update]]
  ),
  TODAY()-Table3[[#This Row],[Date of Update]]
)&lt;=0,
TODAY()-Table3[[#This Row],[Date of Update]],
IFERROR(
  IF(
    COUNTIF(A$2:A$1997, A455) &gt; 1,
    MIN(IF(A$2:A$1997=A455, IF(B$2:B$1997&gt;B455, B$2:B$1997))) - B455,
    TODAY() - Table3[[#This Row],[Date of Update]]
  ),
  TODAY()-Table3[[#This Row],[Date of Update]]
)))</f>
        <v>0</v>
      </c>
      <c r="G455" s="7">
        <f>IF(Table3[[#This Row],[Stage]]="Closed",Table3[[#This Row],[Date of Update]]-(_xlfn.MINIFS(Table3[Date of Update],Table3[Ref], Table3[[#This Row],[Ref]])),"")</f>
        <v>8</v>
      </c>
    </row>
    <row r="456" spans="1:7" x14ac:dyDescent="0.25">
      <c r="A456" s="4" t="s">
        <v>322</v>
      </c>
      <c r="B456" s="5">
        <v>44995</v>
      </c>
      <c r="C456" s="6" t="s">
        <v>17</v>
      </c>
      <c r="D456" s="6" t="s">
        <v>9</v>
      </c>
      <c r="E456" s="6" t="s">
        <v>304</v>
      </c>
      <c r="F456" s="6" cm="1">
        <f t="array" aca="1" ref="F456" ca="1">IF(Table3[[#This Row],[Stage]]="Closed",0,IF(IFERROR(
  IF(
    COUNTIF(A$2:A$1997, A456) &gt; 1,
    MIN(IF(A$2:A$1997=A456, IF(B$2:B$1997&gt;B456, B$2:B$1997))) - B456,
    TODAY() - Table3[[#This Row],[Date of Update]]
  ),
  TODAY()-Table3[[#This Row],[Date of Update]]
)&lt;=0,
TODAY()-Table3[[#This Row],[Date of Update]],
IFERROR(
  IF(
    COUNTIF(A$2:A$1997, A456) &gt; 1,
    MIN(IF(A$2:A$1997=A456, IF(B$2:B$1997&gt;B456, B$2:B$1997))) - B456,
    TODAY() - Table3[[#This Row],[Date of Update]]
  ),
  TODAY()-Table3[[#This Row],[Date of Update]]
)))</f>
        <v>0</v>
      </c>
      <c r="G456" s="7">
        <f>IF(Table3[[#This Row],[Stage]]="Closed",Table3[[#This Row],[Date of Update]]-(_xlfn.MINIFS(Table3[Date of Update],Table3[Ref], Table3[[#This Row],[Ref]])),"")</f>
        <v>24</v>
      </c>
    </row>
    <row r="457" spans="1:7" x14ac:dyDescent="0.25">
      <c r="A457" s="4" t="s">
        <v>348</v>
      </c>
      <c r="B457" s="5">
        <v>45000</v>
      </c>
      <c r="C457" s="6" t="s">
        <v>8</v>
      </c>
      <c r="D457" s="6" t="s">
        <v>9</v>
      </c>
      <c r="E457" s="6" t="s">
        <v>244</v>
      </c>
      <c r="F457" s="6" cm="1">
        <f t="array" aca="1" ref="F457" ca="1">IF(Table3[[#This Row],[Stage]]="Closed",0,IF(IFERROR(
  IF(
    COUNTIF(A$2:A$1997, A457) &gt; 1,
    MIN(IF(A$2:A$1997=A457, IF(B$2:B$1997&gt;B457, B$2:B$1997))) - B457,
    TODAY() - Table3[[#This Row],[Date of Update]]
  ),
  TODAY()-Table3[[#This Row],[Date of Update]]
)&lt;=0,
TODAY()-Table3[[#This Row],[Date of Update]],
IFERROR(
  IF(
    COUNTIF(A$2:A$1997, A457) &gt; 1,
    MIN(IF(A$2:A$1997=A457, IF(B$2:B$1997&gt;B457, B$2:B$1997))) - B457,
    TODAY() - Table3[[#This Row],[Date of Update]]
  ),
  TODAY()-Table3[[#This Row],[Date of Update]]
)))</f>
        <v>13</v>
      </c>
      <c r="G457" s="7" t="str">
        <f>IF(Table3[[#This Row],[Stage]]="Closed",Table3[[#This Row],[Date of Update]]-(_xlfn.MINIFS(Table3[Date of Update],Table3[Ref], Table3[[#This Row],[Ref]])),"")</f>
        <v/>
      </c>
    </row>
    <row r="458" spans="1:7" x14ac:dyDescent="0.25">
      <c r="A458" s="4" t="s">
        <v>349</v>
      </c>
      <c r="B458" s="5">
        <v>45000</v>
      </c>
      <c r="C458" s="6" t="s">
        <v>8</v>
      </c>
      <c r="D458" s="6" t="s">
        <v>9</v>
      </c>
      <c r="E458" s="6" t="s">
        <v>350</v>
      </c>
      <c r="F458" s="6" cm="1">
        <f t="array" aca="1" ref="F458" ca="1">IF(Table3[[#This Row],[Stage]]="Closed",0,IF(IFERROR(
  IF(
    COUNTIF(A$2:A$1997, A458) &gt; 1,
    MIN(IF(A$2:A$1997=A458, IF(B$2:B$1997&gt;B458, B$2:B$1997))) - B458,
    TODAY() - Table3[[#This Row],[Date of Update]]
  ),
  TODAY()-Table3[[#This Row],[Date of Update]]
)&lt;=0,
TODAY()-Table3[[#This Row],[Date of Update]],
IFERROR(
  IF(
    COUNTIF(A$2:A$1997, A458) &gt; 1,
    MIN(IF(A$2:A$1997=A458, IF(B$2:B$1997&gt;B458, B$2:B$1997))) - B458,
    TODAY() - Table3[[#This Row],[Date of Update]]
  ),
  TODAY()-Table3[[#This Row],[Date of Update]]
)))</f>
        <v>36</v>
      </c>
      <c r="G458" s="7" t="str">
        <f>IF(Table3[[#This Row],[Stage]]="Closed",Table3[[#This Row],[Date of Update]]-(_xlfn.MINIFS(Table3[Date of Update],Table3[Ref], Table3[[#This Row],[Ref]])),"")</f>
        <v/>
      </c>
    </row>
    <row r="459" spans="1:7" x14ac:dyDescent="0.25">
      <c r="A459" s="4" t="s">
        <v>351</v>
      </c>
      <c r="B459" s="5">
        <v>45001</v>
      </c>
      <c r="C459" s="6" t="s">
        <v>8</v>
      </c>
      <c r="D459" s="6" t="s">
        <v>9</v>
      </c>
      <c r="E459" s="6"/>
      <c r="F459" s="6" cm="1">
        <f t="array" aca="1" ref="F459" ca="1">IF(Table3[[#This Row],[Stage]]="Closed",0,IF(IFERROR(
  IF(
    COUNTIF(A$2:A$1997, A459) &gt; 1,
    MIN(IF(A$2:A$1997=A459, IF(B$2:B$1997&gt;B459, B$2:B$1997))) - B459,
    TODAY() - Table3[[#This Row],[Date of Update]]
  ),
  TODAY()-Table3[[#This Row],[Date of Update]]
)&lt;=0,
TODAY()-Table3[[#This Row],[Date of Update]],
IFERROR(
  IF(
    COUNTIF(A$2:A$1997, A459) &gt; 1,
    MIN(IF(A$2:A$1997=A459, IF(B$2:B$1997&gt;B459, B$2:B$1997))) - B459,
    TODAY() - Table3[[#This Row],[Date of Update]]
  ),
  TODAY()-Table3[[#This Row],[Date of Update]]
)))</f>
        <v>35</v>
      </c>
      <c r="G459" s="7" t="str">
        <f>IF(Table3[[#This Row],[Stage]]="Closed",Table3[[#This Row],[Date of Update]]-(_xlfn.MINIFS(Table3[Date of Update],Table3[Ref], Table3[[#This Row],[Ref]])),"")</f>
        <v/>
      </c>
    </row>
    <row r="460" spans="1:7" x14ac:dyDescent="0.25">
      <c r="A460" s="4" t="s">
        <v>352</v>
      </c>
      <c r="B460" s="5">
        <v>45001</v>
      </c>
      <c r="C460" s="6" t="s">
        <v>8</v>
      </c>
      <c r="D460" s="6" t="s">
        <v>9</v>
      </c>
      <c r="E460" s="6"/>
      <c r="F460" s="6" cm="1">
        <f t="array" aca="1" ref="F460" ca="1">IF(Table3[[#This Row],[Stage]]="Closed",0,IF(IFERROR(
  IF(
    COUNTIF(A$2:A$1997, A460) &gt; 1,
    MIN(IF(A$2:A$1997=A460, IF(B$2:B$1997&gt;B460, B$2:B$1997))) - B460,
    TODAY() - Table3[[#This Row],[Date of Update]]
  ),
  TODAY()-Table3[[#This Row],[Date of Update]]
)&lt;=0,
TODAY()-Table3[[#This Row],[Date of Update]],
IFERROR(
  IF(
    COUNTIF(A$2:A$1997, A460) &gt; 1,
    MIN(IF(A$2:A$1997=A460, IF(B$2:B$1997&gt;B460, B$2:B$1997))) - B460,
    TODAY() - Table3[[#This Row],[Date of Update]]
  ),
  TODAY()-Table3[[#This Row],[Date of Update]]
)))</f>
        <v>35</v>
      </c>
      <c r="G460" s="7" t="str">
        <f>IF(Table3[[#This Row],[Stage]]="Closed",Table3[[#This Row],[Date of Update]]-(_xlfn.MINIFS(Table3[Date of Update],Table3[Ref], Table3[[#This Row],[Ref]])),"")</f>
        <v/>
      </c>
    </row>
    <row r="461" spans="1:7" x14ac:dyDescent="0.25">
      <c r="A461" s="4" t="s">
        <v>353</v>
      </c>
      <c r="B461" s="5">
        <v>45001</v>
      </c>
      <c r="C461" s="6" t="s">
        <v>8</v>
      </c>
      <c r="D461" s="6" t="s">
        <v>9</v>
      </c>
      <c r="E461" s="6" t="s">
        <v>354</v>
      </c>
      <c r="F461" s="6" cm="1">
        <f t="array" aca="1" ref="F461" ca="1">IF(Table3[[#This Row],[Stage]]="Closed",0,IF(IFERROR(
  IF(
    COUNTIF(A$2:A$1997, A461) &gt; 1,
    MIN(IF(A$2:A$1997=A461, IF(B$2:B$1997&gt;B461, B$2:B$1997))) - B461,
    TODAY() - Table3[[#This Row],[Date of Update]]
  ),
  TODAY()-Table3[[#This Row],[Date of Update]]
)&lt;=0,
TODAY()-Table3[[#This Row],[Date of Update]],
IFERROR(
  IF(
    COUNTIF(A$2:A$1997, A461) &gt; 1,
    MIN(IF(A$2:A$1997=A461, IF(B$2:B$1997&gt;B461, B$2:B$1997))) - B461,
    TODAY() - Table3[[#This Row],[Date of Update]]
  ),
  TODAY()-Table3[[#This Row],[Date of Update]]
)))</f>
        <v>210</v>
      </c>
      <c r="G461" s="7" t="str">
        <f>IF(Table3[[#This Row],[Stage]]="Closed",Table3[[#This Row],[Date of Update]]-(_xlfn.MINIFS(Table3[Date of Update],Table3[Ref], Table3[[#This Row],[Ref]])),"")</f>
        <v/>
      </c>
    </row>
    <row r="462" spans="1:7" x14ac:dyDescent="0.25">
      <c r="A462" s="4" t="s">
        <v>320</v>
      </c>
      <c r="B462" s="5">
        <v>45001</v>
      </c>
      <c r="C462" s="6" t="s">
        <v>17</v>
      </c>
      <c r="D462" s="6" t="s">
        <v>9</v>
      </c>
      <c r="E462" s="6" t="s">
        <v>321</v>
      </c>
      <c r="F462" s="6" cm="1">
        <f t="array" aca="1" ref="F462" ca="1">IF(Table3[[#This Row],[Stage]]="Closed",0,IF(IFERROR(
  IF(
    COUNTIF(A$2:A$1997, A462) &gt; 1,
    MIN(IF(A$2:A$1997=A462, IF(B$2:B$1997&gt;B462, B$2:B$1997))) - B462,
    TODAY() - Table3[[#This Row],[Date of Update]]
  ),
  TODAY()-Table3[[#This Row],[Date of Update]]
)&lt;=0,
TODAY()-Table3[[#This Row],[Date of Update]],
IFERROR(
  IF(
    COUNTIF(A$2:A$1997, A462) &gt; 1,
    MIN(IF(A$2:A$1997=A462, IF(B$2:B$1997&gt;B462, B$2:B$1997))) - B462,
    TODAY() - Table3[[#This Row],[Date of Update]]
  ),
  TODAY()-Table3[[#This Row],[Date of Update]]
)))</f>
        <v>0</v>
      </c>
      <c r="G462" s="7">
        <f>IF(Table3[[#This Row],[Stage]]="Closed",Table3[[#This Row],[Date of Update]]-(_xlfn.MINIFS(Table3[Date of Update],Table3[Ref], Table3[[#This Row],[Ref]])),"")</f>
        <v>30</v>
      </c>
    </row>
    <row r="463" spans="1:7" x14ac:dyDescent="0.25">
      <c r="A463" s="4" t="s">
        <v>287</v>
      </c>
      <c r="B463" s="5">
        <v>45005</v>
      </c>
      <c r="C463" s="6" t="s">
        <v>17</v>
      </c>
      <c r="D463" s="6" t="s">
        <v>9</v>
      </c>
      <c r="E463" s="6"/>
      <c r="F463" s="6" cm="1">
        <f t="array" aca="1" ref="F463" ca="1">IF(Table3[[#This Row],[Stage]]="Closed",0,IF(IFERROR(
  IF(
    COUNTIF(A$2:A$1997, A463) &gt; 1,
    MIN(IF(A$2:A$1997=A463, IF(B$2:B$1997&gt;B463, B$2:B$1997))) - B463,
    TODAY() - Table3[[#This Row],[Date of Update]]
  ),
  TODAY()-Table3[[#This Row],[Date of Update]]
)&lt;=0,
TODAY()-Table3[[#This Row],[Date of Update]],
IFERROR(
  IF(
    COUNTIF(A$2:A$1997, A463) &gt; 1,
    MIN(IF(A$2:A$1997=A463, IF(B$2:B$1997&gt;B463, B$2:B$1997))) - B463,
    TODAY() - Table3[[#This Row],[Date of Update]]
  ),
  TODAY()-Table3[[#This Row],[Date of Update]]
)))</f>
        <v>0</v>
      </c>
      <c r="G463" s="7">
        <f>IF(Table3[[#This Row],[Stage]]="Closed",Table3[[#This Row],[Date of Update]]-(_xlfn.MINIFS(Table3[Date of Update],Table3[Ref], Table3[[#This Row],[Ref]])),"")</f>
        <v>62</v>
      </c>
    </row>
    <row r="464" spans="1:7" x14ac:dyDescent="0.25">
      <c r="A464" s="4" t="s">
        <v>347</v>
      </c>
      <c r="B464" s="5">
        <v>45005</v>
      </c>
      <c r="C464" s="6" t="s">
        <v>17</v>
      </c>
      <c r="D464" s="6" t="s">
        <v>9</v>
      </c>
      <c r="E464" s="6" t="s">
        <v>244</v>
      </c>
      <c r="F464" s="6" cm="1">
        <f t="array" aca="1" ref="F464" ca="1">IF(Table3[[#This Row],[Stage]]="Closed",0,IF(IFERROR(
  IF(
    COUNTIF(A$2:A$1997, A464) &gt; 1,
    MIN(IF(A$2:A$1997=A464, IF(B$2:B$1997&gt;B464, B$2:B$1997))) - B464,
    TODAY() - Table3[[#This Row],[Date of Update]]
  ),
  TODAY()-Table3[[#This Row],[Date of Update]]
)&lt;=0,
TODAY()-Table3[[#This Row],[Date of Update]],
IFERROR(
  IF(
    COUNTIF(A$2:A$1997, A464) &gt; 1,
    MIN(IF(A$2:A$1997=A464, IF(B$2:B$1997&gt;B464, B$2:B$1997))) - B464,
    TODAY() - Table3[[#This Row],[Date of Update]]
  ),
  TODAY()-Table3[[#This Row],[Date of Update]]
)))</f>
        <v>0</v>
      </c>
      <c r="G464" s="7">
        <f>IF(Table3[[#This Row],[Stage]]="Closed",Table3[[#This Row],[Date of Update]]-(_xlfn.MINIFS(Table3[Date of Update],Table3[Ref], Table3[[#This Row],[Ref]])),"")</f>
        <v>12</v>
      </c>
    </row>
    <row r="465" spans="1:7" x14ac:dyDescent="0.25">
      <c r="A465" s="4" t="s">
        <v>355</v>
      </c>
      <c r="B465" s="5">
        <v>45005</v>
      </c>
      <c r="C465" s="6" t="s">
        <v>8</v>
      </c>
      <c r="D465" s="6" t="s">
        <v>9</v>
      </c>
      <c r="E465" s="6" t="s">
        <v>356</v>
      </c>
      <c r="F465" s="6" cm="1">
        <f t="array" aca="1" ref="F465" ca="1">IF(Table3[[#This Row],[Stage]]="Closed",0,IF(IFERROR(
  IF(
    COUNTIF(A$2:A$1997, A465) &gt; 1,
    MIN(IF(A$2:A$1997=A465, IF(B$2:B$1997&gt;B465, B$2:B$1997))) - B465,
    TODAY() - Table3[[#This Row],[Date of Update]]
  ),
  TODAY()-Table3[[#This Row],[Date of Update]]
)&lt;=0,
TODAY()-Table3[[#This Row],[Date of Update]],
IFERROR(
  IF(
    COUNTIF(A$2:A$1997, A465) &gt; 1,
    MIN(IF(A$2:A$1997=A465, IF(B$2:B$1997&gt;B465, B$2:B$1997))) - B465,
    TODAY() - Table3[[#This Row],[Date of Update]]
  ),
  TODAY()-Table3[[#This Row],[Date of Update]]
)))</f>
        <v>58</v>
      </c>
      <c r="G465" s="7" t="str">
        <f>IF(Table3[[#This Row],[Stage]]="Closed",Table3[[#This Row],[Date of Update]]-(_xlfn.MINIFS(Table3[Date of Update],Table3[Ref], Table3[[#This Row],[Ref]])),"")</f>
        <v/>
      </c>
    </row>
    <row r="466" spans="1:7" x14ac:dyDescent="0.25">
      <c r="A466" s="4" t="s">
        <v>357</v>
      </c>
      <c r="B466" s="5">
        <v>45007</v>
      </c>
      <c r="C466" s="6" t="s">
        <v>8</v>
      </c>
      <c r="D466" s="6" t="s">
        <v>9</v>
      </c>
      <c r="E466" s="6" t="s">
        <v>80</v>
      </c>
      <c r="F466" s="6" cm="1">
        <f t="array" aca="1" ref="F466" ca="1">IF(Table3[[#This Row],[Stage]]="Closed",0,IF(IFERROR(
  IF(
    COUNTIF(A$2:A$1997, A466) &gt; 1,
    MIN(IF(A$2:A$1997=A466, IF(B$2:B$1997&gt;B466, B$2:B$1997))) - B466,
    TODAY() - Table3[[#This Row],[Date of Update]]
  ),
  TODAY()-Table3[[#This Row],[Date of Update]]
)&lt;=0,
TODAY()-Table3[[#This Row],[Date of Update]],
IFERROR(
  IF(
    COUNTIF(A$2:A$1997, A466) &gt; 1,
    MIN(IF(A$2:A$1997=A466, IF(B$2:B$1997&gt;B466, B$2:B$1997))) - B466,
    TODAY() - Table3[[#This Row],[Date of Update]]
  ),
  TODAY()-Table3[[#This Row],[Date of Update]]
)))</f>
        <v>959</v>
      </c>
      <c r="G466" s="7" t="str">
        <f>IF(Table3[[#This Row],[Stage]]="Closed",Table3[[#This Row],[Date of Update]]-(_xlfn.MINIFS(Table3[Date of Update],Table3[Ref], Table3[[#This Row],[Ref]])),"")</f>
        <v/>
      </c>
    </row>
    <row r="467" spans="1:7" x14ac:dyDescent="0.25">
      <c r="A467" s="4" t="s">
        <v>357</v>
      </c>
      <c r="B467" s="5">
        <v>45007</v>
      </c>
      <c r="C467" s="6" t="s">
        <v>17</v>
      </c>
      <c r="D467" s="6" t="s">
        <v>9</v>
      </c>
      <c r="E467" s="6" t="s">
        <v>80</v>
      </c>
      <c r="F467" s="6" cm="1">
        <f t="array" aca="1" ref="F467" ca="1">IF(Table3[[#This Row],[Stage]]="Closed",0,IF(IFERROR(
  IF(
    COUNTIF(A$2:A$1997, A467) &gt; 1,
    MIN(IF(A$2:A$1997=A467, IF(B$2:B$1997&gt;B467, B$2:B$1997))) - B467,
    TODAY() - Table3[[#This Row],[Date of Update]]
  ),
  TODAY()-Table3[[#This Row],[Date of Update]]
)&lt;=0,
TODAY()-Table3[[#This Row],[Date of Update]],
IFERROR(
  IF(
    COUNTIF(A$2:A$1997, A467) &gt; 1,
    MIN(IF(A$2:A$1997=A467, IF(B$2:B$1997&gt;B467, B$2:B$1997))) - B467,
    TODAY() - Table3[[#This Row],[Date of Update]]
  ),
  TODAY()-Table3[[#This Row],[Date of Update]]
)))</f>
        <v>0</v>
      </c>
      <c r="G467" s="7">
        <f>IF(Table3[[#This Row],[Stage]]="Closed",Table3[[#This Row],[Date of Update]]-(_xlfn.MINIFS(Table3[Date of Update],Table3[Ref], Table3[[#This Row],[Ref]])),"")</f>
        <v>0</v>
      </c>
    </row>
    <row r="468" spans="1:7" x14ac:dyDescent="0.25">
      <c r="A468" s="4" t="s">
        <v>332</v>
      </c>
      <c r="B468" s="5">
        <v>45008</v>
      </c>
      <c r="C468" s="6" t="s">
        <v>17</v>
      </c>
      <c r="D468" s="6" t="s">
        <v>9</v>
      </c>
      <c r="E468" s="6" t="s">
        <v>333</v>
      </c>
      <c r="F468" s="6" cm="1">
        <f t="array" aca="1" ref="F468" ca="1">IF(Table3[[#This Row],[Stage]]="Closed",0,IF(IFERROR(
  IF(
    COUNTIF(A$2:A$1997, A468) &gt; 1,
    MIN(IF(A$2:A$1997=A468, IF(B$2:B$1997&gt;B468, B$2:B$1997))) - B468,
    TODAY() - Table3[[#This Row],[Date of Update]]
  ),
  TODAY()-Table3[[#This Row],[Date of Update]]
)&lt;=0,
TODAY()-Table3[[#This Row],[Date of Update]],
IFERROR(
  IF(
    COUNTIF(A$2:A$1997, A468) &gt; 1,
    MIN(IF(A$2:A$1997=A468, IF(B$2:B$1997&gt;B468, B$2:B$1997))) - B468,
    TODAY() - Table3[[#This Row],[Date of Update]]
  ),
  TODAY()-Table3[[#This Row],[Date of Update]]
)))</f>
        <v>0</v>
      </c>
      <c r="G468" s="7">
        <f>IF(Table3[[#This Row],[Stage]]="Closed",Table3[[#This Row],[Date of Update]]-(_xlfn.MINIFS(Table3[Date of Update],Table3[Ref], Table3[[#This Row],[Ref]])),"")</f>
        <v>27</v>
      </c>
    </row>
    <row r="469" spans="1:7" x14ac:dyDescent="0.25">
      <c r="A469" s="4" t="s">
        <v>358</v>
      </c>
      <c r="B469" s="5">
        <v>45008</v>
      </c>
      <c r="C469" s="6" t="s">
        <v>8</v>
      </c>
      <c r="D469" s="6" t="s">
        <v>9</v>
      </c>
      <c r="E469" s="6" t="s">
        <v>244</v>
      </c>
      <c r="F469" s="6" cm="1">
        <f t="array" aca="1" ref="F469" ca="1">IF(Table3[[#This Row],[Stage]]="Closed",0,IF(IFERROR(
  IF(
    COUNTIF(A$2:A$1997, A469) &gt; 1,
    MIN(IF(A$2:A$1997=A469, IF(B$2:B$1997&gt;B469, B$2:B$1997))) - B469,
    TODAY() - Table3[[#This Row],[Date of Update]]
  ),
  TODAY()-Table3[[#This Row],[Date of Update]]
)&lt;=0,
TODAY()-Table3[[#This Row],[Date of Update]],
IFERROR(
  IF(
    COUNTIF(A$2:A$1997, A469) &gt; 1,
    MIN(IF(A$2:A$1997=A469, IF(B$2:B$1997&gt;B469, B$2:B$1997))) - B469,
    TODAY() - Table3[[#This Row],[Date of Update]]
  ),
  TODAY()-Table3[[#This Row],[Date of Update]]
)))</f>
        <v>5</v>
      </c>
      <c r="G469" s="7" t="str">
        <f>IF(Table3[[#This Row],[Stage]]="Closed",Table3[[#This Row],[Date of Update]]-(_xlfn.MINIFS(Table3[Date of Update],Table3[Ref], Table3[[#This Row],[Ref]])),"")</f>
        <v/>
      </c>
    </row>
    <row r="470" spans="1:7" x14ac:dyDescent="0.25">
      <c r="A470" s="4" t="s">
        <v>263</v>
      </c>
      <c r="B470" s="5">
        <v>45008</v>
      </c>
      <c r="C470" s="6" t="s">
        <v>17</v>
      </c>
      <c r="D470" s="6" t="s">
        <v>9</v>
      </c>
      <c r="E470" s="6" t="s">
        <v>264</v>
      </c>
      <c r="F470" s="6" cm="1">
        <f t="array" aca="1" ref="F470" ca="1">IF(Table3[[#This Row],[Stage]]="Closed",0,IF(IFERROR(
  IF(
    COUNTIF(A$2:A$1997, A470) &gt; 1,
    MIN(IF(A$2:A$1997=A470, IF(B$2:B$1997&gt;B470, B$2:B$1997))) - B470,
    TODAY() - Table3[[#This Row],[Date of Update]]
  ),
  TODAY()-Table3[[#This Row],[Date of Update]]
)&lt;=0,
TODAY()-Table3[[#This Row],[Date of Update]],
IFERROR(
  IF(
    COUNTIF(A$2:A$1997, A470) &gt; 1,
    MIN(IF(A$2:A$1997=A470, IF(B$2:B$1997&gt;B470, B$2:B$1997))) - B470,
    TODAY() - Table3[[#This Row],[Date of Update]]
  ),
  TODAY()-Table3[[#This Row],[Date of Update]]
)))</f>
        <v>0</v>
      </c>
      <c r="G470" s="7">
        <f>IF(Table3[[#This Row],[Stage]]="Closed",Table3[[#This Row],[Date of Update]]-(_xlfn.MINIFS(Table3[Date of Update],Table3[Ref], Table3[[#This Row],[Ref]])),"")</f>
        <v>79</v>
      </c>
    </row>
    <row r="471" spans="1:7" x14ac:dyDescent="0.25">
      <c r="A471" s="4" t="s">
        <v>348</v>
      </c>
      <c r="B471" s="5">
        <v>45013</v>
      </c>
      <c r="C471" s="6" t="s">
        <v>17</v>
      </c>
      <c r="D471" s="6" t="s">
        <v>9</v>
      </c>
      <c r="E471" s="6" t="s">
        <v>244</v>
      </c>
      <c r="F471" s="6" cm="1">
        <f t="array" aca="1" ref="F471" ca="1">IF(Table3[[#This Row],[Stage]]="Closed",0,IF(IFERROR(
  IF(
    COUNTIF(A$2:A$1997, A471) &gt; 1,
    MIN(IF(A$2:A$1997=A471, IF(B$2:B$1997&gt;B471, B$2:B$1997))) - B471,
    TODAY() - Table3[[#This Row],[Date of Update]]
  ),
  TODAY()-Table3[[#This Row],[Date of Update]]
)&lt;=0,
TODAY()-Table3[[#This Row],[Date of Update]],
IFERROR(
  IF(
    COUNTIF(A$2:A$1997, A471) &gt; 1,
    MIN(IF(A$2:A$1997=A471, IF(B$2:B$1997&gt;B471, B$2:B$1997))) - B471,
    TODAY() - Table3[[#This Row],[Date of Update]]
  ),
  TODAY()-Table3[[#This Row],[Date of Update]]
)))</f>
        <v>0</v>
      </c>
      <c r="G471" s="7">
        <f>IF(Table3[[#This Row],[Stage]]="Closed",Table3[[#This Row],[Date of Update]]-(_xlfn.MINIFS(Table3[Date of Update],Table3[Ref], Table3[[#This Row],[Ref]])),"")</f>
        <v>13</v>
      </c>
    </row>
    <row r="472" spans="1:7" x14ac:dyDescent="0.25">
      <c r="A472" s="4" t="s">
        <v>358</v>
      </c>
      <c r="B472" s="5">
        <v>45013</v>
      </c>
      <c r="C472" s="6" t="s">
        <v>17</v>
      </c>
      <c r="D472" s="6" t="s">
        <v>9</v>
      </c>
      <c r="E472" s="6" t="s">
        <v>244</v>
      </c>
      <c r="F472" s="6" cm="1">
        <f t="array" aca="1" ref="F472" ca="1">IF(Table3[[#This Row],[Stage]]="Closed",0,IF(IFERROR(
  IF(
    COUNTIF(A$2:A$1997, A472) &gt; 1,
    MIN(IF(A$2:A$1997=A472, IF(B$2:B$1997&gt;B472, B$2:B$1997))) - B472,
    TODAY() - Table3[[#This Row],[Date of Update]]
  ),
  TODAY()-Table3[[#This Row],[Date of Update]]
)&lt;=0,
TODAY()-Table3[[#This Row],[Date of Update]],
IFERROR(
  IF(
    COUNTIF(A$2:A$1997, A472) &gt; 1,
    MIN(IF(A$2:A$1997=A472, IF(B$2:B$1997&gt;B472, B$2:B$1997))) - B472,
    TODAY() - Table3[[#This Row],[Date of Update]]
  ),
  TODAY()-Table3[[#This Row],[Date of Update]]
)))</f>
        <v>0</v>
      </c>
      <c r="G472" s="7">
        <f>IF(Table3[[#This Row],[Stage]]="Closed",Table3[[#This Row],[Date of Update]]-(_xlfn.MINIFS(Table3[Date of Update],Table3[Ref], Table3[[#This Row],[Ref]])),"")</f>
        <v>5</v>
      </c>
    </row>
    <row r="473" spans="1:7" x14ac:dyDescent="0.25">
      <c r="A473" s="4" t="s">
        <v>329</v>
      </c>
      <c r="B473" s="5">
        <v>45013</v>
      </c>
      <c r="C473" s="6" t="s">
        <v>17</v>
      </c>
      <c r="D473" s="6" t="s">
        <v>9</v>
      </c>
      <c r="E473" s="6" t="s">
        <v>244</v>
      </c>
      <c r="F473" s="6" cm="1">
        <f t="array" aca="1" ref="F473" ca="1">IF(Table3[[#This Row],[Stage]]="Closed",0,IF(IFERROR(
  IF(
    COUNTIF(A$2:A$1997, A473) &gt; 1,
    MIN(IF(A$2:A$1997=A473, IF(B$2:B$1997&gt;B473, B$2:B$1997))) - B473,
    TODAY() - Table3[[#This Row],[Date of Update]]
  ),
  TODAY()-Table3[[#This Row],[Date of Update]]
)&lt;=0,
TODAY()-Table3[[#This Row],[Date of Update]],
IFERROR(
  IF(
    COUNTIF(A$2:A$1997, A473) &gt; 1,
    MIN(IF(A$2:A$1997=A473, IF(B$2:B$1997&gt;B473, B$2:B$1997))) - B473,
    TODAY() - Table3[[#This Row],[Date of Update]]
  ),
  TODAY()-Table3[[#This Row],[Date of Update]]
)))</f>
        <v>0</v>
      </c>
      <c r="G473" s="7">
        <f>IF(Table3[[#This Row],[Stage]]="Closed",Table3[[#This Row],[Date of Update]]-(_xlfn.MINIFS(Table3[Date of Update],Table3[Ref], Table3[[#This Row],[Ref]])),"")</f>
        <v>36</v>
      </c>
    </row>
    <row r="474" spans="1:7" x14ac:dyDescent="0.25">
      <c r="A474" s="4" t="s">
        <v>359</v>
      </c>
      <c r="B474" s="5">
        <v>45014</v>
      </c>
      <c r="C474" s="6" t="s">
        <v>8</v>
      </c>
      <c r="D474" s="6" t="s">
        <v>9</v>
      </c>
      <c r="E474" s="6" t="s">
        <v>244</v>
      </c>
      <c r="F474" s="6" cm="1">
        <f t="array" aca="1" ref="F474" ca="1">IF(Table3[[#This Row],[Stage]]="Closed",0,IF(IFERROR(
  IF(
    COUNTIF(A$2:A$1997, A474) &gt; 1,
    MIN(IF(A$2:A$1997=A474, IF(B$2:B$1997&gt;B474, B$2:B$1997))) - B474,
    TODAY() - Table3[[#This Row],[Date of Update]]
  ),
  TODAY()-Table3[[#This Row],[Date of Update]]
)&lt;=0,
TODAY()-Table3[[#This Row],[Date of Update]],
IFERROR(
  IF(
    COUNTIF(A$2:A$1997, A474) &gt; 1,
    MIN(IF(A$2:A$1997=A474, IF(B$2:B$1997&gt;B474, B$2:B$1997))) - B474,
    TODAY() - Table3[[#This Row],[Date of Update]]
  ),
  TODAY()-Table3[[#This Row],[Date of Update]]
)))</f>
        <v>2</v>
      </c>
      <c r="G474" s="7" t="str">
        <f>IF(Table3[[#This Row],[Stage]]="Closed",Table3[[#This Row],[Date of Update]]-(_xlfn.MINIFS(Table3[Date of Update],Table3[Ref], Table3[[#This Row],[Ref]])),"")</f>
        <v/>
      </c>
    </row>
    <row r="475" spans="1:7" x14ac:dyDescent="0.25">
      <c r="A475" s="4" t="s">
        <v>359</v>
      </c>
      <c r="B475" s="5">
        <v>45016</v>
      </c>
      <c r="C475" s="6" t="s">
        <v>17</v>
      </c>
      <c r="D475" s="6" t="s">
        <v>9</v>
      </c>
      <c r="E475" s="6" t="s">
        <v>244</v>
      </c>
      <c r="F475" s="6" cm="1">
        <f t="array" aca="1" ref="F475" ca="1">IF(Table3[[#This Row],[Stage]]="Closed",0,IF(IFERROR(
  IF(
    COUNTIF(A$2:A$1997, A475) &gt; 1,
    MIN(IF(A$2:A$1997=A475, IF(B$2:B$1997&gt;B475, B$2:B$1997))) - B475,
    TODAY() - Table3[[#This Row],[Date of Update]]
  ),
  TODAY()-Table3[[#This Row],[Date of Update]]
)&lt;=0,
TODAY()-Table3[[#This Row],[Date of Update]],
IFERROR(
  IF(
    COUNTIF(A$2:A$1997, A475) &gt; 1,
    MIN(IF(A$2:A$1997=A475, IF(B$2:B$1997&gt;B475, B$2:B$1997))) - B475,
    TODAY() - Table3[[#This Row],[Date of Update]]
  ),
  TODAY()-Table3[[#This Row],[Date of Update]]
)))</f>
        <v>0</v>
      </c>
      <c r="G475" s="7">
        <f>IF(Table3[[#This Row],[Stage]]="Closed",Table3[[#This Row],[Date of Update]]-(_xlfn.MINIFS(Table3[Date of Update],Table3[Ref], Table3[[#This Row],[Ref]])),"")</f>
        <v>2</v>
      </c>
    </row>
    <row r="476" spans="1:7" x14ac:dyDescent="0.25">
      <c r="A476" s="4" t="s">
        <v>360</v>
      </c>
      <c r="B476" s="5">
        <v>45019</v>
      </c>
      <c r="C476" s="6" t="s">
        <v>8</v>
      </c>
      <c r="D476" s="6" t="s">
        <v>9</v>
      </c>
      <c r="E476" s="6" t="s">
        <v>256</v>
      </c>
      <c r="F476" s="6" cm="1">
        <f t="array" aca="1" ref="F476" ca="1">IF(Table3[[#This Row],[Stage]]="Closed",0,IF(IFERROR(
  IF(
    COUNTIF(A$2:A$1997, A476) &gt; 1,
    MIN(IF(A$2:A$1997=A476, IF(B$2:B$1997&gt;B476, B$2:B$1997))) - B476,
    TODAY() - Table3[[#This Row],[Date of Update]]
  ),
  TODAY()-Table3[[#This Row],[Date of Update]]
)&lt;=0,
TODAY()-Table3[[#This Row],[Date of Update]],
IFERROR(
  IF(
    COUNTIF(A$2:A$1997, A476) &gt; 1,
    MIN(IF(A$2:A$1997=A476, IF(B$2:B$1997&gt;B476, B$2:B$1997))) - B476,
    TODAY() - Table3[[#This Row],[Date of Update]]
  ),
  TODAY()-Table3[[#This Row],[Date of Update]]
)))</f>
        <v>46</v>
      </c>
      <c r="G476" s="7" t="str">
        <f>IF(Table3[[#This Row],[Stage]]="Closed",Table3[[#This Row],[Date of Update]]-(_xlfn.MINIFS(Table3[Date of Update],Table3[Ref], Table3[[#This Row],[Ref]])),"")</f>
        <v/>
      </c>
    </row>
    <row r="477" spans="1:7" x14ac:dyDescent="0.25">
      <c r="A477" s="4" t="s">
        <v>361</v>
      </c>
      <c r="B477" s="5">
        <v>45027</v>
      </c>
      <c r="C477" s="6" t="s">
        <v>8</v>
      </c>
      <c r="D477" s="6" t="s">
        <v>9</v>
      </c>
      <c r="E477" s="6" t="s">
        <v>244</v>
      </c>
      <c r="F477" s="6" cm="1">
        <f t="array" aca="1" ref="F477" ca="1">IF(Table3[[#This Row],[Stage]]="Closed",0,IF(IFERROR(
  IF(
    COUNTIF(A$2:A$1997, A477) &gt; 1,
    MIN(IF(A$2:A$1997=A477, IF(B$2:B$1997&gt;B477, B$2:B$1997))) - B477,
    TODAY() - Table3[[#This Row],[Date of Update]]
  ),
  TODAY()-Table3[[#This Row],[Date of Update]]
)&lt;=0,
TODAY()-Table3[[#This Row],[Date of Update]],
IFERROR(
  IF(
    COUNTIF(A$2:A$1997, A477) &gt; 1,
    MIN(IF(A$2:A$1997=A477, IF(B$2:B$1997&gt;B477, B$2:B$1997))) - B477,
    TODAY() - Table3[[#This Row],[Date of Update]]
  ),
  TODAY()-Table3[[#This Row],[Date of Update]]
)))</f>
        <v>14</v>
      </c>
      <c r="G477" s="7" t="str">
        <f>IF(Table3[[#This Row],[Stage]]="Closed",Table3[[#This Row],[Date of Update]]-(_xlfn.MINIFS(Table3[Date of Update],Table3[Ref], Table3[[#This Row],[Ref]])),"")</f>
        <v/>
      </c>
    </row>
    <row r="478" spans="1:7" x14ac:dyDescent="0.25">
      <c r="A478" s="4" t="s">
        <v>362</v>
      </c>
      <c r="B478" s="5">
        <v>45027</v>
      </c>
      <c r="C478" s="6" t="s">
        <v>8</v>
      </c>
      <c r="D478" s="6" t="s">
        <v>9</v>
      </c>
      <c r="E478" s="6" t="s">
        <v>244</v>
      </c>
      <c r="F478" s="6" cm="1">
        <f t="array" aca="1" ref="F478" ca="1">IF(Table3[[#This Row],[Stage]]="Closed",0,IF(IFERROR(
  IF(
    COUNTIF(A$2:A$1997, A478) &gt; 1,
    MIN(IF(A$2:A$1997=A478, IF(B$2:B$1997&gt;B478, B$2:B$1997))) - B478,
    TODAY() - Table3[[#This Row],[Date of Update]]
  ),
  TODAY()-Table3[[#This Row],[Date of Update]]
)&lt;=0,
TODAY()-Table3[[#This Row],[Date of Update]],
IFERROR(
  IF(
    COUNTIF(A$2:A$1997, A478) &gt; 1,
    MIN(IF(A$2:A$1997=A478, IF(B$2:B$1997&gt;B478, B$2:B$1997))) - B478,
    TODAY() - Table3[[#This Row],[Date of Update]]
  ),
  TODAY()-Table3[[#This Row],[Date of Update]]
)))</f>
        <v>14</v>
      </c>
      <c r="G478" s="7" t="str">
        <f>IF(Table3[[#This Row],[Stage]]="Closed",Table3[[#This Row],[Date of Update]]-(_xlfn.MINIFS(Table3[Date of Update],Table3[Ref], Table3[[#This Row],[Ref]])),"")</f>
        <v/>
      </c>
    </row>
    <row r="479" spans="1:7" x14ac:dyDescent="0.25">
      <c r="A479" s="4" t="s">
        <v>363</v>
      </c>
      <c r="B479" s="5">
        <v>45027</v>
      </c>
      <c r="C479" s="6" t="s">
        <v>8</v>
      </c>
      <c r="D479" s="6" t="s">
        <v>9</v>
      </c>
      <c r="E479" s="6" t="s">
        <v>244</v>
      </c>
      <c r="F479" s="6" cm="1">
        <f t="array" aca="1" ref="F479" ca="1">IF(Table3[[#This Row],[Stage]]="Closed",0,IF(IFERROR(
  IF(
    COUNTIF(A$2:A$1997, A479) &gt; 1,
    MIN(IF(A$2:A$1997=A479, IF(B$2:B$1997&gt;B479, B$2:B$1997))) - B479,
    TODAY() - Table3[[#This Row],[Date of Update]]
  ),
  TODAY()-Table3[[#This Row],[Date of Update]]
)&lt;=0,
TODAY()-Table3[[#This Row],[Date of Update]],
IFERROR(
  IF(
    COUNTIF(A$2:A$1997, A479) &gt; 1,
    MIN(IF(A$2:A$1997=A479, IF(B$2:B$1997&gt;B479, B$2:B$1997))) - B479,
    TODAY() - Table3[[#This Row],[Date of Update]]
  ),
  TODAY()-Table3[[#This Row],[Date of Update]]
)))</f>
        <v>14</v>
      </c>
      <c r="G479" s="7" t="str">
        <f>IF(Table3[[#This Row],[Stage]]="Closed",Table3[[#This Row],[Date of Update]]-(_xlfn.MINIFS(Table3[Date of Update],Table3[Ref], Table3[[#This Row],[Ref]])),"")</f>
        <v/>
      </c>
    </row>
    <row r="480" spans="1:7" x14ac:dyDescent="0.25">
      <c r="A480" s="4" t="s">
        <v>364</v>
      </c>
      <c r="B480" s="5">
        <v>45027</v>
      </c>
      <c r="C480" s="6" t="s">
        <v>8</v>
      </c>
      <c r="D480" s="6" t="s">
        <v>9</v>
      </c>
      <c r="E480" s="6" t="s">
        <v>365</v>
      </c>
      <c r="F480" s="6" cm="1">
        <f t="array" aca="1" ref="F480" ca="1">IF(Table3[[#This Row],[Stage]]="Closed",0,IF(IFERROR(
  IF(
    COUNTIF(A$2:A$1997, A480) &gt; 1,
    MIN(IF(A$2:A$1997=A480, IF(B$2:B$1997&gt;B480, B$2:B$1997))) - B480,
    TODAY() - Table3[[#This Row],[Date of Update]]
  ),
  TODAY()-Table3[[#This Row],[Date of Update]]
)&lt;=0,
TODAY()-Table3[[#This Row],[Date of Update]],
IFERROR(
  IF(
    COUNTIF(A$2:A$1997, A480) &gt; 1,
    MIN(IF(A$2:A$1997=A480, IF(B$2:B$1997&gt;B480, B$2:B$1997))) - B480,
    TODAY() - Table3[[#This Row],[Date of Update]]
  ),
  TODAY()-Table3[[#This Row],[Date of Update]]
)))</f>
        <v>72</v>
      </c>
      <c r="G480" s="7" t="str">
        <f>IF(Table3[[#This Row],[Stage]]="Closed",Table3[[#This Row],[Date of Update]]-(_xlfn.MINIFS(Table3[Date of Update],Table3[Ref], Table3[[#This Row],[Ref]])),"")</f>
        <v/>
      </c>
    </row>
    <row r="481" spans="1:7" x14ac:dyDescent="0.25">
      <c r="A481" s="4" t="s">
        <v>366</v>
      </c>
      <c r="B481" s="5">
        <v>45028</v>
      </c>
      <c r="C481" s="6" t="s">
        <v>8</v>
      </c>
      <c r="D481" s="6" t="s">
        <v>9</v>
      </c>
      <c r="E481" s="6" t="s">
        <v>367</v>
      </c>
      <c r="F481" s="6" cm="1">
        <f t="array" aca="1" ref="F481" ca="1">IF(Table3[[#This Row],[Stage]]="Closed",0,IF(IFERROR(
  IF(
    COUNTIF(A$2:A$1997, A481) &gt; 1,
    MIN(IF(A$2:A$1997=A481, IF(B$2:B$1997&gt;B481, B$2:B$1997))) - B481,
    TODAY() - Table3[[#This Row],[Date of Update]]
  ),
  TODAY()-Table3[[#This Row],[Date of Update]]
)&lt;=0,
TODAY()-Table3[[#This Row],[Date of Update]],
IFERROR(
  IF(
    COUNTIF(A$2:A$1997, A481) &gt; 1,
    MIN(IF(A$2:A$1997=A481, IF(B$2:B$1997&gt;B481, B$2:B$1997))) - B481,
    TODAY() - Table3[[#This Row],[Date of Update]]
  ),
  TODAY()-Table3[[#This Row],[Date of Update]]
)))</f>
        <v>406</v>
      </c>
      <c r="G481" s="7" t="str">
        <f>IF(Table3[[#This Row],[Stage]]="Closed",Table3[[#This Row],[Date of Update]]-(_xlfn.MINIFS(Table3[Date of Update],Table3[Ref], Table3[[#This Row],[Ref]])),"")</f>
        <v/>
      </c>
    </row>
    <row r="482" spans="1:7" x14ac:dyDescent="0.25">
      <c r="A482" s="4" t="s">
        <v>368</v>
      </c>
      <c r="B482" s="5">
        <v>45028</v>
      </c>
      <c r="C482" s="6" t="s">
        <v>8</v>
      </c>
      <c r="D482" s="6" t="s">
        <v>9</v>
      </c>
      <c r="E482" s="6" t="s">
        <v>369</v>
      </c>
      <c r="F482" s="6" cm="1">
        <f t="array" aca="1" ref="F482" ca="1">IF(Table3[[#This Row],[Stage]]="Closed",0,IF(IFERROR(
  IF(
    COUNTIF(A$2:A$1997, A482) &gt; 1,
    MIN(IF(A$2:A$1997=A482, IF(B$2:B$1997&gt;B482, B$2:B$1997))) - B482,
    TODAY() - Table3[[#This Row],[Date of Update]]
  ),
  TODAY()-Table3[[#This Row],[Date of Update]]
)&lt;=0,
TODAY()-Table3[[#This Row],[Date of Update]],
IFERROR(
  IF(
    COUNTIF(A$2:A$1997, A482) &gt; 1,
    MIN(IF(A$2:A$1997=A482, IF(B$2:B$1997&gt;B482, B$2:B$1997))) - B482,
    TODAY() - Table3[[#This Row],[Date of Update]]
  ),
  TODAY()-Table3[[#This Row],[Date of Update]]
)))</f>
        <v>92</v>
      </c>
      <c r="G482" s="7" t="str">
        <f>IF(Table3[[#This Row],[Stage]]="Closed",Table3[[#This Row],[Date of Update]]-(_xlfn.MINIFS(Table3[Date of Update],Table3[Ref], Table3[[#This Row],[Ref]])),"")</f>
        <v/>
      </c>
    </row>
    <row r="483" spans="1:7" x14ac:dyDescent="0.25">
      <c r="A483" s="4" t="s">
        <v>370</v>
      </c>
      <c r="B483" s="5">
        <v>45028</v>
      </c>
      <c r="C483" s="6" t="s">
        <v>8</v>
      </c>
      <c r="D483" s="6" t="s">
        <v>9</v>
      </c>
      <c r="E483" s="6" t="s">
        <v>371</v>
      </c>
      <c r="F483" s="6" cm="1">
        <f t="array" aca="1" ref="F483" ca="1">IF(Table3[[#This Row],[Stage]]="Closed",0,IF(IFERROR(
  IF(
    COUNTIF(A$2:A$1997, A483) &gt; 1,
    MIN(IF(A$2:A$1997=A483, IF(B$2:B$1997&gt;B483, B$2:B$1997))) - B483,
    TODAY() - Table3[[#This Row],[Date of Update]]
  ),
  TODAY()-Table3[[#This Row],[Date of Update]]
)&lt;=0,
TODAY()-Table3[[#This Row],[Date of Update]],
IFERROR(
  IF(
    COUNTIF(A$2:A$1997, A483) &gt; 1,
    MIN(IF(A$2:A$1997=A483, IF(B$2:B$1997&gt;B483, B$2:B$1997))) - B483,
    TODAY() - Table3[[#This Row],[Date of Update]]
  ),
  TODAY()-Table3[[#This Row],[Date of Update]]
)))</f>
        <v>114</v>
      </c>
      <c r="G483" s="7" t="str">
        <f>IF(Table3[[#This Row],[Stage]]="Closed",Table3[[#This Row],[Date of Update]]-(_xlfn.MINIFS(Table3[Date of Update],Table3[Ref], Table3[[#This Row],[Ref]])),"")</f>
        <v/>
      </c>
    </row>
    <row r="484" spans="1:7" x14ac:dyDescent="0.25">
      <c r="A484" s="4" t="s">
        <v>372</v>
      </c>
      <c r="B484" s="5">
        <v>45028</v>
      </c>
      <c r="C484" s="6" t="s">
        <v>8</v>
      </c>
      <c r="D484" s="6" t="s">
        <v>9</v>
      </c>
      <c r="E484" s="6" t="s">
        <v>354</v>
      </c>
      <c r="F484" s="6" cm="1">
        <f t="array" aca="1" ref="F484" ca="1">IF(Table3[[#This Row],[Stage]]="Closed",0,IF(IFERROR(
  IF(
    COUNTIF(A$2:A$1997, A484) &gt; 1,
    MIN(IF(A$2:A$1997=A484, IF(B$2:B$1997&gt;B484, B$2:B$1997))) - B484,
    TODAY() - Table3[[#This Row],[Date of Update]]
  ),
  TODAY()-Table3[[#This Row],[Date of Update]]
)&lt;=0,
TODAY()-Table3[[#This Row],[Date of Update]],
IFERROR(
  IF(
    COUNTIF(A$2:A$1997, A484) &gt; 1,
    MIN(IF(A$2:A$1997=A484, IF(B$2:B$1997&gt;B484, B$2:B$1997))) - B484,
    TODAY() - Table3[[#This Row],[Date of Update]]
  ),
  TODAY()-Table3[[#This Row],[Date of Update]]
)))</f>
        <v>183</v>
      </c>
      <c r="G484" s="7" t="str">
        <f>IF(Table3[[#This Row],[Stage]]="Closed",Table3[[#This Row],[Date of Update]]-(_xlfn.MINIFS(Table3[Date of Update],Table3[Ref], Table3[[#This Row],[Ref]])),"")</f>
        <v/>
      </c>
    </row>
    <row r="485" spans="1:7" x14ac:dyDescent="0.25">
      <c r="A485" s="4" t="s">
        <v>373</v>
      </c>
      <c r="B485" s="5">
        <v>45028</v>
      </c>
      <c r="C485" s="6" t="s">
        <v>8</v>
      </c>
      <c r="D485" s="6" t="s">
        <v>9</v>
      </c>
      <c r="E485" s="6"/>
      <c r="F485" s="6" cm="1">
        <f t="array" aca="1" ref="F485" ca="1">IF(Table3[[#This Row],[Stage]]="Closed",0,IF(IFERROR(
  IF(
    COUNTIF(A$2:A$1997, A485) &gt; 1,
    MIN(IF(A$2:A$1997=A485, IF(B$2:B$1997&gt;B485, B$2:B$1997))) - B485,
    TODAY() - Table3[[#This Row],[Date of Update]]
  ),
  TODAY()-Table3[[#This Row],[Date of Update]]
)&lt;=0,
TODAY()-Table3[[#This Row],[Date of Update]],
IFERROR(
  IF(
    COUNTIF(A$2:A$1997, A485) &gt; 1,
    MIN(IF(A$2:A$1997=A485, IF(B$2:B$1997&gt;B485, B$2:B$1997))) - B485,
    TODAY() - Table3[[#This Row],[Date of Update]]
  ),
  TODAY()-Table3[[#This Row],[Date of Update]]
)))</f>
        <v>8</v>
      </c>
      <c r="G485" s="7" t="str">
        <f>IF(Table3[[#This Row],[Stage]]="Closed",Table3[[#This Row],[Date of Update]]-(_xlfn.MINIFS(Table3[Date of Update],Table3[Ref], Table3[[#This Row],[Ref]])),"")</f>
        <v/>
      </c>
    </row>
    <row r="486" spans="1:7" x14ac:dyDescent="0.25">
      <c r="A486" s="4" t="s">
        <v>374</v>
      </c>
      <c r="B486" s="5">
        <v>45033</v>
      </c>
      <c r="C486" s="6" t="s">
        <v>8</v>
      </c>
      <c r="D486" s="6" t="s">
        <v>9</v>
      </c>
      <c r="E486" s="6" t="s">
        <v>375</v>
      </c>
      <c r="F486" s="6" cm="1">
        <f t="array" aca="1" ref="F486" ca="1">IF(Table3[[#This Row],[Stage]]="Closed",0,IF(IFERROR(
  IF(
    COUNTIF(A$2:A$1997, A486) &gt; 1,
    MIN(IF(A$2:A$1997=A486, IF(B$2:B$1997&gt;B486, B$2:B$1997))) - B486,
    TODAY() - Table3[[#This Row],[Date of Update]]
  ),
  TODAY()-Table3[[#This Row],[Date of Update]]
)&lt;=0,
TODAY()-Table3[[#This Row],[Date of Update]],
IFERROR(
  IF(
    COUNTIF(A$2:A$1997, A486) &gt; 1,
    MIN(IF(A$2:A$1997=A486, IF(B$2:B$1997&gt;B486, B$2:B$1997))) - B486,
    TODAY() - Table3[[#This Row],[Date of Update]]
  ),
  TODAY()-Table3[[#This Row],[Date of Update]]
)))</f>
        <v>66</v>
      </c>
      <c r="G486" s="7" t="str">
        <f>IF(Table3[[#This Row],[Stage]]="Closed",Table3[[#This Row],[Date of Update]]-(_xlfn.MINIFS(Table3[Date of Update],Table3[Ref], Table3[[#This Row],[Ref]])),"")</f>
        <v/>
      </c>
    </row>
    <row r="487" spans="1:7" x14ac:dyDescent="0.25">
      <c r="A487" s="4" t="s">
        <v>376</v>
      </c>
      <c r="B487" s="5">
        <v>45033</v>
      </c>
      <c r="C487" s="6" t="s">
        <v>8</v>
      </c>
      <c r="D487" s="6" t="s">
        <v>9</v>
      </c>
      <c r="E487" s="6" t="s">
        <v>377</v>
      </c>
      <c r="F487" s="6" cm="1">
        <f t="array" aca="1" ref="F487" ca="1">IF(Table3[[#This Row],[Stage]]="Closed",0,IF(IFERROR(
  IF(
    COUNTIF(A$2:A$1997, A487) &gt; 1,
    MIN(IF(A$2:A$1997=A487, IF(B$2:B$1997&gt;B487, B$2:B$1997))) - B487,
    TODAY() - Table3[[#This Row],[Date of Update]]
  ),
  TODAY()-Table3[[#This Row],[Date of Update]]
)&lt;=0,
TODAY()-Table3[[#This Row],[Date of Update]],
IFERROR(
  IF(
    COUNTIF(A$2:A$1997, A487) &gt; 1,
    MIN(IF(A$2:A$1997=A487, IF(B$2:B$1997&gt;B487, B$2:B$1997))) - B487,
    TODAY() - Table3[[#This Row],[Date of Update]]
  ),
  TODAY()-Table3[[#This Row],[Date of Update]]
)))</f>
        <v>58</v>
      </c>
      <c r="G487" s="7" t="str">
        <f>IF(Table3[[#This Row],[Stage]]="Closed",Table3[[#This Row],[Date of Update]]-(_xlfn.MINIFS(Table3[Date of Update],Table3[Ref], Table3[[#This Row],[Ref]])),"")</f>
        <v/>
      </c>
    </row>
    <row r="488" spans="1:7" x14ac:dyDescent="0.25">
      <c r="A488" s="4" t="s">
        <v>378</v>
      </c>
      <c r="B488" s="5">
        <v>45033</v>
      </c>
      <c r="C488" s="6" t="s">
        <v>8</v>
      </c>
      <c r="D488" s="6" t="s">
        <v>9</v>
      </c>
      <c r="E488" s="6" t="s">
        <v>377</v>
      </c>
      <c r="F488" s="6" cm="1">
        <f t="array" aca="1" ref="F488" ca="1">IF(Table3[[#This Row],[Stage]]="Closed",0,IF(IFERROR(
  IF(
    COUNTIF(A$2:A$1997, A488) &gt; 1,
    MIN(IF(A$2:A$1997=A488, IF(B$2:B$1997&gt;B488, B$2:B$1997))) - B488,
    TODAY() - Table3[[#This Row],[Date of Update]]
  ),
  TODAY()-Table3[[#This Row],[Date of Update]]
)&lt;=0,
TODAY()-Table3[[#This Row],[Date of Update]],
IFERROR(
  IF(
    COUNTIF(A$2:A$1997, A488) &gt; 1,
    MIN(IF(A$2:A$1997=A488, IF(B$2:B$1997&gt;B488, B$2:B$1997))) - B488,
    TODAY() - Table3[[#This Row],[Date of Update]]
  ),
  TODAY()-Table3[[#This Row],[Date of Update]]
)))</f>
        <v>58</v>
      </c>
      <c r="G488" s="7" t="str">
        <f>IF(Table3[[#This Row],[Stage]]="Closed",Table3[[#This Row],[Date of Update]]-(_xlfn.MINIFS(Table3[Date of Update],Table3[Ref], Table3[[#This Row],[Ref]])),"")</f>
        <v/>
      </c>
    </row>
    <row r="489" spans="1:7" x14ac:dyDescent="0.25">
      <c r="A489" s="4" t="s">
        <v>379</v>
      </c>
      <c r="B489" s="5">
        <v>45033</v>
      </c>
      <c r="C489" s="6" t="s">
        <v>8</v>
      </c>
      <c r="D489" s="6" t="s">
        <v>9</v>
      </c>
      <c r="E489" s="6" t="s">
        <v>80</v>
      </c>
      <c r="F489" s="6" cm="1">
        <f t="array" aca="1" ref="F489" ca="1">IF(Table3[[#This Row],[Stage]]="Closed",0,IF(IFERROR(
  IF(
    COUNTIF(A$2:A$1997, A489) &gt; 1,
    MIN(IF(A$2:A$1997=A489, IF(B$2:B$1997&gt;B489, B$2:B$1997))) - B489,
    TODAY() - Table3[[#This Row],[Date of Update]]
  ),
  TODAY()-Table3[[#This Row],[Date of Update]]
)&lt;=0,
TODAY()-Table3[[#This Row],[Date of Update]],
IFERROR(
  IF(
    COUNTIF(A$2:A$1997, A489) &gt; 1,
    MIN(IF(A$2:A$1997=A489, IF(B$2:B$1997&gt;B489, B$2:B$1997))) - B489,
    TODAY() - Table3[[#This Row],[Date of Update]]
  ),
  TODAY()-Table3[[#This Row],[Date of Update]]
)))</f>
        <v>15</v>
      </c>
      <c r="G489" s="7" t="str">
        <f>IF(Table3[[#This Row],[Stage]]="Closed",Table3[[#This Row],[Date of Update]]-(_xlfn.MINIFS(Table3[Date of Update],Table3[Ref], Table3[[#This Row],[Ref]])),"")</f>
        <v/>
      </c>
    </row>
    <row r="490" spans="1:7" x14ac:dyDescent="0.25">
      <c r="A490" s="4" t="s">
        <v>380</v>
      </c>
      <c r="B490" s="5">
        <v>45035</v>
      </c>
      <c r="C490" s="6" t="s">
        <v>8</v>
      </c>
      <c r="D490" s="6" t="s">
        <v>9</v>
      </c>
      <c r="E490" s="6" t="s">
        <v>381</v>
      </c>
      <c r="F490" s="6" cm="1">
        <f t="array" aca="1" ref="F490" ca="1">IF(Table3[[#This Row],[Stage]]="Closed",0,IF(IFERROR(
  IF(
    COUNTIF(A$2:A$1997, A490) &gt; 1,
    MIN(IF(A$2:A$1997=A490, IF(B$2:B$1997&gt;B490, B$2:B$1997))) - B490,
    TODAY() - Table3[[#This Row],[Date of Update]]
  ),
  TODAY()-Table3[[#This Row],[Date of Update]]
)&lt;=0,
TODAY()-Table3[[#This Row],[Date of Update]],
IFERROR(
  IF(
    COUNTIF(A$2:A$1997, A490) &gt; 1,
    MIN(IF(A$2:A$1997=A490, IF(B$2:B$1997&gt;B490, B$2:B$1997))) - B490,
    TODAY() - Table3[[#This Row],[Date of Update]]
  ),
  TODAY()-Table3[[#This Row],[Date of Update]]
)))</f>
        <v>85</v>
      </c>
      <c r="G490" s="7" t="str">
        <f>IF(Table3[[#This Row],[Stage]]="Closed",Table3[[#This Row],[Date of Update]]-(_xlfn.MINIFS(Table3[Date of Update],Table3[Ref], Table3[[#This Row],[Ref]])),"")</f>
        <v/>
      </c>
    </row>
    <row r="491" spans="1:7" x14ac:dyDescent="0.25">
      <c r="A491" s="4" t="s">
        <v>351</v>
      </c>
      <c r="B491" s="5">
        <v>45036</v>
      </c>
      <c r="C491" s="6" t="s">
        <v>17</v>
      </c>
      <c r="D491" s="6" t="s">
        <v>9</v>
      </c>
      <c r="E491" s="6"/>
      <c r="F491" s="6" cm="1">
        <f t="array" aca="1" ref="F491" ca="1">IF(Table3[[#This Row],[Stage]]="Closed",0,IF(IFERROR(
  IF(
    COUNTIF(A$2:A$1997, A491) &gt; 1,
    MIN(IF(A$2:A$1997=A491, IF(B$2:B$1997&gt;B491, B$2:B$1997))) - B491,
    TODAY() - Table3[[#This Row],[Date of Update]]
  ),
  TODAY()-Table3[[#This Row],[Date of Update]]
)&lt;=0,
TODAY()-Table3[[#This Row],[Date of Update]],
IFERROR(
  IF(
    COUNTIF(A$2:A$1997, A491) &gt; 1,
    MIN(IF(A$2:A$1997=A491, IF(B$2:B$1997&gt;B491, B$2:B$1997))) - B491,
    TODAY() - Table3[[#This Row],[Date of Update]]
  ),
  TODAY()-Table3[[#This Row],[Date of Update]]
)))</f>
        <v>0</v>
      </c>
      <c r="G491" s="7">
        <f>IF(Table3[[#This Row],[Stage]]="Closed",Table3[[#This Row],[Date of Update]]-(_xlfn.MINIFS(Table3[Date of Update],Table3[Ref], Table3[[#This Row],[Ref]])),"")</f>
        <v>35</v>
      </c>
    </row>
    <row r="492" spans="1:7" x14ac:dyDescent="0.25">
      <c r="A492" s="4" t="s">
        <v>326</v>
      </c>
      <c r="B492" s="5">
        <v>45036</v>
      </c>
      <c r="C492" s="6" t="s">
        <v>17</v>
      </c>
      <c r="D492" s="6" t="s">
        <v>9</v>
      </c>
      <c r="E492" s="6" t="s">
        <v>292</v>
      </c>
      <c r="F492" s="6" cm="1">
        <f t="array" aca="1" ref="F492" ca="1">IF(Table3[[#This Row],[Stage]]="Closed",0,IF(IFERROR(
  IF(
    COUNTIF(A$2:A$1997, A492) &gt; 1,
    MIN(IF(A$2:A$1997=A492, IF(B$2:B$1997&gt;B492, B$2:B$1997))) - B492,
    TODAY() - Table3[[#This Row],[Date of Update]]
  ),
  TODAY()-Table3[[#This Row],[Date of Update]]
)&lt;=0,
TODAY()-Table3[[#This Row],[Date of Update]],
IFERROR(
  IF(
    COUNTIF(A$2:A$1997, A492) &gt; 1,
    MIN(IF(A$2:A$1997=A492, IF(B$2:B$1997&gt;B492, B$2:B$1997))) - B492,
    TODAY() - Table3[[#This Row],[Date of Update]]
  ),
  TODAY()-Table3[[#This Row],[Date of Update]]
)))</f>
        <v>0</v>
      </c>
      <c r="G492" s="7">
        <f>IF(Table3[[#This Row],[Stage]]="Closed",Table3[[#This Row],[Date of Update]]-(_xlfn.MINIFS(Table3[Date of Update],Table3[Ref], Table3[[#This Row],[Ref]])),"")</f>
        <v>63</v>
      </c>
    </row>
    <row r="493" spans="1:7" x14ac:dyDescent="0.25">
      <c r="A493" s="4" t="s">
        <v>352</v>
      </c>
      <c r="B493" s="5">
        <v>45036</v>
      </c>
      <c r="C493" s="6" t="s">
        <v>17</v>
      </c>
      <c r="D493" s="6" t="s">
        <v>9</v>
      </c>
      <c r="E493" s="6"/>
      <c r="F493" s="6" cm="1">
        <f t="array" aca="1" ref="F493" ca="1">IF(Table3[[#This Row],[Stage]]="Closed",0,IF(IFERROR(
  IF(
    COUNTIF(A$2:A$1997, A493) &gt; 1,
    MIN(IF(A$2:A$1997=A493, IF(B$2:B$1997&gt;B493, B$2:B$1997))) - B493,
    TODAY() - Table3[[#This Row],[Date of Update]]
  ),
  TODAY()-Table3[[#This Row],[Date of Update]]
)&lt;=0,
TODAY()-Table3[[#This Row],[Date of Update]],
IFERROR(
  IF(
    COUNTIF(A$2:A$1997, A493) &gt; 1,
    MIN(IF(A$2:A$1997=A493, IF(B$2:B$1997&gt;B493, B$2:B$1997))) - B493,
    TODAY() - Table3[[#This Row],[Date of Update]]
  ),
  TODAY()-Table3[[#This Row],[Date of Update]]
)))</f>
        <v>0</v>
      </c>
      <c r="G493" s="7">
        <f>IF(Table3[[#This Row],[Stage]]="Closed",Table3[[#This Row],[Date of Update]]-(_xlfn.MINIFS(Table3[Date of Update],Table3[Ref], Table3[[#This Row],[Ref]])),"")</f>
        <v>35</v>
      </c>
    </row>
    <row r="494" spans="1:7" x14ac:dyDescent="0.25">
      <c r="A494" s="4" t="s">
        <v>291</v>
      </c>
      <c r="B494" s="5">
        <v>45036</v>
      </c>
      <c r="C494" s="6" t="s">
        <v>17</v>
      </c>
      <c r="D494" s="6" t="s">
        <v>9</v>
      </c>
      <c r="E494" s="6" t="s">
        <v>292</v>
      </c>
      <c r="F494" s="6" cm="1">
        <f t="array" aca="1" ref="F494" ca="1">IF(Table3[[#This Row],[Stage]]="Closed",0,IF(IFERROR(
  IF(
    COUNTIF(A$2:A$1997, A494) &gt; 1,
    MIN(IF(A$2:A$1997=A494, IF(B$2:B$1997&gt;B494, B$2:B$1997))) - B494,
    TODAY() - Table3[[#This Row],[Date of Update]]
  ),
  TODAY()-Table3[[#This Row],[Date of Update]]
)&lt;=0,
TODAY()-Table3[[#This Row],[Date of Update]],
IFERROR(
  IF(
    COUNTIF(A$2:A$1997, A494) &gt; 1,
    MIN(IF(A$2:A$1997=A494, IF(B$2:B$1997&gt;B494, B$2:B$1997))) - B494,
    TODAY() - Table3[[#This Row],[Date of Update]]
  ),
  TODAY()-Table3[[#This Row],[Date of Update]]
)))</f>
        <v>0</v>
      </c>
      <c r="G494" s="7">
        <f>IF(Table3[[#This Row],[Stage]]="Closed",Table3[[#This Row],[Date of Update]]-(_xlfn.MINIFS(Table3[Date of Update],Table3[Ref], Table3[[#This Row],[Ref]])),"")</f>
        <v>92</v>
      </c>
    </row>
    <row r="495" spans="1:7" x14ac:dyDescent="0.25">
      <c r="A495" s="4" t="s">
        <v>349</v>
      </c>
      <c r="B495" s="5">
        <v>45036</v>
      </c>
      <c r="C495" s="6" t="s">
        <v>17</v>
      </c>
      <c r="D495" s="6" t="s">
        <v>9</v>
      </c>
      <c r="E495" s="6" t="s">
        <v>350</v>
      </c>
      <c r="F495" s="6" cm="1">
        <f t="array" aca="1" ref="F495" ca="1">IF(Table3[[#This Row],[Stage]]="Closed",0,IF(IFERROR(
  IF(
    COUNTIF(A$2:A$1997, A495) &gt; 1,
    MIN(IF(A$2:A$1997=A495, IF(B$2:B$1997&gt;B495, B$2:B$1997))) - B495,
    TODAY() - Table3[[#This Row],[Date of Update]]
  ),
  TODAY()-Table3[[#This Row],[Date of Update]]
)&lt;=0,
TODAY()-Table3[[#This Row],[Date of Update]],
IFERROR(
  IF(
    COUNTIF(A$2:A$1997, A495) &gt; 1,
    MIN(IF(A$2:A$1997=A495, IF(B$2:B$1997&gt;B495, B$2:B$1997))) - B495,
    TODAY() - Table3[[#This Row],[Date of Update]]
  ),
  TODAY()-Table3[[#This Row],[Date of Update]]
)))</f>
        <v>0</v>
      </c>
      <c r="G495" s="7">
        <f>IF(Table3[[#This Row],[Stage]]="Closed",Table3[[#This Row],[Date of Update]]-(_xlfn.MINIFS(Table3[Date of Update],Table3[Ref], Table3[[#This Row],[Ref]])),"")</f>
        <v>36</v>
      </c>
    </row>
    <row r="496" spans="1:7" x14ac:dyDescent="0.25">
      <c r="A496" s="4" t="s">
        <v>233</v>
      </c>
      <c r="B496" s="5">
        <v>45036</v>
      </c>
      <c r="C496" s="6" t="s">
        <v>17</v>
      </c>
      <c r="D496" s="6" t="s">
        <v>9</v>
      </c>
      <c r="E496" s="6" t="s">
        <v>234</v>
      </c>
      <c r="F496" s="6" cm="1">
        <f t="array" aca="1" ref="F496" ca="1">IF(Table3[[#This Row],[Stage]]="Closed",0,IF(IFERROR(
  IF(
    COUNTIF(A$2:A$1997, A496) &gt; 1,
    MIN(IF(A$2:A$1997=A496, IF(B$2:B$1997&gt;B496, B$2:B$1997))) - B496,
    TODAY() - Table3[[#This Row],[Date of Update]]
  ),
  TODAY()-Table3[[#This Row],[Date of Update]]
)&lt;=0,
TODAY()-Table3[[#This Row],[Date of Update]],
IFERROR(
  IF(
    COUNTIF(A$2:A$1997, A496) &gt; 1,
    MIN(IF(A$2:A$1997=A496, IF(B$2:B$1997&gt;B496, B$2:B$1997))) - B496,
    TODAY() - Table3[[#This Row],[Date of Update]]
  ),
  TODAY()-Table3[[#This Row],[Date of Update]]
)))</f>
        <v>0</v>
      </c>
      <c r="G496" s="7">
        <f>IF(Table3[[#This Row],[Stage]]="Closed",Table3[[#This Row],[Date of Update]]-(_xlfn.MINIFS(Table3[Date of Update],Table3[Ref], Table3[[#This Row],[Ref]])),"")</f>
        <v>132</v>
      </c>
    </row>
    <row r="497" spans="1:7" x14ac:dyDescent="0.25">
      <c r="A497" s="4" t="s">
        <v>306</v>
      </c>
      <c r="B497" s="5">
        <v>45036</v>
      </c>
      <c r="C497" s="6" t="s">
        <v>17</v>
      </c>
      <c r="D497" s="6" t="s">
        <v>9</v>
      </c>
      <c r="E497" s="6" t="s">
        <v>307</v>
      </c>
      <c r="F497" s="6" cm="1">
        <f t="array" aca="1" ref="F497" ca="1">IF(Table3[[#This Row],[Stage]]="Closed",0,IF(IFERROR(
  IF(
    COUNTIF(A$2:A$1997, A497) &gt; 1,
    MIN(IF(A$2:A$1997=A497, IF(B$2:B$1997&gt;B497, B$2:B$1997))) - B497,
    TODAY() - Table3[[#This Row],[Date of Update]]
  ),
  TODAY()-Table3[[#This Row],[Date of Update]]
)&lt;=0,
TODAY()-Table3[[#This Row],[Date of Update]],
IFERROR(
  IF(
    COUNTIF(A$2:A$1997, A497) &gt; 1,
    MIN(IF(A$2:A$1997=A497, IF(B$2:B$1997&gt;B497, B$2:B$1997))) - B497,
    TODAY() - Table3[[#This Row],[Date of Update]]
  ),
  TODAY()-Table3[[#This Row],[Date of Update]]
)))</f>
        <v>0</v>
      </c>
      <c r="G497" s="7">
        <f>IF(Table3[[#This Row],[Stage]]="Closed",Table3[[#This Row],[Date of Update]]-(_xlfn.MINIFS(Table3[Date of Update],Table3[Ref], Table3[[#This Row],[Ref]])),"")</f>
        <v>78</v>
      </c>
    </row>
    <row r="498" spans="1:7" x14ac:dyDescent="0.25">
      <c r="A498" s="4" t="s">
        <v>343</v>
      </c>
      <c r="B498" s="5">
        <v>45036</v>
      </c>
      <c r="C498" s="6" t="s">
        <v>17</v>
      </c>
      <c r="D498" s="6" t="s">
        <v>9</v>
      </c>
      <c r="E498" s="6" t="s">
        <v>256</v>
      </c>
      <c r="F498" s="6" cm="1">
        <f t="array" aca="1" ref="F498" ca="1">IF(Table3[[#This Row],[Stage]]="Closed",0,IF(IFERROR(
  IF(
    COUNTIF(A$2:A$1997, A498) &gt; 1,
    MIN(IF(A$2:A$1997=A498, IF(B$2:B$1997&gt;B498, B$2:B$1997))) - B498,
    TODAY() - Table3[[#This Row],[Date of Update]]
  ),
  TODAY()-Table3[[#This Row],[Date of Update]]
)&lt;=0,
TODAY()-Table3[[#This Row],[Date of Update]],
IFERROR(
  IF(
    COUNTIF(A$2:A$1997, A498) &gt; 1,
    MIN(IF(A$2:A$1997=A498, IF(B$2:B$1997&gt;B498, B$2:B$1997))) - B498,
    TODAY() - Table3[[#This Row],[Date of Update]]
  ),
  TODAY()-Table3[[#This Row],[Date of Update]]
)))</f>
        <v>0</v>
      </c>
      <c r="G498" s="7">
        <f>IF(Table3[[#This Row],[Stage]]="Closed",Table3[[#This Row],[Date of Update]]-(_xlfn.MINIFS(Table3[Date of Update],Table3[Ref], Table3[[#This Row],[Ref]])),"")</f>
        <v>44</v>
      </c>
    </row>
    <row r="499" spans="1:7" x14ac:dyDescent="0.25">
      <c r="A499" s="4" t="s">
        <v>137</v>
      </c>
      <c r="B499" s="5">
        <v>45036</v>
      </c>
      <c r="C499" s="6" t="s">
        <v>17</v>
      </c>
      <c r="D499" s="6" t="s">
        <v>9</v>
      </c>
      <c r="E499" s="6"/>
      <c r="F499" s="6" cm="1">
        <f t="array" aca="1" ref="F499" ca="1">IF(Table3[[#This Row],[Stage]]="Closed",0,IF(IFERROR(
  IF(
    COUNTIF(A$2:A$1997, A499) &gt; 1,
    MIN(IF(A$2:A$1997=A499, IF(B$2:B$1997&gt;B499, B$2:B$1997))) - B499,
    TODAY() - Table3[[#This Row],[Date of Update]]
  ),
  TODAY()-Table3[[#This Row],[Date of Update]]
)&lt;=0,
TODAY()-Table3[[#This Row],[Date of Update]],
IFERROR(
  IF(
    COUNTIF(A$2:A$1997, A499) &gt; 1,
    MIN(IF(A$2:A$1997=A499, IF(B$2:B$1997&gt;B499, B$2:B$1997))) - B499,
    TODAY() - Table3[[#This Row],[Date of Update]]
  ),
  TODAY()-Table3[[#This Row],[Date of Update]]
)))</f>
        <v>0</v>
      </c>
      <c r="G499" s="7">
        <f>IF(Table3[[#This Row],[Stage]]="Closed",Table3[[#This Row],[Date of Update]]-(_xlfn.MINIFS(Table3[Date of Update],Table3[Ref], Table3[[#This Row],[Ref]])),"")</f>
        <v>254</v>
      </c>
    </row>
    <row r="500" spans="1:7" x14ac:dyDescent="0.25">
      <c r="A500" s="4" t="s">
        <v>341</v>
      </c>
      <c r="B500" s="5">
        <v>45036</v>
      </c>
      <c r="C500" s="6" t="s">
        <v>17</v>
      </c>
      <c r="D500" s="6" t="s">
        <v>9</v>
      </c>
      <c r="E500" s="6" t="s">
        <v>342</v>
      </c>
      <c r="F500" s="6" cm="1">
        <f t="array" aca="1" ref="F500" ca="1">IF(Table3[[#This Row],[Stage]]="Closed",0,IF(IFERROR(
  IF(
    COUNTIF(A$2:A$1997, A500) &gt; 1,
    MIN(IF(A$2:A$1997=A500, IF(B$2:B$1997&gt;B500, B$2:B$1997))) - B500,
    TODAY() - Table3[[#This Row],[Date of Update]]
  ),
  TODAY()-Table3[[#This Row],[Date of Update]]
)&lt;=0,
TODAY()-Table3[[#This Row],[Date of Update]],
IFERROR(
  IF(
    COUNTIF(A$2:A$1997, A500) &gt; 1,
    MIN(IF(A$2:A$1997=A500, IF(B$2:B$1997&gt;B500, B$2:B$1997))) - B500,
    TODAY() - Table3[[#This Row],[Date of Update]]
  ),
  TODAY()-Table3[[#This Row],[Date of Update]]
)))</f>
        <v>0</v>
      </c>
      <c r="G500" s="7">
        <f>IF(Table3[[#This Row],[Stage]]="Closed",Table3[[#This Row],[Date of Update]]-(_xlfn.MINIFS(Table3[Date of Update],Table3[Ref], Table3[[#This Row],[Ref]])),"")</f>
        <v>49</v>
      </c>
    </row>
    <row r="501" spans="1:7" x14ac:dyDescent="0.25">
      <c r="A501" s="4" t="s">
        <v>308</v>
      </c>
      <c r="B501" s="5">
        <v>45036</v>
      </c>
      <c r="C501" s="6" t="s">
        <v>17</v>
      </c>
      <c r="D501" s="6" t="s">
        <v>9</v>
      </c>
      <c r="E501" s="6" t="s">
        <v>256</v>
      </c>
      <c r="F501" s="6" cm="1">
        <f t="array" aca="1" ref="F501" ca="1">IF(Table3[[#This Row],[Stage]]="Closed",0,IF(IFERROR(
  IF(
    COUNTIF(A$2:A$1997, A501) &gt; 1,
    MIN(IF(A$2:A$1997=A501, IF(B$2:B$1997&gt;B501, B$2:B$1997))) - B501,
    TODAY() - Table3[[#This Row],[Date of Update]]
  ),
  TODAY()-Table3[[#This Row],[Date of Update]]
)&lt;=0,
TODAY()-Table3[[#This Row],[Date of Update]],
IFERROR(
  IF(
    COUNTIF(A$2:A$1997, A501) &gt; 1,
    MIN(IF(A$2:A$1997=A501, IF(B$2:B$1997&gt;B501, B$2:B$1997))) - B501,
    TODAY() - Table3[[#This Row],[Date of Update]]
  ),
  TODAY()-Table3[[#This Row],[Date of Update]]
)))</f>
        <v>0</v>
      </c>
      <c r="G501" s="7">
        <f>IF(Table3[[#This Row],[Stage]]="Closed",Table3[[#This Row],[Date of Update]]-(_xlfn.MINIFS(Table3[Date of Update],Table3[Ref], Table3[[#This Row],[Ref]])),"")</f>
        <v>78</v>
      </c>
    </row>
    <row r="502" spans="1:7" x14ac:dyDescent="0.25">
      <c r="A502" s="4" t="s">
        <v>331</v>
      </c>
      <c r="B502" s="5">
        <v>45036</v>
      </c>
      <c r="C502" s="6" t="s">
        <v>17</v>
      </c>
      <c r="D502" s="6" t="s">
        <v>9</v>
      </c>
      <c r="E502" s="6"/>
      <c r="F502" s="6" cm="1">
        <f t="array" aca="1" ref="F502" ca="1">IF(Table3[[#This Row],[Stage]]="Closed",0,IF(IFERROR(
  IF(
    COUNTIF(A$2:A$1997, A502) &gt; 1,
    MIN(IF(A$2:A$1997=A502, IF(B$2:B$1997&gt;B502, B$2:B$1997))) - B502,
    TODAY() - Table3[[#This Row],[Date of Update]]
  ),
  TODAY()-Table3[[#This Row],[Date of Update]]
)&lt;=0,
TODAY()-Table3[[#This Row],[Date of Update]],
IFERROR(
  IF(
    COUNTIF(A$2:A$1997, A502) &gt; 1,
    MIN(IF(A$2:A$1997=A502, IF(B$2:B$1997&gt;B502, B$2:B$1997))) - B502,
    TODAY() - Table3[[#This Row],[Date of Update]]
  ),
  TODAY()-Table3[[#This Row],[Date of Update]]
)))</f>
        <v>0</v>
      </c>
      <c r="G502" s="7">
        <f>IF(Table3[[#This Row],[Stage]]="Closed",Table3[[#This Row],[Date of Update]]-(_xlfn.MINIFS(Table3[Date of Update],Table3[Ref], Table3[[#This Row],[Ref]])),"")</f>
        <v>58</v>
      </c>
    </row>
    <row r="503" spans="1:7" x14ac:dyDescent="0.25">
      <c r="A503" s="4" t="s">
        <v>373</v>
      </c>
      <c r="B503" s="5">
        <v>45036</v>
      </c>
      <c r="C503" s="6" t="s">
        <v>17</v>
      </c>
      <c r="D503" s="6" t="s">
        <v>9</v>
      </c>
      <c r="E503" s="6"/>
      <c r="F503" s="6" cm="1">
        <f t="array" aca="1" ref="F503" ca="1">IF(Table3[[#This Row],[Stage]]="Closed",0,IF(IFERROR(
  IF(
    COUNTIF(A$2:A$1997, A503) &gt; 1,
    MIN(IF(A$2:A$1997=A503, IF(B$2:B$1997&gt;B503, B$2:B$1997))) - B503,
    TODAY() - Table3[[#This Row],[Date of Update]]
  ),
  TODAY()-Table3[[#This Row],[Date of Update]]
)&lt;=0,
TODAY()-Table3[[#This Row],[Date of Update]],
IFERROR(
  IF(
    COUNTIF(A$2:A$1997, A503) &gt; 1,
    MIN(IF(A$2:A$1997=A503, IF(B$2:B$1997&gt;B503, B$2:B$1997))) - B503,
    TODAY() - Table3[[#This Row],[Date of Update]]
  ),
  TODAY()-Table3[[#This Row],[Date of Update]]
)))</f>
        <v>0</v>
      </c>
      <c r="G503" s="7">
        <f>IF(Table3[[#This Row],[Stage]]="Closed",Table3[[#This Row],[Date of Update]]-(_xlfn.MINIFS(Table3[Date of Update],Table3[Ref], Table3[[#This Row],[Ref]])),"")</f>
        <v>8</v>
      </c>
    </row>
    <row r="504" spans="1:7" x14ac:dyDescent="0.25">
      <c r="A504" s="4" t="s">
        <v>253</v>
      </c>
      <c r="B504" s="5">
        <v>45037</v>
      </c>
      <c r="C504" s="6" t="s">
        <v>17</v>
      </c>
      <c r="D504" s="6" t="s">
        <v>9</v>
      </c>
      <c r="E504" s="6" t="s">
        <v>254</v>
      </c>
      <c r="F504" s="6" cm="1">
        <f t="array" aca="1" ref="F504" ca="1">IF(Table3[[#This Row],[Stage]]="Closed",0,IF(IFERROR(
  IF(
    COUNTIF(A$2:A$1997, A504) &gt; 1,
    MIN(IF(A$2:A$1997=A504, IF(B$2:B$1997&gt;B504, B$2:B$1997))) - B504,
    TODAY() - Table3[[#This Row],[Date of Update]]
  ),
  TODAY()-Table3[[#This Row],[Date of Update]]
)&lt;=0,
TODAY()-Table3[[#This Row],[Date of Update]],
IFERROR(
  IF(
    COUNTIF(A$2:A$1997, A504) &gt; 1,
    MIN(IF(A$2:A$1997=A504, IF(B$2:B$1997&gt;B504, B$2:B$1997))) - B504,
    TODAY() - Table3[[#This Row],[Date of Update]]
  ),
  TODAY()-Table3[[#This Row],[Date of Update]]
)))</f>
        <v>0</v>
      </c>
      <c r="G504" s="7">
        <f>IF(Table3[[#This Row],[Stage]]="Closed",Table3[[#This Row],[Date of Update]]-(_xlfn.MINIFS(Table3[Date of Update],Table3[Ref], Table3[[#This Row],[Ref]])),"")</f>
        <v>113</v>
      </c>
    </row>
    <row r="505" spans="1:7" x14ac:dyDescent="0.25">
      <c r="A505" s="4" t="s">
        <v>361</v>
      </c>
      <c r="B505" s="5">
        <v>45041</v>
      </c>
      <c r="C505" s="6" t="s">
        <v>17</v>
      </c>
      <c r="D505" s="6" t="s">
        <v>9</v>
      </c>
      <c r="E505" s="6" t="s">
        <v>244</v>
      </c>
      <c r="F505" s="6" cm="1">
        <f t="array" aca="1" ref="F505" ca="1">IF(Table3[[#This Row],[Stage]]="Closed",0,IF(IFERROR(
  IF(
    COUNTIF(A$2:A$1997, A505) &gt; 1,
    MIN(IF(A$2:A$1997=A505, IF(B$2:B$1997&gt;B505, B$2:B$1997))) - B505,
    TODAY() - Table3[[#This Row],[Date of Update]]
  ),
  TODAY()-Table3[[#This Row],[Date of Update]]
)&lt;=0,
TODAY()-Table3[[#This Row],[Date of Update]],
IFERROR(
  IF(
    COUNTIF(A$2:A$1997, A505) &gt; 1,
    MIN(IF(A$2:A$1997=A505, IF(B$2:B$1997&gt;B505, B$2:B$1997))) - B505,
    TODAY() - Table3[[#This Row],[Date of Update]]
  ),
  TODAY()-Table3[[#This Row],[Date of Update]]
)))</f>
        <v>0</v>
      </c>
      <c r="G505" s="7">
        <f>IF(Table3[[#This Row],[Stage]]="Closed",Table3[[#This Row],[Date of Update]]-(_xlfn.MINIFS(Table3[Date of Update],Table3[Ref], Table3[[#This Row],[Ref]])),"")</f>
        <v>14</v>
      </c>
    </row>
    <row r="506" spans="1:7" x14ac:dyDescent="0.25">
      <c r="A506" s="4" t="s">
        <v>362</v>
      </c>
      <c r="B506" s="5">
        <v>45041</v>
      </c>
      <c r="C506" s="6" t="s">
        <v>17</v>
      </c>
      <c r="D506" s="6" t="s">
        <v>9</v>
      </c>
      <c r="E506" s="6" t="s">
        <v>244</v>
      </c>
      <c r="F506" s="6" cm="1">
        <f t="array" aca="1" ref="F506" ca="1">IF(Table3[[#This Row],[Stage]]="Closed",0,IF(IFERROR(
  IF(
    COUNTIF(A$2:A$1997, A506) &gt; 1,
    MIN(IF(A$2:A$1997=A506, IF(B$2:B$1997&gt;B506, B$2:B$1997))) - B506,
    TODAY() - Table3[[#This Row],[Date of Update]]
  ),
  TODAY()-Table3[[#This Row],[Date of Update]]
)&lt;=0,
TODAY()-Table3[[#This Row],[Date of Update]],
IFERROR(
  IF(
    COUNTIF(A$2:A$1997, A506) &gt; 1,
    MIN(IF(A$2:A$1997=A506, IF(B$2:B$1997&gt;B506, B$2:B$1997))) - B506,
    TODAY() - Table3[[#This Row],[Date of Update]]
  ),
  TODAY()-Table3[[#This Row],[Date of Update]]
)))</f>
        <v>0</v>
      </c>
      <c r="G506" s="7">
        <f>IF(Table3[[#This Row],[Stage]]="Closed",Table3[[#This Row],[Date of Update]]-(_xlfn.MINIFS(Table3[Date of Update],Table3[Ref], Table3[[#This Row],[Ref]])),"")</f>
        <v>14</v>
      </c>
    </row>
    <row r="507" spans="1:7" x14ac:dyDescent="0.25">
      <c r="A507" s="4" t="s">
        <v>363</v>
      </c>
      <c r="B507" s="5">
        <v>45041</v>
      </c>
      <c r="C507" s="6" t="s">
        <v>17</v>
      </c>
      <c r="D507" s="6" t="s">
        <v>9</v>
      </c>
      <c r="E507" s="6" t="s">
        <v>244</v>
      </c>
      <c r="F507" s="6" cm="1">
        <f t="array" aca="1" ref="F507" ca="1">IF(Table3[[#This Row],[Stage]]="Closed",0,IF(IFERROR(
  IF(
    COUNTIF(A$2:A$1997, A507) &gt; 1,
    MIN(IF(A$2:A$1997=A507, IF(B$2:B$1997&gt;B507, B$2:B$1997))) - B507,
    TODAY() - Table3[[#This Row],[Date of Update]]
  ),
  TODAY()-Table3[[#This Row],[Date of Update]]
)&lt;=0,
TODAY()-Table3[[#This Row],[Date of Update]],
IFERROR(
  IF(
    COUNTIF(A$2:A$1997, A507) &gt; 1,
    MIN(IF(A$2:A$1997=A507, IF(B$2:B$1997&gt;B507, B$2:B$1997))) - B507,
    TODAY() - Table3[[#This Row],[Date of Update]]
  ),
  TODAY()-Table3[[#This Row],[Date of Update]]
)))</f>
        <v>0</v>
      </c>
      <c r="G507" s="7">
        <f>IF(Table3[[#This Row],[Stage]]="Closed",Table3[[#This Row],[Date of Update]]-(_xlfn.MINIFS(Table3[Date of Update],Table3[Ref], Table3[[#This Row],[Ref]])),"")</f>
        <v>14</v>
      </c>
    </row>
    <row r="508" spans="1:7" x14ac:dyDescent="0.25">
      <c r="A508" s="4" t="s">
        <v>338</v>
      </c>
      <c r="B508" s="5">
        <v>45048</v>
      </c>
      <c r="C508" s="6" t="s">
        <v>17</v>
      </c>
      <c r="D508" s="6" t="s">
        <v>9</v>
      </c>
      <c r="E508" s="6" t="s">
        <v>106</v>
      </c>
      <c r="F508" s="6" cm="1">
        <f t="array" aca="1" ref="F508" ca="1">IF(Table3[[#This Row],[Stage]]="Closed",0,IF(IFERROR(
  IF(
    COUNTIF(A$2:A$1997, A508) &gt; 1,
    MIN(IF(A$2:A$1997=A508, IF(B$2:B$1997&gt;B508, B$2:B$1997))) - B508,
    TODAY() - Table3[[#This Row],[Date of Update]]
  ),
  TODAY()-Table3[[#This Row],[Date of Update]]
)&lt;=0,
TODAY()-Table3[[#This Row],[Date of Update]],
IFERROR(
  IF(
    COUNTIF(A$2:A$1997, A508) &gt; 1,
    MIN(IF(A$2:A$1997=A508, IF(B$2:B$1997&gt;B508, B$2:B$1997))) - B508,
    TODAY() - Table3[[#This Row],[Date of Update]]
  ),
  TODAY()-Table3[[#This Row],[Date of Update]]
)))</f>
        <v>0</v>
      </c>
      <c r="G508" s="7">
        <f>IF(Table3[[#This Row],[Stage]]="Closed",Table3[[#This Row],[Date of Update]]-(_xlfn.MINIFS(Table3[Date of Update],Table3[Ref], Table3[[#This Row],[Ref]])),"")</f>
        <v>61</v>
      </c>
    </row>
    <row r="509" spans="1:7" x14ac:dyDescent="0.25">
      <c r="A509" s="4" t="s">
        <v>303</v>
      </c>
      <c r="B509" s="5">
        <v>45048</v>
      </c>
      <c r="C509" s="6" t="s">
        <v>17</v>
      </c>
      <c r="D509" s="6" t="s">
        <v>9</v>
      </c>
      <c r="E509" s="6" t="s">
        <v>304</v>
      </c>
      <c r="F509" s="6" cm="1">
        <f t="array" aca="1" ref="F509" ca="1">IF(Table3[[#This Row],[Stage]]="Closed",0,IF(IFERROR(
  IF(
    COUNTIF(A$2:A$1997, A509) &gt; 1,
    MIN(IF(A$2:A$1997=A509, IF(B$2:B$1997&gt;B509, B$2:B$1997))) - B509,
    TODAY() - Table3[[#This Row],[Date of Update]]
  ),
  TODAY()-Table3[[#This Row],[Date of Update]]
)&lt;=0,
TODAY()-Table3[[#This Row],[Date of Update]],
IFERROR(
  IF(
    COUNTIF(A$2:A$1997, A509) &gt; 1,
    MIN(IF(A$2:A$1997=A509, IF(B$2:B$1997&gt;B509, B$2:B$1997))) - B509,
    TODAY() - Table3[[#This Row],[Date of Update]]
  ),
  TODAY()-Table3[[#This Row],[Date of Update]]
)))</f>
        <v>0</v>
      </c>
      <c r="G509" s="7">
        <f>IF(Table3[[#This Row],[Stage]]="Closed",Table3[[#This Row],[Date of Update]]-(_xlfn.MINIFS(Table3[Date of Update],Table3[Ref], Table3[[#This Row],[Ref]])),"")</f>
        <v>95</v>
      </c>
    </row>
    <row r="510" spans="1:7" x14ac:dyDescent="0.25">
      <c r="A510" s="4" t="s">
        <v>379</v>
      </c>
      <c r="B510" s="5">
        <v>45048</v>
      </c>
      <c r="C510" s="6" t="s">
        <v>17</v>
      </c>
      <c r="D510" s="6" t="s">
        <v>9</v>
      </c>
      <c r="E510" s="6" t="s">
        <v>80</v>
      </c>
      <c r="F510" s="6" cm="1">
        <f t="array" aca="1" ref="F510" ca="1">IF(Table3[[#This Row],[Stage]]="Closed",0,IF(IFERROR(
  IF(
    COUNTIF(A$2:A$1997, A510) &gt; 1,
    MIN(IF(A$2:A$1997=A510, IF(B$2:B$1997&gt;B510, B$2:B$1997))) - B510,
    TODAY() - Table3[[#This Row],[Date of Update]]
  ),
  TODAY()-Table3[[#This Row],[Date of Update]]
)&lt;=0,
TODAY()-Table3[[#This Row],[Date of Update]],
IFERROR(
  IF(
    COUNTIF(A$2:A$1997, A510) &gt; 1,
    MIN(IF(A$2:A$1997=A510, IF(B$2:B$1997&gt;B510, B$2:B$1997))) - B510,
    TODAY() - Table3[[#This Row],[Date of Update]]
  ),
  TODAY()-Table3[[#This Row],[Date of Update]]
)))</f>
        <v>0</v>
      </c>
      <c r="G510" s="7">
        <f>IF(Table3[[#This Row],[Stage]]="Closed",Table3[[#This Row],[Date of Update]]-(_xlfn.MINIFS(Table3[Date of Update],Table3[Ref], Table3[[#This Row],[Ref]])),"")</f>
        <v>15</v>
      </c>
    </row>
    <row r="511" spans="1:7" x14ac:dyDescent="0.25">
      <c r="A511" s="4" t="s">
        <v>382</v>
      </c>
      <c r="B511" s="5">
        <v>45048</v>
      </c>
      <c r="C511" s="6" t="s">
        <v>8</v>
      </c>
      <c r="D511" s="6" t="s">
        <v>9</v>
      </c>
      <c r="E511" s="6" t="s">
        <v>383</v>
      </c>
      <c r="F511" s="6" cm="1">
        <f t="array" aca="1" ref="F511" ca="1">IF(Table3[[#This Row],[Stage]]="Closed",0,IF(IFERROR(
  IF(
    COUNTIF(A$2:A$1997, A511) &gt; 1,
    MIN(IF(A$2:A$1997=A511, IF(B$2:B$1997&gt;B511, B$2:B$1997))) - B511,
    TODAY() - Table3[[#This Row],[Date of Update]]
  ),
  TODAY()-Table3[[#This Row],[Date of Update]]
)&lt;=0,
TODAY()-Table3[[#This Row],[Date of Update]],
IFERROR(
  IF(
    COUNTIF(A$2:A$1997, A511) &gt; 1,
    MIN(IF(A$2:A$1997=A511, IF(B$2:B$1997&gt;B511, B$2:B$1997))) - B511,
    TODAY() - Table3[[#This Row],[Date of Update]]
  ),
  TODAY()-Table3[[#This Row],[Date of Update]]
)))</f>
        <v>51</v>
      </c>
      <c r="G511" s="7" t="str">
        <f>IF(Table3[[#This Row],[Stage]]="Closed",Table3[[#This Row],[Date of Update]]-(_xlfn.MINIFS(Table3[Date of Update],Table3[Ref], Table3[[#This Row],[Ref]])),"")</f>
        <v/>
      </c>
    </row>
    <row r="512" spans="1:7" x14ac:dyDescent="0.25">
      <c r="A512" s="4" t="s">
        <v>132</v>
      </c>
      <c r="B512" s="5">
        <v>45048</v>
      </c>
      <c r="C512" s="6" t="s">
        <v>17</v>
      </c>
      <c r="D512" s="6" t="s">
        <v>9</v>
      </c>
      <c r="E512" s="6" t="s">
        <v>80</v>
      </c>
      <c r="F512" s="6" cm="1">
        <f t="array" aca="1" ref="F512" ca="1">IF(Table3[[#This Row],[Stage]]="Closed",0,IF(IFERROR(
  IF(
    COUNTIF(A$2:A$1997, A512) &gt; 1,
    MIN(IF(A$2:A$1997=A512, IF(B$2:B$1997&gt;B512, B$2:B$1997))) - B512,
    TODAY() - Table3[[#This Row],[Date of Update]]
  ),
  TODAY()-Table3[[#This Row],[Date of Update]]
)&lt;=0,
TODAY()-Table3[[#This Row],[Date of Update]],
IFERROR(
  IF(
    COUNTIF(A$2:A$1997, A512) &gt; 1,
    MIN(IF(A$2:A$1997=A512, IF(B$2:B$1997&gt;B512, B$2:B$1997))) - B512,
    TODAY() - Table3[[#This Row],[Date of Update]]
  ),
  TODAY()-Table3[[#This Row],[Date of Update]]
)))</f>
        <v>0</v>
      </c>
      <c r="G512" s="7">
        <f>IF(Table3[[#This Row],[Stage]]="Closed",Table3[[#This Row],[Date of Update]]-(_xlfn.MINIFS(Table3[Date of Update],Table3[Ref], Table3[[#This Row],[Ref]])),"")</f>
        <v>267</v>
      </c>
    </row>
    <row r="513" spans="1:7" x14ac:dyDescent="0.25">
      <c r="A513" s="4" t="s">
        <v>384</v>
      </c>
      <c r="B513" s="5">
        <v>45058</v>
      </c>
      <c r="C513" s="6" t="s">
        <v>8</v>
      </c>
      <c r="D513" s="6" t="s">
        <v>9</v>
      </c>
      <c r="E513" s="6" t="s">
        <v>385</v>
      </c>
      <c r="F513" s="6" cm="1">
        <f t="array" aca="1" ref="F513" ca="1">IF(Table3[[#This Row],[Stage]]="Closed",0,IF(IFERROR(
  IF(
    COUNTIF(A$2:A$1997, A513) &gt; 1,
    MIN(IF(A$2:A$1997=A513, IF(B$2:B$1997&gt;B513, B$2:B$1997))) - B513,
    TODAY() - Table3[[#This Row],[Date of Update]]
  ),
  TODAY()-Table3[[#This Row],[Date of Update]]
)&lt;=0,
TODAY()-Table3[[#This Row],[Date of Update]],
IFERROR(
  IF(
    COUNTIF(A$2:A$1997, A513) &gt; 1,
    MIN(IF(A$2:A$1997=A513, IF(B$2:B$1997&gt;B513, B$2:B$1997))) - B513,
    TODAY() - Table3[[#This Row],[Date of Update]]
  ),
  TODAY()-Table3[[#This Row],[Date of Update]]
)))</f>
        <v>25</v>
      </c>
      <c r="G513" s="7" t="str">
        <f>IF(Table3[[#This Row],[Stage]]="Closed",Table3[[#This Row],[Date of Update]]-(_xlfn.MINIFS(Table3[Date of Update],Table3[Ref], Table3[[#This Row],[Ref]])),"")</f>
        <v/>
      </c>
    </row>
    <row r="514" spans="1:7" x14ac:dyDescent="0.25">
      <c r="A514" s="4" t="s">
        <v>386</v>
      </c>
      <c r="B514" s="5">
        <v>45058</v>
      </c>
      <c r="C514" s="6" t="s">
        <v>8</v>
      </c>
      <c r="D514" s="6" t="s">
        <v>9</v>
      </c>
      <c r="E514" s="6" t="s">
        <v>387</v>
      </c>
      <c r="F514" s="6" cm="1">
        <f t="array" aca="1" ref="F514" ca="1">IF(Table3[[#This Row],[Stage]]="Closed",0,IF(IFERROR(
  IF(
    COUNTIF(A$2:A$1997, A514) &gt; 1,
    MIN(IF(A$2:A$1997=A514, IF(B$2:B$1997&gt;B514, B$2:B$1997))) - B514,
    TODAY() - Table3[[#This Row],[Date of Update]]
  ),
  TODAY()-Table3[[#This Row],[Date of Update]]
)&lt;=0,
TODAY()-Table3[[#This Row],[Date of Update]],
IFERROR(
  IF(
    COUNTIF(A$2:A$1997, A514) &gt; 1,
    MIN(IF(A$2:A$1997=A514, IF(B$2:B$1997&gt;B514, B$2:B$1997))) - B514,
    TODAY() - Table3[[#This Row],[Date of Update]]
  ),
  TODAY()-Table3[[#This Row],[Date of Update]]
)))</f>
        <v>18</v>
      </c>
      <c r="G514" s="7" t="str">
        <f>IF(Table3[[#This Row],[Stage]]="Closed",Table3[[#This Row],[Date of Update]]-(_xlfn.MINIFS(Table3[Date of Update],Table3[Ref], Table3[[#This Row],[Ref]])),"")</f>
        <v/>
      </c>
    </row>
    <row r="515" spans="1:7" x14ac:dyDescent="0.25">
      <c r="A515" s="4" t="s">
        <v>388</v>
      </c>
      <c r="B515" s="5">
        <v>45061</v>
      </c>
      <c r="C515" s="6" t="s">
        <v>8</v>
      </c>
      <c r="D515" s="6" t="s">
        <v>9</v>
      </c>
      <c r="E515" s="6" t="s">
        <v>377</v>
      </c>
      <c r="F515" s="6" cm="1">
        <f t="array" aca="1" ref="F515" ca="1">IF(Table3[[#This Row],[Stage]]="Closed",0,IF(IFERROR(
  IF(
    COUNTIF(A$2:A$1997, A515) &gt; 1,
    MIN(IF(A$2:A$1997=A515, IF(B$2:B$1997&gt;B515, B$2:B$1997))) - B515,
    TODAY() - Table3[[#This Row],[Date of Update]]
  ),
  TODAY()-Table3[[#This Row],[Date of Update]]
)&lt;=0,
TODAY()-Table3[[#This Row],[Date of Update]],
IFERROR(
  IF(
    COUNTIF(A$2:A$1997, A515) &gt; 1,
    MIN(IF(A$2:A$1997=A515, IF(B$2:B$1997&gt;B515, B$2:B$1997))) - B515,
    TODAY() - Table3[[#This Row],[Date of Update]]
  ),
  TODAY()-Table3[[#This Row],[Date of Update]]
)))</f>
        <v>30</v>
      </c>
      <c r="G515" s="7" t="str">
        <f>IF(Table3[[#This Row],[Stage]]="Closed",Table3[[#This Row],[Date of Update]]-(_xlfn.MINIFS(Table3[Date of Update],Table3[Ref], Table3[[#This Row],[Ref]])),"")</f>
        <v/>
      </c>
    </row>
    <row r="516" spans="1:7" x14ac:dyDescent="0.25">
      <c r="A516" s="4" t="s">
        <v>389</v>
      </c>
      <c r="B516" s="5">
        <v>45061</v>
      </c>
      <c r="C516" s="6" t="s">
        <v>8</v>
      </c>
      <c r="D516" s="6" t="s">
        <v>9</v>
      </c>
      <c r="E516" s="6" t="s">
        <v>377</v>
      </c>
      <c r="F516" s="6" cm="1">
        <f t="array" aca="1" ref="F516" ca="1">IF(Table3[[#This Row],[Stage]]="Closed",0,IF(IFERROR(
  IF(
    COUNTIF(A$2:A$1997, A516) &gt; 1,
    MIN(IF(A$2:A$1997=A516, IF(B$2:B$1997&gt;B516, B$2:B$1997))) - B516,
    TODAY() - Table3[[#This Row],[Date of Update]]
  ),
  TODAY()-Table3[[#This Row],[Date of Update]]
)&lt;=0,
TODAY()-Table3[[#This Row],[Date of Update]],
IFERROR(
  IF(
    COUNTIF(A$2:A$1997, A516) &gt; 1,
    MIN(IF(A$2:A$1997=A516, IF(B$2:B$1997&gt;B516, B$2:B$1997))) - B516,
    TODAY() - Table3[[#This Row],[Date of Update]]
  ),
  TODAY()-Table3[[#This Row],[Date of Update]]
)))</f>
        <v>30</v>
      </c>
      <c r="G516" s="7" t="str">
        <f>IF(Table3[[#This Row],[Stage]]="Closed",Table3[[#This Row],[Date of Update]]-(_xlfn.MINIFS(Table3[Date of Update],Table3[Ref], Table3[[#This Row],[Ref]])),"")</f>
        <v/>
      </c>
    </row>
    <row r="517" spans="1:7" x14ac:dyDescent="0.25">
      <c r="A517" s="4" t="s">
        <v>390</v>
      </c>
      <c r="B517" s="5">
        <v>45063</v>
      </c>
      <c r="C517" s="6" t="s">
        <v>8</v>
      </c>
      <c r="D517" s="6" t="s">
        <v>9</v>
      </c>
      <c r="E517" s="6" t="s">
        <v>391</v>
      </c>
      <c r="F517" s="6" cm="1">
        <f t="array" aca="1" ref="F517" ca="1">IF(Table3[[#This Row],[Stage]]="Closed",0,IF(IFERROR(
  IF(
    COUNTIF(A$2:A$1997, A517) &gt; 1,
    MIN(IF(A$2:A$1997=A517, IF(B$2:B$1997&gt;B517, B$2:B$1997))) - B517,
    TODAY() - Table3[[#This Row],[Date of Update]]
  ),
  TODAY()-Table3[[#This Row],[Date of Update]]
)&lt;=0,
TODAY()-Table3[[#This Row],[Date of Update]],
IFERROR(
  IF(
    COUNTIF(A$2:A$1997, A517) &gt; 1,
    MIN(IF(A$2:A$1997=A517, IF(B$2:B$1997&gt;B517, B$2:B$1997))) - B517,
    TODAY() - Table3[[#This Row],[Date of Update]]
  ),
  TODAY()-Table3[[#This Row],[Date of Update]]
)))</f>
        <v>142</v>
      </c>
      <c r="G517" s="7" t="str">
        <f>IF(Table3[[#This Row],[Stage]]="Closed",Table3[[#This Row],[Date of Update]]-(_xlfn.MINIFS(Table3[Date of Update],Table3[Ref], Table3[[#This Row],[Ref]])),"")</f>
        <v/>
      </c>
    </row>
    <row r="518" spans="1:7" x14ac:dyDescent="0.25">
      <c r="A518" s="4" t="s">
        <v>392</v>
      </c>
      <c r="B518" s="5">
        <v>45063</v>
      </c>
      <c r="C518" s="6" t="s">
        <v>8</v>
      </c>
      <c r="D518" s="6" t="s">
        <v>9</v>
      </c>
      <c r="E518" s="6" t="s">
        <v>393</v>
      </c>
      <c r="F518" s="6" cm="1">
        <f t="array" aca="1" ref="F518" ca="1">IF(Table3[[#This Row],[Stage]]="Closed",0,IF(IFERROR(
  IF(
    COUNTIF(A$2:A$1997, A518) &gt; 1,
    MIN(IF(A$2:A$1997=A518, IF(B$2:B$1997&gt;B518, B$2:B$1997))) - B518,
    TODAY() - Table3[[#This Row],[Date of Update]]
  ),
  TODAY()-Table3[[#This Row],[Date of Update]]
)&lt;=0,
TODAY()-Table3[[#This Row],[Date of Update]],
IFERROR(
  IF(
    COUNTIF(A$2:A$1997, A518) &gt; 1,
    MIN(IF(A$2:A$1997=A518, IF(B$2:B$1997&gt;B518, B$2:B$1997))) - B518,
    TODAY() - Table3[[#This Row],[Date of Update]]
  ),
  TODAY()-Table3[[#This Row],[Date of Update]]
)))</f>
        <v>71</v>
      </c>
      <c r="G518" s="7" t="str">
        <f>IF(Table3[[#This Row],[Stage]]="Closed",Table3[[#This Row],[Date of Update]]-(_xlfn.MINIFS(Table3[Date of Update],Table3[Ref], Table3[[#This Row],[Ref]])),"")</f>
        <v/>
      </c>
    </row>
    <row r="519" spans="1:7" x14ac:dyDescent="0.25">
      <c r="A519" s="4" t="s">
        <v>394</v>
      </c>
      <c r="B519" s="5">
        <v>45063</v>
      </c>
      <c r="C519" s="6" t="s">
        <v>8</v>
      </c>
      <c r="D519" s="6" t="s">
        <v>9</v>
      </c>
      <c r="E519" s="6"/>
      <c r="F519" s="6" cm="1">
        <f t="array" aca="1" ref="F519" ca="1">IF(Table3[[#This Row],[Stage]]="Closed",0,IF(IFERROR(
  IF(
    COUNTIF(A$2:A$1997, A519) &gt; 1,
    MIN(IF(A$2:A$1997=A519, IF(B$2:B$1997&gt;B519, B$2:B$1997))) - B519,
    TODAY() - Table3[[#This Row],[Date of Update]]
  ),
  TODAY()-Table3[[#This Row],[Date of Update]]
)&lt;=0,
TODAY()-Table3[[#This Row],[Date of Update]],
IFERROR(
  IF(
    COUNTIF(A$2:A$1997, A519) &gt; 1,
    MIN(IF(A$2:A$1997=A519, IF(B$2:B$1997&gt;B519, B$2:B$1997))) - B519,
    TODAY() - Table3[[#This Row],[Date of Update]]
  ),
  TODAY()-Table3[[#This Row],[Date of Update]]
)))</f>
        <v>36</v>
      </c>
      <c r="G519" s="7" t="str">
        <f>IF(Table3[[#This Row],[Stage]]="Closed",Table3[[#This Row],[Date of Update]]-(_xlfn.MINIFS(Table3[Date of Update],Table3[Ref], Table3[[#This Row],[Ref]])),"")</f>
        <v/>
      </c>
    </row>
    <row r="520" spans="1:7" x14ac:dyDescent="0.25">
      <c r="A520" s="4" t="s">
        <v>395</v>
      </c>
      <c r="B520" s="5">
        <v>45063</v>
      </c>
      <c r="C520" s="6" t="s">
        <v>8</v>
      </c>
      <c r="D520" s="6" t="s">
        <v>9</v>
      </c>
      <c r="E520" s="6" t="s">
        <v>304</v>
      </c>
      <c r="F520" s="6" cm="1">
        <f t="array" aca="1" ref="F520" ca="1">IF(Table3[[#This Row],[Stage]]="Closed",0,IF(IFERROR(
  IF(
    COUNTIF(A$2:A$1997, A520) &gt; 1,
    MIN(IF(A$2:A$1997=A520, IF(B$2:B$1997&gt;B520, B$2:B$1997))) - B520,
    TODAY() - Table3[[#This Row],[Date of Update]]
  ),
  TODAY()-Table3[[#This Row],[Date of Update]]
)&lt;=0,
TODAY()-Table3[[#This Row],[Date of Update]],
IFERROR(
  IF(
    COUNTIF(A$2:A$1997, A520) &gt; 1,
    MIN(IF(A$2:A$1997=A520, IF(B$2:B$1997&gt;B520, B$2:B$1997))) - B520,
    TODAY() - Table3[[#This Row],[Date of Update]]
  ),
  TODAY()-Table3[[#This Row],[Date of Update]]
)))</f>
        <v>268</v>
      </c>
      <c r="G520" s="7" t="str">
        <f>IF(Table3[[#This Row],[Stage]]="Closed",Table3[[#This Row],[Date of Update]]-(_xlfn.MINIFS(Table3[Date of Update],Table3[Ref], Table3[[#This Row],[Ref]])),"")</f>
        <v/>
      </c>
    </row>
    <row r="521" spans="1:7" x14ac:dyDescent="0.25">
      <c r="A521" s="4" t="s">
        <v>355</v>
      </c>
      <c r="B521" s="5">
        <v>45063</v>
      </c>
      <c r="C521" s="6" t="s">
        <v>17</v>
      </c>
      <c r="D521" s="6" t="s">
        <v>9</v>
      </c>
      <c r="E521" s="6" t="s">
        <v>356</v>
      </c>
      <c r="F521" s="6" cm="1">
        <f t="array" aca="1" ref="F521" ca="1">IF(Table3[[#This Row],[Stage]]="Closed",0,IF(IFERROR(
  IF(
    COUNTIF(A$2:A$1997, A521) &gt; 1,
    MIN(IF(A$2:A$1997=A521, IF(B$2:B$1997&gt;B521, B$2:B$1997))) - B521,
    TODAY() - Table3[[#This Row],[Date of Update]]
  ),
  TODAY()-Table3[[#This Row],[Date of Update]]
)&lt;=0,
TODAY()-Table3[[#This Row],[Date of Update]],
IFERROR(
  IF(
    COUNTIF(A$2:A$1997, A521) &gt; 1,
    MIN(IF(A$2:A$1997=A521, IF(B$2:B$1997&gt;B521, B$2:B$1997))) - B521,
    TODAY() - Table3[[#This Row],[Date of Update]]
  ),
  TODAY()-Table3[[#This Row],[Date of Update]]
)))</f>
        <v>0</v>
      </c>
      <c r="G521" s="7">
        <f>IF(Table3[[#This Row],[Stage]]="Closed",Table3[[#This Row],[Date of Update]]-(_xlfn.MINIFS(Table3[Date of Update],Table3[Ref], Table3[[#This Row],[Ref]])),"")</f>
        <v>58</v>
      </c>
    </row>
    <row r="522" spans="1:7" x14ac:dyDescent="0.25">
      <c r="A522" s="4" t="s">
        <v>396</v>
      </c>
      <c r="B522" s="5">
        <v>45064</v>
      </c>
      <c r="C522" s="6" t="s">
        <v>8</v>
      </c>
      <c r="D522" s="6" t="s">
        <v>9</v>
      </c>
      <c r="E522" s="6" t="s">
        <v>244</v>
      </c>
      <c r="F522" s="6" cm="1">
        <f t="array" aca="1" ref="F522" ca="1">IF(Table3[[#This Row],[Stage]]="Closed",0,IF(IFERROR(
  IF(
    COUNTIF(A$2:A$1997, A522) &gt; 1,
    MIN(IF(A$2:A$1997=A522, IF(B$2:B$1997&gt;B522, B$2:B$1997))) - B522,
    TODAY() - Table3[[#This Row],[Date of Update]]
  ),
  TODAY()-Table3[[#This Row],[Date of Update]]
)&lt;=0,
TODAY()-Table3[[#This Row],[Date of Update]],
IFERROR(
  IF(
    COUNTIF(A$2:A$1997, A522) &gt; 1,
    MIN(IF(A$2:A$1997=A522, IF(B$2:B$1997&gt;B522, B$2:B$1997))) - B522,
    TODAY() - Table3[[#This Row],[Date of Update]]
  ),
  TODAY()-Table3[[#This Row],[Date of Update]]
)))</f>
        <v>6</v>
      </c>
      <c r="G522" s="7" t="str">
        <f>IF(Table3[[#This Row],[Stage]]="Closed",Table3[[#This Row],[Date of Update]]-(_xlfn.MINIFS(Table3[Date of Update],Table3[Ref], Table3[[#This Row],[Ref]])),"")</f>
        <v/>
      </c>
    </row>
    <row r="523" spans="1:7" x14ac:dyDescent="0.25">
      <c r="A523" s="4" t="s">
        <v>397</v>
      </c>
      <c r="B523" s="5">
        <v>45065</v>
      </c>
      <c r="C523" s="6" t="s">
        <v>8</v>
      </c>
      <c r="D523" s="6" t="s">
        <v>9</v>
      </c>
      <c r="E523" s="6" t="s">
        <v>244</v>
      </c>
      <c r="F523" s="6" cm="1">
        <f t="array" aca="1" ref="F523" ca="1">IF(Table3[[#This Row],[Stage]]="Closed",0,IF(IFERROR(
  IF(
    COUNTIF(A$2:A$1997, A523) &gt; 1,
    MIN(IF(A$2:A$1997=A523, IF(B$2:B$1997&gt;B523, B$2:B$1997))) - B523,
    TODAY() - Table3[[#This Row],[Date of Update]]
  ),
  TODAY()-Table3[[#This Row],[Date of Update]]
)&lt;=0,
TODAY()-Table3[[#This Row],[Date of Update]],
IFERROR(
  IF(
    COUNTIF(A$2:A$1997, A523) &gt; 1,
    MIN(IF(A$2:A$1997=A523, IF(B$2:B$1997&gt;B523, B$2:B$1997))) - B523,
    TODAY() - Table3[[#This Row],[Date of Update]]
  ),
  TODAY()-Table3[[#This Row],[Date of Update]]
)))</f>
        <v>5</v>
      </c>
      <c r="G523" s="7" t="str">
        <f>IF(Table3[[#This Row],[Stage]]="Closed",Table3[[#This Row],[Date of Update]]-(_xlfn.MINIFS(Table3[Date of Update],Table3[Ref], Table3[[#This Row],[Ref]])),"")</f>
        <v/>
      </c>
    </row>
    <row r="524" spans="1:7" x14ac:dyDescent="0.25">
      <c r="A524" s="4" t="s">
        <v>360</v>
      </c>
      <c r="B524" s="5">
        <v>45065</v>
      </c>
      <c r="C524" s="6" t="s">
        <v>17</v>
      </c>
      <c r="D524" s="6" t="s">
        <v>9</v>
      </c>
      <c r="E524" s="6" t="s">
        <v>256</v>
      </c>
      <c r="F524" s="6" cm="1">
        <f t="array" aca="1" ref="F524" ca="1">IF(Table3[[#This Row],[Stage]]="Closed",0,IF(IFERROR(
  IF(
    COUNTIF(A$2:A$1997, A524) &gt; 1,
    MIN(IF(A$2:A$1997=A524, IF(B$2:B$1997&gt;B524, B$2:B$1997))) - B524,
    TODAY() - Table3[[#This Row],[Date of Update]]
  ),
  TODAY()-Table3[[#This Row],[Date of Update]]
)&lt;=0,
TODAY()-Table3[[#This Row],[Date of Update]],
IFERROR(
  IF(
    COUNTIF(A$2:A$1997, A524) &gt; 1,
    MIN(IF(A$2:A$1997=A524, IF(B$2:B$1997&gt;B524, B$2:B$1997))) - B524,
    TODAY() - Table3[[#This Row],[Date of Update]]
  ),
  TODAY()-Table3[[#This Row],[Date of Update]]
)))</f>
        <v>0</v>
      </c>
      <c r="G524" s="7">
        <f>IF(Table3[[#This Row],[Stage]]="Closed",Table3[[#This Row],[Date of Update]]-(_xlfn.MINIFS(Table3[Date of Update],Table3[Ref], Table3[[#This Row],[Ref]])),"")</f>
        <v>46</v>
      </c>
    </row>
    <row r="525" spans="1:7" x14ac:dyDescent="0.25">
      <c r="A525" s="4" t="s">
        <v>167</v>
      </c>
      <c r="B525" s="5">
        <v>45069</v>
      </c>
      <c r="C525" s="6" t="s">
        <v>17</v>
      </c>
      <c r="D525" s="6" t="s">
        <v>9</v>
      </c>
      <c r="E525" s="6" t="s">
        <v>168</v>
      </c>
      <c r="F525" s="6" cm="1">
        <f t="array" aca="1" ref="F525" ca="1">IF(Table3[[#This Row],[Stage]]="Closed",0,IF(IFERROR(
  IF(
    COUNTIF(A$2:A$1997, A525) &gt; 1,
    MIN(IF(A$2:A$1997=A525, IF(B$2:B$1997&gt;B525, B$2:B$1997))) - B525,
    TODAY() - Table3[[#This Row],[Date of Update]]
  ),
  TODAY()-Table3[[#This Row],[Date of Update]]
)&lt;=0,
TODAY()-Table3[[#This Row],[Date of Update]],
IFERROR(
  IF(
    COUNTIF(A$2:A$1997, A525) &gt; 1,
    MIN(IF(A$2:A$1997=A525, IF(B$2:B$1997&gt;B525, B$2:B$1997))) - B525,
    TODAY() - Table3[[#This Row],[Date of Update]]
  ),
  TODAY()-Table3[[#This Row],[Date of Update]]
)))</f>
        <v>0</v>
      </c>
      <c r="G525" s="7">
        <f>IF(Table3[[#This Row],[Stage]]="Closed",Table3[[#This Row],[Date of Update]]-(_xlfn.MINIFS(Table3[Date of Update],Table3[Ref], Table3[[#This Row],[Ref]])),"")</f>
        <v>230</v>
      </c>
    </row>
    <row r="526" spans="1:7" x14ac:dyDescent="0.25">
      <c r="A526" s="4" t="s">
        <v>397</v>
      </c>
      <c r="B526" s="5">
        <v>45070</v>
      </c>
      <c r="C526" s="6" t="s">
        <v>17</v>
      </c>
      <c r="D526" s="6" t="s">
        <v>9</v>
      </c>
      <c r="E526" s="6" t="s">
        <v>244</v>
      </c>
      <c r="F526" s="6" cm="1">
        <f t="array" aca="1" ref="F526" ca="1">IF(Table3[[#This Row],[Stage]]="Closed",0,IF(IFERROR(
  IF(
    COUNTIF(A$2:A$1997, A526) &gt; 1,
    MIN(IF(A$2:A$1997=A526, IF(B$2:B$1997&gt;B526, B$2:B$1997))) - B526,
    TODAY() - Table3[[#This Row],[Date of Update]]
  ),
  TODAY()-Table3[[#This Row],[Date of Update]]
)&lt;=0,
TODAY()-Table3[[#This Row],[Date of Update]],
IFERROR(
  IF(
    COUNTIF(A$2:A$1997, A526) &gt; 1,
    MIN(IF(A$2:A$1997=A526, IF(B$2:B$1997&gt;B526, B$2:B$1997))) - B526,
    TODAY() - Table3[[#This Row],[Date of Update]]
  ),
  TODAY()-Table3[[#This Row],[Date of Update]]
)))</f>
        <v>0</v>
      </c>
      <c r="G526" s="7">
        <f>IF(Table3[[#This Row],[Stage]]="Closed",Table3[[#This Row],[Date of Update]]-(_xlfn.MINIFS(Table3[Date of Update],Table3[Ref], Table3[[#This Row],[Ref]])),"")</f>
        <v>5</v>
      </c>
    </row>
    <row r="527" spans="1:7" x14ac:dyDescent="0.25">
      <c r="A527" s="4" t="s">
        <v>396</v>
      </c>
      <c r="B527" s="5">
        <v>45070</v>
      </c>
      <c r="C527" s="6" t="s">
        <v>17</v>
      </c>
      <c r="D527" s="6" t="s">
        <v>9</v>
      </c>
      <c r="E527" s="6" t="s">
        <v>244</v>
      </c>
      <c r="F527" s="6" cm="1">
        <f t="array" aca="1" ref="F527" ca="1">IF(Table3[[#This Row],[Stage]]="Closed",0,IF(IFERROR(
  IF(
    COUNTIF(A$2:A$1997, A527) &gt; 1,
    MIN(IF(A$2:A$1997=A527, IF(B$2:B$1997&gt;B527, B$2:B$1997))) - B527,
    TODAY() - Table3[[#This Row],[Date of Update]]
  ),
  TODAY()-Table3[[#This Row],[Date of Update]]
)&lt;=0,
TODAY()-Table3[[#This Row],[Date of Update]],
IFERROR(
  IF(
    COUNTIF(A$2:A$1997, A527) &gt; 1,
    MIN(IF(A$2:A$1997=A527, IF(B$2:B$1997&gt;B527, B$2:B$1997))) - B527,
    TODAY() - Table3[[#This Row],[Date of Update]]
  ),
  TODAY()-Table3[[#This Row],[Date of Update]]
)))</f>
        <v>0</v>
      </c>
      <c r="G527" s="7">
        <f>IF(Table3[[#This Row],[Stage]]="Closed",Table3[[#This Row],[Date of Update]]-(_xlfn.MINIFS(Table3[Date of Update],Table3[Ref], Table3[[#This Row],[Ref]])),"")</f>
        <v>6</v>
      </c>
    </row>
    <row r="528" spans="1:7" x14ac:dyDescent="0.25">
      <c r="A528" s="4" t="s">
        <v>398</v>
      </c>
      <c r="B528" s="5">
        <v>45071</v>
      </c>
      <c r="C528" s="6" t="s">
        <v>8</v>
      </c>
      <c r="D528" s="6" t="s">
        <v>9</v>
      </c>
      <c r="E528" s="6" t="s">
        <v>244</v>
      </c>
      <c r="F528" s="6" cm="1">
        <f t="array" aca="1" ref="F528" ca="1">IF(Table3[[#This Row],[Stage]]="Closed",0,IF(IFERROR(
  IF(
    COUNTIF(A$2:A$1997, A528) &gt; 1,
    MIN(IF(A$2:A$1997=A528, IF(B$2:B$1997&gt;B528, B$2:B$1997))) - B528,
    TODAY() - Table3[[#This Row],[Date of Update]]
  ),
  TODAY()-Table3[[#This Row],[Date of Update]]
)&lt;=0,
TODAY()-Table3[[#This Row],[Date of Update]],
IFERROR(
  IF(
    COUNTIF(A$2:A$1997, A528) &gt; 1,
    MIN(IF(A$2:A$1997=A528, IF(B$2:B$1997&gt;B528, B$2:B$1997))) - B528,
    TODAY() - Table3[[#This Row],[Date of Update]]
  ),
  TODAY()-Table3[[#This Row],[Date of Update]]
)))</f>
        <v>11</v>
      </c>
      <c r="G528" s="7" t="str">
        <f>IF(Table3[[#This Row],[Stage]]="Closed",Table3[[#This Row],[Date of Update]]-(_xlfn.MINIFS(Table3[Date of Update],Table3[Ref], Table3[[#This Row],[Ref]])),"")</f>
        <v/>
      </c>
    </row>
    <row r="529" spans="1:7" x14ac:dyDescent="0.25">
      <c r="A529" s="4" t="s">
        <v>399</v>
      </c>
      <c r="B529" s="5">
        <v>45071</v>
      </c>
      <c r="C529" s="6" t="s">
        <v>8</v>
      </c>
      <c r="D529" s="6" t="s">
        <v>9</v>
      </c>
      <c r="E529" s="6" t="s">
        <v>244</v>
      </c>
      <c r="F529" s="6" cm="1">
        <f t="array" aca="1" ref="F529" ca="1">IF(Table3[[#This Row],[Stage]]="Closed",0,IF(IFERROR(
  IF(
    COUNTIF(A$2:A$1997, A529) &gt; 1,
    MIN(IF(A$2:A$1997=A529, IF(B$2:B$1997&gt;B529, B$2:B$1997))) - B529,
    TODAY() - Table3[[#This Row],[Date of Update]]
  ),
  TODAY()-Table3[[#This Row],[Date of Update]]
)&lt;=0,
TODAY()-Table3[[#This Row],[Date of Update]],
IFERROR(
  IF(
    COUNTIF(A$2:A$1997, A529) &gt; 1,
    MIN(IF(A$2:A$1997=A529, IF(B$2:B$1997&gt;B529, B$2:B$1997))) - B529,
    TODAY() - Table3[[#This Row],[Date of Update]]
  ),
  TODAY()-Table3[[#This Row],[Date of Update]]
)))</f>
        <v>8</v>
      </c>
      <c r="G529" s="7" t="str">
        <f>IF(Table3[[#This Row],[Stage]]="Closed",Table3[[#This Row],[Date of Update]]-(_xlfn.MINIFS(Table3[Date of Update],Table3[Ref], Table3[[#This Row],[Ref]])),"")</f>
        <v/>
      </c>
    </row>
    <row r="530" spans="1:7" x14ac:dyDescent="0.25">
      <c r="A530" s="4" t="s">
        <v>400</v>
      </c>
      <c r="B530" s="5">
        <v>45072</v>
      </c>
      <c r="C530" s="6" t="s">
        <v>8</v>
      </c>
      <c r="D530" s="6" t="s">
        <v>9</v>
      </c>
      <c r="E530" s="6" t="s">
        <v>244</v>
      </c>
      <c r="F530" s="6" cm="1">
        <f t="array" aca="1" ref="F530" ca="1">IF(Table3[[#This Row],[Stage]]="Closed",0,IF(IFERROR(
  IF(
    COUNTIF(A$2:A$1997, A530) &gt; 1,
    MIN(IF(A$2:A$1997=A530, IF(B$2:B$1997&gt;B530, B$2:B$1997))) - B530,
    TODAY() - Table3[[#This Row],[Date of Update]]
  ),
  TODAY()-Table3[[#This Row],[Date of Update]]
)&lt;=0,
TODAY()-Table3[[#This Row],[Date of Update]],
IFERROR(
  IF(
    COUNTIF(A$2:A$1997, A530) &gt; 1,
    MIN(IF(A$2:A$1997=A530, IF(B$2:B$1997&gt;B530, B$2:B$1997))) - B530,
    TODAY() - Table3[[#This Row],[Date of Update]]
  ),
  TODAY()-Table3[[#This Row],[Date of Update]]
)))</f>
        <v>7</v>
      </c>
      <c r="G530" s="7" t="str">
        <f>IF(Table3[[#This Row],[Stage]]="Closed",Table3[[#This Row],[Date of Update]]-(_xlfn.MINIFS(Table3[Date of Update],Table3[Ref], Table3[[#This Row],[Ref]])),"")</f>
        <v/>
      </c>
    </row>
    <row r="531" spans="1:7" x14ac:dyDescent="0.25">
      <c r="A531" s="4" t="s">
        <v>386</v>
      </c>
      <c r="B531" s="5">
        <v>45076</v>
      </c>
      <c r="C531" s="6" t="s">
        <v>17</v>
      </c>
      <c r="D531" s="6" t="s">
        <v>9</v>
      </c>
      <c r="E531" s="6" t="s">
        <v>387</v>
      </c>
      <c r="F531" s="6" cm="1">
        <f t="array" aca="1" ref="F531" ca="1">IF(Table3[[#This Row],[Stage]]="Closed",0,IF(IFERROR(
  IF(
    COUNTIF(A$2:A$1997, A531) &gt; 1,
    MIN(IF(A$2:A$1997=A531, IF(B$2:B$1997&gt;B531, B$2:B$1997))) - B531,
    TODAY() - Table3[[#This Row],[Date of Update]]
  ),
  TODAY()-Table3[[#This Row],[Date of Update]]
)&lt;=0,
TODAY()-Table3[[#This Row],[Date of Update]],
IFERROR(
  IF(
    COUNTIF(A$2:A$1997, A531) &gt; 1,
    MIN(IF(A$2:A$1997=A531, IF(B$2:B$1997&gt;B531, B$2:B$1997))) - B531,
    TODAY() - Table3[[#This Row],[Date of Update]]
  ),
  TODAY()-Table3[[#This Row],[Date of Update]]
)))</f>
        <v>0</v>
      </c>
      <c r="G531" s="7">
        <f>IF(Table3[[#This Row],[Stage]]="Closed",Table3[[#This Row],[Date of Update]]-(_xlfn.MINIFS(Table3[Date of Update],Table3[Ref], Table3[[#This Row],[Ref]])),"")</f>
        <v>18</v>
      </c>
    </row>
    <row r="532" spans="1:7" x14ac:dyDescent="0.25">
      <c r="A532" s="4" t="s">
        <v>401</v>
      </c>
      <c r="B532" s="5">
        <v>45076</v>
      </c>
      <c r="C532" s="6" t="s">
        <v>8</v>
      </c>
      <c r="D532" s="6" t="s">
        <v>9</v>
      </c>
      <c r="E532" s="6" t="s">
        <v>377</v>
      </c>
      <c r="F532" s="6" cm="1">
        <f t="array" aca="1" ref="F532" ca="1">IF(Table3[[#This Row],[Stage]]="Closed",0,IF(IFERROR(
  IF(
    COUNTIF(A$2:A$1997, A532) &gt; 1,
    MIN(IF(A$2:A$1997=A532, IF(B$2:B$1997&gt;B532, B$2:B$1997))) - B532,
    TODAY() - Table3[[#This Row],[Date of Update]]
  ),
  TODAY()-Table3[[#This Row],[Date of Update]]
)&lt;=0,
TODAY()-Table3[[#This Row],[Date of Update]],
IFERROR(
  IF(
    COUNTIF(A$2:A$1997, A532) &gt; 1,
    MIN(IF(A$2:A$1997=A532, IF(B$2:B$1997&gt;B532, B$2:B$1997))) - B532,
    TODAY() - Table3[[#This Row],[Date of Update]]
  ),
  TODAY()-Table3[[#This Row],[Date of Update]]
)))</f>
        <v>15</v>
      </c>
      <c r="G532" s="7" t="str">
        <f>IF(Table3[[#This Row],[Stage]]="Closed",Table3[[#This Row],[Date of Update]]-(_xlfn.MINIFS(Table3[Date of Update],Table3[Ref], Table3[[#This Row],[Ref]])),"")</f>
        <v/>
      </c>
    </row>
    <row r="533" spans="1:7" x14ac:dyDescent="0.25">
      <c r="A533" s="4" t="s">
        <v>402</v>
      </c>
      <c r="B533" s="5">
        <v>45077</v>
      </c>
      <c r="C533" s="6" t="s">
        <v>8</v>
      </c>
      <c r="D533" s="6" t="s">
        <v>9</v>
      </c>
      <c r="E533" s="6" t="s">
        <v>403</v>
      </c>
      <c r="F533" s="6" cm="1">
        <f t="array" aca="1" ref="F533" ca="1">IF(Table3[[#This Row],[Stage]]="Closed",0,IF(IFERROR(
  IF(
    COUNTIF(A$2:A$1997, A533) &gt; 1,
    MIN(IF(A$2:A$1997=A533, IF(B$2:B$1997&gt;B533, B$2:B$1997))) - B533,
    TODAY() - Table3[[#This Row],[Date of Update]]
  ),
  TODAY()-Table3[[#This Row],[Date of Update]]
)&lt;=0,
TODAY()-Table3[[#This Row],[Date of Update]],
IFERROR(
  IF(
    COUNTIF(A$2:A$1997, A533) &gt; 1,
    MIN(IF(A$2:A$1997=A533, IF(B$2:B$1997&gt;B533, B$2:B$1997))) - B533,
    TODAY() - Table3[[#This Row],[Date of Update]]
  ),
  TODAY()-Table3[[#This Row],[Date of Update]]
)))</f>
        <v>135</v>
      </c>
      <c r="G533" s="7" t="str">
        <f>IF(Table3[[#This Row],[Stage]]="Closed",Table3[[#This Row],[Date of Update]]-(_xlfn.MINIFS(Table3[Date of Update],Table3[Ref], Table3[[#This Row],[Ref]])),"")</f>
        <v/>
      </c>
    </row>
    <row r="534" spans="1:7" x14ac:dyDescent="0.25">
      <c r="A534" s="4" t="s">
        <v>404</v>
      </c>
      <c r="B534" s="5">
        <v>45077</v>
      </c>
      <c r="C534" s="6" t="s">
        <v>8</v>
      </c>
      <c r="D534" s="6" t="s">
        <v>9</v>
      </c>
      <c r="E534" s="6" t="s">
        <v>377</v>
      </c>
      <c r="F534" s="6" cm="1">
        <f t="array" aca="1" ref="F534" ca="1">IF(Table3[[#This Row],[Stage]]="Closed",0,IF(IFERROR(
  IF(
    COUNTIF(A$2:A$1997, A534) &gt; 1,
    MIN(IF(A$2:A$1997=A534, IF(B$2:B$1997&gt;B534, B$2:B$1997))) - B534,
    TODAY() - Table3[[#This Row],[Date of Update]]
  ),
  TODAY()-Table3[[#This Row],[Date of Update]]
)&lt;=0,
TODAY()-Table3[[#This Row],[Date of Update]],
IFERROR(
  IF(
    COUNTIF(A$2:A$1997, A534) &gt; 1,
    MIN(IF(A$2:A$1997=A534, IF(B$2:B$1997&gt;B534, B$2:B$1997))) - B534,
    TODAY() - Table3[[#This Row],[Date of Update]]
  ),
  TODAY()-Table3[[#This Row],[Date of Update]]
)))</f>
        <v>14</v>
      </c>
      <c r="G534" s="7" t="str">
        <f>IF(Table3[[#This Row],[Stage]]="Closed",Table3[[#This Row],[Date of Update]]-(_xlfn.MINIFS(Table3[Date of Update],Table3[Ref], Table3[[#This Row],[Ref]])),"")</f>
        <v/>
      </c>
    </row>
    <row r="535" spans="1:7" x14ac:dyDescent="0.25">
      <c r="A535" s="4" t="s">
        <v>405</v>
      </c>
      <c r="B535" s="5">
        <v>45077</v>
      </c>
      <c r="C535" s="6" t="s">
        <v>8</v>
      </c>
      <c r="D535" s="6" t="s">
        <v>9</v>
      </c>
      <c r="E535" s="6" t="s">
        <v>406</v>
      </c>
      <c r="F535" s="6" cm="1">
        <f t="array" aca="1" ref="F535" ca="1">IF(Table3[[#This Row],[Stage]]="Closed",0,IF(IFERROR(
  IF(
    COUNTIF(A$2:A$1997, A535) &gt; 1,
    MIN(IF(A$2:A$1997=A535, IF(B$2:B$1997&gt;B535, B$2:B$1997))) - B535,
    TODAY() - Table3[[#This Row],[Date of Update]]
  ),
  TODAY()-Table3[[#This Row],[Date of Update]]
)&lt;=0,
TODAY()-Table3[[#This Row],[Date of Update]],
IFERROR(
  IF(
    COUNTIF(A$2:A$1997, A535) &gt; 1,
    MIN(IF(A$2:A$1997=A535, IF(B$2:B$1997&gt;B535, B$2:B$1997))) - B535,
    TODAY() - Table3[[#This Row],[Date of Update]]
  ),
  TODAY()-Table3[[#This Row],[Date of Update]]
)))</f>
        <v>57</v>
      </c>
      <c r="G535" s="7" t="str">
        <f>IF(Table3[[#This Row],[Stage]]="Closed",Table3[[#This Row],[Date of Update]]-(_xlfn.MINIFS(Table3[Date of Update],Table3[Ref], Table3[[#This Row],[Ref]])),"")</f>
        <v/>
      </c>
    </row>
    <row r="536" spans="1:7" x14ac:dyDescent="0.25">
      <c r="A536" s="4" t="s">
        <v>407</v>
      </c>
      <c r="B536" s="5">
        <v>45077</v>
      </c>
      <c r="C536" s="6" t="s">
        <v>8</v>
      </c>
      <c r="D536" s="6" t="s">
        <v>9</v>
      </c>
      <c r="E536" s="6" t="s">
        <v>377</v>
      </c>
      <c r="F536" s="6" cm="1">
        <f t="array" aca="1" ref="F536" ca="1">IF(Table3[[#This Row],[Stage]]="Closed",0,IF(IFERROR(
  IF(
    COUNTIF(A$2:A$1997, A536) &gt; 1,
    MIN(IF(A$2:A$1997=A536, IF(B$2:B$1997&gt;B536, B$2:B$1997))) - B536,
    TODAY() - Table3[[#This Row],[Date of Update]]
  ),
  TODAY()-Table3[[#This Row],[Date of Update]]
)&lt;=0,
TODAY()-Table3[[#This Row],[Date of Update]],
IFERROR(
  IF(
    COUNTIF(A$2:A$1997, A536) &gt; 1,
    MIN(IF(A$2:A$1997=A536, IF(B$2:B$1997&gt;B536, B$2:B$1997))) - B536,
    TODAY() - Table3[[#This Row],[Date of Update]]
  ),
  TODAY()-Table3[[#This Row],[Date of Update]]
)))</f>
        <v>14</v>
      </c>
      <c r="G536" s="7" t="str">
        <f>IF(Table3[[#This Row],[Stage]]="Closed",Table3[[#This Row],[Date of Update]]-(_xlfn.MINIFS(Table3[Date of Update],Table3[Ref], Table3[[#This Row],[Ref]])),"")</f>
        <v/>
      </c>
    </row>
    <row r="537" spans="1:7" x14ac:dyDescent="0.25">
      <c r="A537" s="4" t="s">
        <v>408</v>
      </c>
      <c r="B537" s="5">
        <v>45078</v>
      </c>
      <c r="C537" s="6" t="s">
        <v>8</v>
      </c>
      <c r="D537" s="6" t="s">
        <v>9</v>
      </c>
      <c r="E537" s="6" t="s">
        <v>409</v>
      </c>
      <c r="F537" s="6" cm="1">
        <f t="array" aca="1" ref="F537" ca="1">IF(Table3[[#This Row],[Stage]]="Closed",0,IF(IFERROR(
  IF(
    COUNTIF(A$2:A$1997, A537) &gt; 1,
    MIN(IF(A$2:A$1997=A537, IF(B$2:B$1997&gt;B537, B$2:B$1997))) - B537,
    TODAY() - Table3[[#This Row],[Date of Update]]
  ),
  TODAY()-Table3[[#This Row],[Date of Update]]
)&lt;=0,
TODAY()-Table3[[#This Row],[Date of Update]],
IFERROR(
  IF(
    COUNTIF(A$2:A$1997, A537) &gt; 1,
    MIN(IF(A$2:A$1997=A537, IF(B$2:B$1997&gt;B537, B$2:B$1997))) - B537,
    TODAY() - Table3[[#This Row],[Date of Update]]
  ),
  TODAY()-Table3[[#This Row],[Date of Update]]
)))</f>
        <v>19</v>
      </c>
      <c r="G537" s="7" t="str">
        <f>IF(Table3[[#This Row],[Stage]]="Closed",Table3[[#This Row],[Date of Update]]-(_xlfn.MINIFS(Table3[Date of Update],Table3[Ref], Table3[[#This Row],[Ref]])),"")</f>
        <v/>
      </c>
    </row>
    <row r="538" spans="1:7" x14ac:dyDescent="0.25">
      <c r="A538" s="4" t="s">
        <v>410</v>
      </c>
      <c r="B538" s="5">
        <v>45078</v>
      </c>
      <c r="C538" s="6" t="s">
        <v>8</v>
      </c>
      <c r="D538" s="6" t="s">
        <v>9</v>
      </c>
      <c r="E538" s="6" t="s">
        <v>377</v>
      </c>
      <c r="F538" s="6" cm="1">
        <f t="array" aca="1" ref="F538" ca="1">IF(Table3[[#This Row],[Stage]]="Closed",0,IF(IFERROR(
  IF(
    COUNTIF(A$2:A$1997, A538) &gt; 1,
    MIN(IF(A$2:A$1997=A538, IF(B$2:B$1997&gt;B538, B$2:B$1997))) - B538,
    TODAY() - Table3[[#This Row],[Date of Update]]
  ),
  TODAY()-Table3[[#This Row],[Date of Update]]
)&lt;=0,
TODAY()-Table3[[#This Row],[Date of Update]],
IFERROR(
  IF(
    COUNTIF(A$2:A$1997, A538) &gt; 1,
    MIN(IF(A$2:A$1997=A538, IF(B$2:B$1997&gt;B538, B$2:B$1997))) - B538,
    TODAY() - Table3[[#This Row],[Date of Update]]
  ),
  TODAY()-Table3[[#This Row],[Date of Update]]
)))</f>
        <v>13</v>
      </c>
      <c r="G538" s="7" t="str">
        <f>IF(Table3[[#This Row],[Stage]]="Closed",Table3[[#This Row],[Date of Update]]-(_xlfn.MINIFS(Table3[Date of Update],Table3[Ref], Table3[[#This Row],[Ref]])),"")</f>
        <v/>
      </c>
    </row>
    <row r="539" spans="1:7" x14ac:dyDescent="0.25">
      <c r="A539" s="4" t="s">
        <v>411</v>
      </c>
      <c r="B539" s="5">
        <v>45078</v>
      </c>
      <c r="C539" s="6" t="s">
        <v>8</v>
      </c>
      <c r="D539" s="6" t="s">
        <v>9</v>
      </c>
      <c r="E539" s="6" t="s">
        <v>80</v>
      </c>
      <c r="F539" s="6" cm="1">
        <f t="array" aca="1" ref="F539" ca="1">IF(Table3[[#This Row],[Stage]]="Closed",0,IF(IFERROR(
  IF(
    COUNTIF(A$2:A$1997, A539) &gt; 1,
    MIN(IF(A$2:A$1997=A539, IF(B$2:B$1997&gt;B539, B$2:B$1997))) - B539,
    TODAY() - Table3[[#This Row],[Date of Update]]
  ),
  TODAY()-Table3[[#This Row],[Date of Update]]
)&lt;=0,
TODAY()-Table3[[#This Row],[Date of Update]],
IFERROR(
  IF(
    COUNTIF(A$2:A$1997, A539) &gt; 1,
    MIN(IF(A$2:A$1997=A539, IF(B$2:B$1997&gt;B539, B$2:B$1997))) - B539,
    TODAY() - Table3[[#This Row],[Date of Update]]
  ),
  TODAY()-Table3[[#This Row],[Date of Update]]
)))</f>
        <v>21</v>
      </c>
      <c r="G539" s="7" t="str">
        <f>IF(Table3[[#This Row],[Stage]]="Closed",Table3[[#This Row],[Date of Update]]-(_xlfn.MINIFS(Table3[Date of Update],Table3[Ref], Table3[[#This Row],[Ref]])),"")</f>
        <v/>
      </c>
    </row>
    <row r="540" spans="1:7" x14ac:dyDescent="0.25">
      <c r="A540" s="4" t="s">
        <v>412</v>
      </c>
      <c r="B540" s="5">
        <v>45078</v>
      </c>
      <c r="C540" s="6" t="s">
        <v>8</v>
      </c>
      <c r="D540" s="6" t="s">
        <v>9</v>
      </c>
      <c r="E540" s="6" t="s">
        <v>80</v>
      </c>
      <c r="F540" s="6" cm="1">
        <f t="array" aca="1" ref="F540" ca="1">IF(Table3[[#This Row],[Stage]]="Closed",0,IF(IFERROR(
  IF(
    COUNTIF(A$2:A$1997, A540) &gt; 1,
    MIN(IF(A$2:A$1997=A540, IF(B$2:B$1997&gt;B540, B$2:B$1997))) - B540,
    TODAY() - Table3[[#This Row],[Date of Update]]
  ),
  TODAY()-Table3[[#This Row],[Date of Update]]
)&lt;=0,
TODAY()-Table3[[#This Row],[Date of Update]],
IFERROR(
  IF(
    COUNTIF(A$2:A$1997, A540) &gt; 1,
    MIN(IF(A$2:A$1997=A540, IF(B$2:B$1997&gt;B540, B$2:B$1997))) - B540,
    TODAY() - Table3[[#This Row],[Date of Update]]
  ),
  TODAY()-Table3[[#This Row],[Date of Update]]
)))</f>
        <v>343</v>
      </c>
      <c r="G540" s="7" t="str">
        <f>IF(Table3[[#This Row],[Stage]]="Closed",Table3[[#This Row],[Date of Update]]-(_xlfn.MINIFS(Table3[Date of Update],Table3[Ref], Table3[[#This Row],[Ref]])),"")</f>
        <v/>
      </c>
    </row>
    <row r="541" spans="1:7" x14ac:dyDescent="0.25">
      <c r="A541" s="4" t="s">
        <v>413</v>
      </c>
      <c r="B541" s="5">
        <v>45079</v>
      </c>
      <c r="C541" s="6" t="s">
        <v>8</v>
      </c>
      <c r="D541" s="6" t="s">
        <v>9</v>
      </c>
      <c r="E541" s="6" t="s">
        <v>414</v>
      </c>
      <c r="F541" s="6" cm="1">
        <f t="array" aca="1" ref="F541" ca="1">IF(Table3[[#This Row],[Stage]]="Closed",0,IF(IFERROR(
  IF(
    COUNTIF(A$2:A$1997, A541) &gt; 1,
    MIN(IF(A$2:A$1997=A541, IF(B$2:B$1997&gt;B541, B$2:B$1997))) - B541,
    TODAY() - Table3[[#This Row],[Date of Update]]
  ),
  TODAY()-Table3[[#This Row],[Date of Update]]
)&lt;=0,
TODAY()-Table3[[#This Row],[Date of Update]],
IFERROR(
  IF(
    COUNTIF(A$2:A$1997, A541) &gt; 1,
    MIN(IF(A$2:A$1997=A541, IF(B$2:B$1997&gt;B541, B$2:B$1997))) - B541,
    TODAY() - Table3[[#This Row],[Date of Update]]
  ),
  TODAY()-Table3[[#This Row],[Date of Update]]
)))</f>
        <v>91</v>
      </c>
      <c r="G541" s="7" t="str">
        <f>IF(Table3[[#This Row],[Stage]]="Closed",Table3[[#This Row],[Date of Update]]-(_xlfn.MINIFS(Table3[Date of Update],Table3[Ref], Table3[[#This Row],[Ref]])),"")</f>
        <v/>
      </c>
    </row>
    <row r="542" spans="1:7" x14ac:dyDescent="0.25">
      <c r="A542" s="4" t="s">
        <v>415</v>
      </c>
      <c r="B542" s="5">
        <v>45079</v>
      </c>
      <c r="C542" s="6" t="s">
        <v>8</v>
      </c>
      <c r="D542" s="6" t="s">
        <v>9</v>
      </c>
      <c r="E542" s="6" t="s">
        <v>244</v>
      </c>
      <c r="F542" s="6" cm="1">
        <f t="array" aca="1" ref="F542" ca="1">IF(Table3[[#This Row],[Stage]]="Closed",0,IF(IFERROR(
  IF(
    COUNTIF(A$2:A$1997, A542) &gt; 1,
    MIN(IF(A$2:A$1997=A542, IF(B$2:B$1997&gt;B542, B$2:B$1997))) - B542,
    TODAY() - Table3[[#This Row],[Date of Update]]
  ),
  TODAY()-Table3[[#This Row],[Date of Update]]
)&lt;=0,
TODAY()-Table3[[#This Row],[Date of Update]],
IFERROR(
  IF(
    COUNTIF(A$2:A$1997, A542) &gt; 1,
    MIN(IF(A$2:A$1997=A542, IF(B$2:B$1997&gt;B542, B$2:B$1997))) - B542,
    TODAY() - Table3[[#This Row],[Date of Update]]
  ),
  TODAY()-Table3[[#This Row],[Date of Update]]
)))</f>
        <v>887</v>
      </c>
      <c r="G542" s="7" t="str">
        <f>IF(Table3[[#This Row],[Stage]]="Closed",Table3[[#This Row],[Date of Update]]-(_xlfn.MINIFS(Table3[Date of Update],Table3[Ref], Table3[[#This Row],[Ref]])),"")</f>
        <v/>
      </c>
    </row>
    <row r="543" spans="1:7" x14ac:dyDescent="0.25">
      <c r="A543" s="4" t="s">
        <v>415</v>
      </c>
      <c r="B543" s="5">
        <v>45079</v>
      </c>
      <c r="C543" s="6" t="s">
        <v>17</v>
      </c>
      <c r="D543" s="6" t="s">
        <v>9</v>
      </c>
      <c r="E543" s="6" t="s">
        <v>244</v>
      </c>
      <c r="F543" s="6" cm="1">
        <f t="array" aca="1" ref="F543" ca="1">IF(Table3[[#This Row],[Stage]]="Closed",0,IF(IFERROR(
  IF(
    COUNTIF(A$2:A$1997, A543) &gt; 1,
    MIN(IF(A$2:A$1997=A543, IF(B$2:B$1997&gt;B543, B$2:B$1997))) - B543,
    TODAY() - Table3[[#This Row],[Date of Update]]
  ),
  TODAY()-Table3[[#This Row],[Date of Update]]
)&lt;=0,
TODAY()-Table3[[#This Row],[Date of Update]],
IFERROR(
  IF(
    COUNTIF(A$2:A$1997, A543) &gt; 1,
    MIN(IF(A$2:A$1997=A543, IF(B$2:B$1997&gt;B543, B$2:B$1997))) - B543,
    TODAY() - Table3[[#This Row],[Date of Update]]
  ),
  TODAY()-Table3[[#This Row],[Date of Update]]
)))</f>
        <v>0</v>
      </c>
      <c r="G543" s="7">
        <f>IF(Table3[[#This Row],[Stage]]="Closed",Table3[[#This Row],[Date of Update]]-(_xlfn.MINIFS(Table3[Date of Update],Table3[Ref], Table3[[#This Row],[Ref]])),"")</f>
        <v>0</v>
      </c>
    </row>
    <row r="544" spans="1:7" x14ac:dyDescent="0.25">
      <c r="A544" s="4" t="s">
        <v>400</v>
      </c>
      <c r="B544" s="5">
        <v>45079</v>
      </c>
      <c r="C544" s="6" t="s">
        <v>17</v>
      </c>
      <c r="D544" s="6" t="s">
        <v>9</v>
      </c>
      <c r="E544" s="6" t="s">
        <v>244</v>
      </c>
      <c r="F544" s="6" cm="1">
        <f t="array" aca="1" ref="F544" ca="1">IF(Table3[[#This Row],[Stage]]="Closed",0,IF(IFERROR(
  IF(
    COUNTIF(A$2:A$1997, A544) &gt; 1,
    MIN(IF(A$2:A$1997=A544, IF(B$2:B$1997&gt;B544, B$2:B$1997))) - B544,
    TODAY() - Table3[[#This Row],[Date of Update]]
  ),
  TODAY()-Table3[[#This Row],[Date of Update]]
)&lt;=0,
TODAY()-Table3[[#This Row],[Date of Update]],
IFERROR(
  IF(
    COUNTIF(A$2:A$1997, A544) &gt; 1,
    MIN(IF(A$2:A$1997=A544, IF(B$2:B$1997&gt;B544, B$2:B$1997))) - B544,
    TODAY() - Table3[[#This Row],[Date of Update]]
  ),
  TODAY()-Table3[[#This Row],[Date of Update]]
)))</f>
        <v>0</v>
      </c>
      <c r="G544" s="7">
        <f>IF(Table3[[#This Row],[Stage]]="Closed",Table3[[#This Row],[Date of Update]]-(_xlfn.MINIFS(Table3[Date of Update],Table3[Ref], Table3[[#This Row],[Ref]])),"")</f>
        <v>7</v>
      </c>
    </row>
    <row r="545" spans="1:7" x14ac:dyDescent="0.25">
      <c r="A545" s="4" t="s">
        <v>207</v>
      </c>
      <c r="B545" s="5">
        <v>45079</v>
      </c>
      <c r="C545" s="6" t="s">
        <v>17</v>
      </c>
      <c r="D545" s="6" t="s">
        <v>9</v>
      </c>
      <c r="E545" s="6" t="s">
        <v>208</v>
      </c>
      <c r="F545" s="6" cm="1">
        <f t="array" aca="1" ref="F545" ca="1">IF(Table3[[#This Row],[Stage]]="Closed",0,IF(IFERROR(
  IF(
    COUNTIF(A$2:A$1997, A545) &gt; 1,
    MIN(IF(A$2:A$1997=A545, IF(B$2:B$1997&gt;B545, B$2:B$1997))) - B545,
    TODAY() - Table3[[#This Row],[Date of Update]]
  ),
  TODAY()-Table3[[#This Row],[Date of Update]]
)&lt;=0,
TODAY()-Table3[[#This Row],[Date of Update]],
IFERROR(
  IF(
    COUNTIF(A$2:A$1997, A545) &gt; 1,
    MIN(IF(A$2:A$1997=A545, IF(B$2:B$1997&gt;B545, B$2:B$1997))) - B545,
    TODAY() - Table3[[#This Row],[Date of Update]]
  ),
  TODAY()-Table3[[#This Row],[Date of Update]]
)))</f>
        <v>0</v>
      </c>
      <c r="G545" s="7">
        <f>IF(Table3[[#This Row],[Stage]]="Closed",Table3[[#This Row],[Date of Update]]-(_xlfn.MINIFS(Table3[Date of Update],Table3[Ref], Table3[[#This Row],[Ref]])),"")</f>
        <v>190</v>
      </c>
    </row>
    <row r="546" spans="1:7" x14ac:dyDescent="0.25">
      <c r="A546" s="4" t="s">
        <v>399</v>
      </c>
      <c r="B546" s="5">
        <v>45079</v>
      </c>
      <c r="C546" s="6" t="s">
        <v>17</v>
      </c>
      <c r="D546" s="6" t="s">
        <v>9</v>
      </c>
      <c r="E546" s="6" t="s">
        <v>244</v>
      </c>
      <c r="F546" s="6" cm="1">
        <f t="array" aca="1" ref="F546" ca="1">IF(Table3[[#This Row],[Stage]]="Closed",0,IF(IFERROR(
  IF(
    COUNTIF(A$2:A$1997, A546) &gt; 1,
    MIN(IF(A$2:A$1997=A546, IF(B$2:B$1997&gt;B546, B$2:B$1997))) - B546,
    TODAY() - Table3[[#This Row],[Date of Update]]
  ),
  TODAY()-Table3[[#This Row],[Date of Update]]
)&lt;=0,
TODAY()-Table3[[#This Row],[Date of Update]],
IFERROR(
  IF(
    COUNTIF(A$2:A$1997, A546) &gt; 1,
    MIN(IF(A$2:A$1997=A546, IF(B$2:B$1997&gt;B546, B$2:B$1997))) - B546,
    TODAY() - Table3[[#This Row],[Date of Update]]
  ),
  TODAY()-Table3[[#This Row],[Date of Update]]
)))</f>
        <v>0</v>
      </c>
      <c r="G546" s="7">
        <f>IF(Table3[[#This Row],[Stage]]="Closed",Table3[[#This Row],[Date of Update]]-(_xlfn.MINIFS(Table3[Date of Update],Table3[Ref], Table3[[#This Row],[Ref]])),"")</f>
        <v>8</v>
      </c>
    </row>
    <row r="547" spans="1:7" x14ac:dyDescent="0.25">
      <c r="A547" s="4" t="s">
        <v>416</v>
      </c>
      <c r="B547" s="5">
        <v>45079</v>
      </c>
      <c r="C547" s="6" t="s">
        <v>8</v>
      </c>
      <c r="D547" s="6" t="s">
        <v>9</v>
      </c>
      <c r="E547" s="6" t="s">
        <v>417</v>
      </c>
      <c r="F547" s="6" cm="1">
        <f t="array" aca="1" ref="F547" ca="1">IF(Table3[[#This Row],[Stage]]="Closed",0,IF(IFERROR(
  IF(
    COUNTIF(A$2:A$1997, A547) &gt; 1,
    MIN(IF(A$2:A$1997=A547, IF(B$2:B$1997&gt;B547, B$2:B$1997))) - B547,
    TODAY() - Table3[[#This Row],[Date of Update]]
  ),
  TODAY()-Table3[[#This Row],[Date of Update]]
)&lt;=0,
TODAY()-Table3[[#This Row],[Date of Update]],
IFERROR(
  IF(
    COUNTIF(A$2:A$1997, A547) &gt; 1,
    MIN(IF(A$2:A$1997=A547, IF(B$2:B$1997&gt;B547, B$2:B$1997))) - B547,
    TODAY() - Table3[[#This Row],[Date of Update]]
  ),
  TODAY()-Table3[[#This Row],[Date of Update]]
)))</f>
        <v>27</v>
      </c>
      <c r="G547" s="7" t="str">
        <f>IF(Table3[[#This Row],[Stage]]="Closed",Table3[[#This Row],[Date of Update]]-(_xlfn.MINIFS(Table3[Date of Update],Table3[Ref], Table3[[#This Row],[Ref]])),"")</f>
        <v/>
      </c>
    </row>
    <row r="548" spans="1:7" x14ac:dyDescent="0.25">
      <c r="A548" s="4" t="s">
        <v>418</v>
      </c>
      <c r="B548" s="5">
        <v>45079</v>
      </c>
      <c r="C548" s="6" t="s">
        <v>8</v>
      </c>
      <c r="D548" s="6" t="s">
        <v>9</v>
      </c>
      <c r="E548" s="6" t="s">
        <v>377</v>
      </c>
      <c r="F548" s="6" cm="1">
        <f t="array" aca="1" ref="F548" ca="1">IF(Table3[[#This Row],[Stage]]="Closed",0,IF(IFERROR(
  IF(
    COUNTIF(A$2:A$1997, A548) &gt; 1,
    MIN(IF(A$2:A$1997=A548, IF(B$2:B$1997&gt;B548, B$2:B$1997))) - B548,
    TODAY() - Table3[[#This Row],[Date of Update]]
  ),
  TODAY()-Table3[[#This Row],[Date of Update]]
)&lt;=0,
TODAY()-Table3[[#This Row],[Date of Update]],
IFERROR(
  IF(
    COUNTIF(A$2:A$1997, A548) &gt; 1,
    MIN(IF(A$2:A$1997=A548, IF(B$2:B$1997&gt;B548, B$2:B$1997))) - B548,
    TODAY() - Table3[[#This Row],[Date of Update]]
  ),
  TODAY()-Table3[[#This Row],[Date of Update]]
)))</f>
        <v>12</v>
      </c>
      <c r="G548" s="7" t="str">
        <f>IF(Table3[[#This Row],[Stage]]="Closed",Table3[[#This Row],[Date of Update]]-(_xlfn.MINIFS(Table3[Date of Update],Table3[Ref], Table3[[#This Row],[Ref]])),"")</f>
        <v/>
      </c>
    </row>
    <row r="549" spans="1:7" x14ac:dyDescent="0.25">
      <c r="A549" s="4" t="s">
        <v>398</v>
      </c>
      <c r="B549" s="5">
        <v>45082</v>
      </c>
      <c r="C549" s="6" t="s">
        <v>17</v>
      </c>
      <c r="D549" s="6" t="s">
        <v>9</v>
      </c>
      <c r="E549" s="6" t="s">
        <v>244</v>
      </c>
      <c r="F549" s="6" cm="1">
        <f t="array" aca="1" ref="F549" ca="1">IF(Table3[[#This Row],[Stage]]="Closed",0,IF(IFERROR(
  IF(
    COUNTIF(A$2:A$1997, A549) &gt; 1,
    MIN(IF(A$2:A$1997=A549, IF(B$2:B$1997&gt;B549, B$2:B$1997))) - B549,
    TODAY() - Table3[[#This Row],[Date of Update]]
  ),
  TODAY()-Table3[[#This Row],[Date of Update]]
)&lt;=0,
TODAY()-Table3[[#This Row],[Date of Update]],
IFERROR(
  IF(
    COUNTIF(A$2:A$1997, A549) &gt; 1,
    MIN(IF(A$2:A$1997=A549, IF(B$2:B$1997&gt;B549, B$2:B$1997))) - B549,
    TODAY() - Table3[[#This Row],[Date of Update]]
  ),
  TODAY()-Table3[[#This Row],[Date of Update]]
)))</f>
        <v>0</v>
      </c>
      <c r="G549" s="7">
        <f>IF(Table3[[#This Row],[Stage]]="Closed",Table3[[#This Row],[Date of Update]]-(_xlfn.MINIFS(Table3[Date of Update],Table3[Ref], Table3[[#This Row],[Ref]])),"")</f>
        <v>11</v>
      </c>
    </row>
    <row r="550" spans="1:7" x14ac:dyDescent="0.25">
      <c r="A550" s="4" t="s">
        <v>419</v>
      </c>
      <c r="B550" s="5">
        <v>45082</v>
      </c>
      <c r="C550" s="6" t="s">
        <v>8</v>
      </c>
      <c r="D550" s="6" t="s">
        <v>9</v>
      </c>
      <c r="E550" s="6" t="s">
        <v>420</v>
      </c>
      <c r="F550" s="6" cm="1">
        <f t="array" aca="1" ref="F550" ca="1">IF(Table3[[#This Row],[Stage]]="Closed",0,IF(IFERROR(
  IF(
    COUNTIF(A$2:A$1997, A550) &gt; 1,
    MIN(IF(A$2:A$1997=A550, IF(B$2:B$1997&gt;B550, B$2:B$1997))) - B550,
    TODAY() - Table3[[#This Row],[Date of Update]]
  ),
  TODAY()-Table3[[#This Row],[Date of Update]]
)&lt;=0,
TODAY()-Table3[[#This Row],[Date of Update]],
IFERROR(
  IF(
    COUNTIF(A$2:A$1997, A550) &gt; 1,
    MIN(IF(A$2:A$1997=A550, IF(B$2:B$1997&gt;B550, B$2:B$1997))) - B550,
    TODAY() - Table3[[#This Row],[Date of Update]]
  ),
  TODAY()-Table3[[#This Row],[Date of Update]]
)))</f>
        <v>65</v>
      </c>
      <c r="G550" s="7" t="str">
        <f>IF(Table3[[#This Row],[Stage]]="Closed",Table3[[#This Row],[Date of Update]]-(_xlfn.MINIFS(Table3[Date of Update],Table3[Ref], Table3[[#This Row],[Ref]])),"")</f>
        <v/>
      </c>
    </row>
    <row r="551" spans="1:7" x14ac:dyDescent="0.25">
      <c r="A551" s="4" t="s">
        <v>384</v>
      </c>
      <c r="B551" s="5">
        <v>45083</v>
      </c>
      <c r="C551" s="6" t="s">
        <v>17</v>
      </c>
      <c r="D551" s="6" t="s">
        <v>9</v>
      </c>
      <c r="E551" s="6" t="s">
        <v>385</v>
      </c>
      <c r="F551" s="6" cm="1">
        <f t="array" aca="1" ref="F551" ca="1">IF(Table3[[#This Row],[Stage]]="Closed",0,IF(IFERROR(
  IF(
    COUNTIF(A$2:A$1997, A551) &gt; 1,
    MIN(IF(A$2:A$1997=A551, IF(B$2:B$1997&gt;B551, B$2:B$1997))) - B551,
    TODAY() - Table3[[#This Row],[Date of Update]]
  ),
  TODAY()-Table3[[#This Row],[Date of Update]]
)&lt;=0,
TODAY()-Table3[[#This Row],[Date of Update]],
IFERROR(
  IF(
    COUNTIF(A$2:A$1997, A551) &gt; 1,
    MIN(IF(A$2:A$1997=A551, IF(B$2:B$1997&gt;B551, B$2:B$1997))) - B551,
    TODAY() - Table3[[#This Row],[Date of Update]]
  ),
  TODAY()-Table3[[#This Row],[Date of Update]]
)))</f>
        <v>0</v>
      </c>
      <c r="G551" s="7">
        <f>IF(Table3[[#This Row],[Stage]]="Closed",Table3[[#This Row],[Date of Update]]-(_xlfn.MINIFS(Table3[Date of Update],Table3[Ref], Table3[[#This Row],[Ref]])),"")</f>
        <v>25</v>
      </c>
    </row>
    <row r="552" spans="1:7" x14ac:dyDescent="0.25">
      <c r="A552" s="4" t="s">
        <v>421</v>
      </c>
      <c r="B552" s="5">
        <v>45085</v>
      </c>
      <c r="C552" s="6" t="s">
        <v>8</v>
      </c>
      <c r="D552" s="6" t="s">
        <v>9</v>
      </c>
      <c r="E552" s="6" t="s">
        <v>422</v>
      </c>
      <c r="F552" s="6" cm="1">
        <f t="array" aca="1" ref="F552" ca="1">IF(Table3[[#This Row],[Stage]]="Closed",0,IF(IFERROR(
  IF(
    COUNTIF(A$2:A$1997, A552) &gt; 1,
    MIN(IF(A$2:A$1997=A552, IF(B$2:B$1997&gt;B552, B$2:B$1997))) - B552,
    TODAY() - Table3[[#This Row],[Date of Update]]
  ),
  TODAY()-Table3[[#This Row],[Date of Update]]
)&lt;=0,
TODAY()-Table3[[#This Row],[Date of Update]],
IFERROR(
  IF(
    COUNTIF(A$2:A$1997, A552) &gt; 1,
    MIN(IF(A$2:A$1997=A552, IF(B$2:B$1997&gt;B552, B$2:B$1997))) - B552,
    TODAY() - Table3[[#This Row],[Date of Update]]
  ),
  TODAY()-Table3[[#This Row],[Date of Update]]
)))</f>
        <v>64</v>
      </c>
      <c r="G552" s="7" t="str">
        <f>IF(Table3[[#This Row],[Stage]]="Closed",Table3[[#This Row],[Date of Update]]-(_xlfn.MINIFS(Table3[Date of Update],Table3[Ref], Table3[[#This Row],[Ref]])),"")</f>
        <v/>
      </c>
    </row>
    <row r="553" spans="1:7" x14ac:dyDescent="0.25">
      <c r="A553" s="4" t="s">
        <v>423</v>
      </c>
      <c r="B553" s="5">
        <v>45085</v>
      </c>
      <c r="C553" s="6" t="s">
        <v>8</v>
      </c>
      <c r="D553" s="6" t="s">
        <v>9</v>
      </c>
      <c r="E553" s="6" t="s">
        <v>424</v>
      </c>
      <c r="F553" s="6" cm="1">
        <f t="array" aca="1" ref="F553" ca="1">IF(Table3[[#This Row],[Stage]]="Closed",0,IF(IFERROR(
  IF(
    COUNTIF(A$2:A$1997, A553) &gt; 1,
    MIN(IF(A$2:A$1997=A553, IF(B$2:B$1997&gt;B553, B$2:B$1997))) - B553,
    TODAY() - Table3[[#This Row],[Date of Update]]
  ),
  TODAY()-Table3[[#This Row],[Date of Update]]
)&lt;=0,
TODAY()-Table3[[#This Row],[Date of Update]],
IFERROR(
  IF(
    COUNTIF(A$2:A$1997, A553) &gt; 1,
    MIN(IF(A$2:A$1997=A553, IF(B$2:B$1997&gt;B553, B$2:B$1997))) - B553,
    TODAY() - Table3[[#This Row],[Date of Update]]
  ),
  TODAY()-Table3[[#This Row],[Date of Update]]
)))</f>
        <v>1</v>
      </c>
      <c r="G553" s="7" t="str">
        <f>IF(Table3[[#This Row],[Stage]]="Closed",Table3[[#This Row],[Date of Update]]-(_xlfn.MINIFS(Table3[Date of Update],Table3[Ref], Table3[[#This Row],[Ref]])),"")</f>
        <v/>
      </c>
    </row>
    <row r="554" spans="1:7" x14ac:dyDescent="0.25">
      <c r="A554" s="4" t="s">
        <v>425</v>
      </c>
      <c r="B554" s="5">
        <v>45085</v>
      </c>
      <c r="C554" s="6" t="s">
        <v>8</v>
      </c>
      <c r="D554" s="6" t="s">
        <v>9</v>
      </c>
      <c r="E554" s="6" t="s">
        <v>426</v>
      </c>
      <c r="F554" s="6" cm="1">
        <f t="array" aca="1" ref="F554" ca="1">IF(Table3[[#This Row],[Stage]]="Closed",0,IF(IFERROR(
  IF(
    COUNTIF(A$2:A$1997, A554) &gt; 1,
    MIN(IF(A$2:A$1997=A554, IF(B$2:B$1997&gt;B554, B$2:B$1997))) - B554,
    TODAY() - Table3[[#This Row],[Date of Update]]
  ),
  TODAY()-Table3[[#This Row],[Date of Update]]
)&lt;=0,
TODAY()-Table3[[#This Row],[Date of Update]],
IFERROR(
  IF(
    COUNTIF(A$2:A$1997, A554) &gt; 1,
    MIN(IF(A$2:A$1997=A554, IF(B$2:B$1997&gt;B554, B$2:B$1997))) - B554,
    TODAY() - Table3[[#This Row],[Date of Update]]
  ),
  TODAY()-Table3[[#This Row],[Date of Update]]
)))</f>
        <v>19</v>
      </c>
      <c r="G554" s="7" t="str">
        <f>IF(Table3[[#This Row],[Stage]]="Closed",Table3[[#This Row],[Date of Update]]-(_xlfn.MINIFS(Table3[Date of Update],Table3[Ref], Table3[[#This Row],[Ref]])),"")</f>
        <v/>
      </c>
    </row>
    <row r="555" spans="1:7" x14ac:dyDescent="0.25">
      <c r="A555" s="4" t="s">
        <v>423</v>
      </c>
      <c r="B555" s="5">
        <v>45086</v>
      </c>
      <c r="C555" s="6" t="s">
        <v>17</v>
      </c>
      <c r="D555" s="6" t="s">
        <v>9</v>
      </c>
      <c r="E555" s="6" t="s">
        <v>424</v>
      </c>
      <c r="F555" s="6" cm="1">
        <f t="array" aca="1" ref="F555" ca="1">IF(Table3[[#This Row],[Stage]]="Closed",0,IF(IFERROR(
  IF(
    COUNTIF(A$2:A$1997, A555) &gt; 1,
    MIN(IF(A$2:A$1997=A555, IF(B$2:B$1997&gt;B555, B$2:B$1997))) - B555,
    TODAY() - Table3[[#This Row],[Date of Update]]
  ),
  TODAY()-Table3[[#This Row],[Date of Update]]
)&lt;=0,
TODAY()-Table3[[#This Row],[Date of Update]],
IFERROR(
  IF(
    COUNTIF(A$2:A$1997, A555) &gt; 1,
    MIN(IF(A$2:A$1997=A555, IF(B$2:B$1997&gt;B555, B$2:B$1997))) - B555,
    TODAY() - Table3[[#This Row],[Date of Update]]
  ),
  TODAY()-Table3[[#This Row],[Date of Update]]
)))</f>
        <v>0</v>
      </c>
      <c r="G555" s="7">
        <f>IF(Table3[[#This Row],[Stage]]="Closed",Table3[[#This Row],[Date of Update]]-(_xlfn.MINIFS(Table3[Date of Update],Table3[Ref], Table3[[#This Row],[Ref]])),"")</f>
        <v>1</v>
      </c>
    </row>
    <row r="556" spans="1:7" x14ac:dyDescent="0.25">
      <c r="A556" s="4" t="s">
        <v>388</v>
      </c>
      <c r="B556" s="5">
        <v>45091</v>
      </c>
      <c r="C556" s="6" t="s">
        <v>17</v>
      </c>
      <c r="D556" s="6" t="s">
        <v>9</v>
      </c>
      <c r="E556" s="6" t="s">
        <v>377</v>
      </c>
      <c r="F556" s="6" cm="1">
        <f t="array" aca="1" ref="F556" ca="1">IF(Table3[[#This Row],[Stage]]="Closed",0,IF(IFERROR(
  IF(
    COUNTIF(A$2:A$1997, A556) &gt; 1,
    MIN(IF(A$2:A$1997=A556, IF(B$2:B$1997&gt;B556, B$2:B$1997))) - B556,
    TODAY() - Table3[[#This Row],[Date of Update]]
  ),
  TODAY()-Table3[[#This Row],[Date of Update]]
)&lt;=0,
TODAY()-Table3[[#This Row],[Date of Update]],
IFERROR(
  IF(
    COUNTIF(A$2:A$1997, A556) &gt; 1,
    MIN(IF(A$2:A$1997=A556, IF(B$2:B$1997&gt;B556, B$2:B$1997))) - B556,
    TODAY() - Table3[[#This Row],[Date of Update]]
  ),
  TODAY()-Table3[[#This Row],[Date of Update]]
)))</f>
        <v>0</v>
      </c>
      <c r="G556" s="7">
        <f>IF(Table3[[#This Row],[Stage]]="Closed",Table3[[#This Row],[Date of Update]]-(_xlfn.MINIFS(Table3[Date of Update],Table3[Ref], Table3[[#This Row],[Ref]])),"")</f>
        <v>30</v>
      </c>
    </row>
    <row r="557" spans="1:7" x14ac:dyDescent="0.25">
      <c r="A557" s="4" t="s">
        <v>389</v>
      </c>
      <c r="B557" s="5">
        <v>45091</v>
      </c>
      <c r="C557" s="6" t="s">
        <v>17</v>
      </c>
      <c r="D557" s="6" t="s">
        <v>9</v>
      </c>
      <c r="E557" s="6" t="s">
        <v>377</v>
      </c>
      <c r="F557" s="6" cm="1">
        <f t="array" aca="1" ref="F557" ca="1">IF(Table3[[#This Row],[Stage]]="Closed",0,IF(IFERROR(
  IF(
    COUNTIF(A$2:A$1997, A557) &gt; 1,
    MIN(IF(A$2:A$1997=A557, IF(B$2:B$1997&gt;B557, B$2:B$1997))) - B557,
    TODAY() - Table3[[#This Row],[Date of Update]]
  ),
  TODAY()-Table3[[#This Row],[Date of Update]]
)&lt;=0,
TODAY()-Table3[[#This Row],[Date of Update]],
IFERROR(
  IF(
    COUNTIF(A$2:A$1997, A557) &gt; 1,
    MIN(IF(A$2:A$1997=A557, IF(B$2:B$1997&gt;B557, B$2:B$1997))) - B557,
    TODAY() - Table3[[#This Row],[Date of Update]]
  ),
  TODAY()-Table3[[#This Row],[Date of Update]]
)))</f>
        <v>0</v>
      </c>
      <c r="G557" s="7">
        <f>IF(Table3[[#This Row],[Stage]]="Closed",Table3[[#This Row],[Date of Update]]-(_xlfn.MINIFS(Table3[Date of Update],Table3[Ref], Table3[[#This Row],[Ref]])),"")</f>
        <v>30</v>
      </c>
    </row>
    <row r="558" spans="1:7" x14ac:dyDescent="0.25">
      <c r="A558" s="4" t="s">
        <v>376</v>
      </c>
      <c r="B558" s="5">
        <v>45091</v>
      </c>
      <c r="C558" s="6" t="s">
        <v>17</v>
      </c>
      <c r="D558" s="6" t="s">
        <v>9</v>
      </c>
      <c r="E558" s="6" t="s">
        <v>377</v>
      </c>
      <c r="F558" s="6" cm="1">
        <f t="array" aca="1" ref="F558" ca="1">IF(Table3[[#This Row],[Stage]]="Closed",0,IF(IFERROR(
  IF(
    COUNTIF(A$2:A$1997, A558) &gt; 1,
    MIN(IF(A$2:A$1997=A558, IF(B$2:B$1997&gt;B558, B$2:B$1997))) - B558,
    TODAY() - Table3[[#This Row],[Date of Update]]
  ),
  TODAY()-Table3[[#This Row],[Date of Update]]
)&lt;=0,
TODAY()-Table3[[#This Row],[Date of Update]],
IFERROR(
  IF(
    COUNTIF(A$2:A$1997, A558) &gt; 1,
    MIN(IF(A$2:A$1997=A558, IF(B$2:B$1997&gt;B558, B$2:B$1997))) - B558,
    TODAY() - Table3[[#This Row],[Date of Update]]
  ),
  TODAY()-Table3[[#This Row],[Date of Update]]
)))</f>
        <v>0</v>
      </c>
      <c r="G558" s="7">
        <f>IF(Table3[[#This Row],[Stage]]="Closed",Table3[[#This Row],[Date of Update]]-(_xlfn.MINIFS(Table3[Date of Update],Table3[Ref], Table3[[#This Row],[Ref]])),"")</f>
        <v>58</v>
      </c>
    </row>
    <row r="559" spans="1:7" x14ac:dyDescent="0.25">
      <c r="A559" s="4" t="s">
        <v>378</v>
      </c>
      <c r="B559" s="5">
        <v>45091</v>
      </c>
      <c r="C559" s="6" t="s">
        <v>17</v>
      </c>
      <c r="D559" s="6" t="s">
        <v>9</v>
      </c>
      <c r="E559" s="6" t="s">
        <v>377</v>
      </c>
      <c r="F559" s="6" cm="1">
        <f t="array" aca="1" ref="F559" ca="1">IF(Table3[[#This Row],[Stage]]="Closed",0,IF(IFERROR(
  IF(
    COUNTIF(A$2:A$1997, A559) &gt; 1,
    MIN(IF(A$2:A$1997=A559, IF(B$2:B$1997&gt;B559, B$2:B$1997))) - B559,
    TODAY() - Table3[[#This Row],[Date of Update]]
  ),
  TODAY()-Table3[[#This Row],[Date of Update]]
)&lt;=0,
TODAY()-Table3[[#This Row],[Date of Update]],
IFERROR(
  IF(
    COUNTIF(A$2:A$1997, A559) &gt; 1,
    MIN(IF(A$2:A$1997=A559, IF(B$2:B$1997&gt;B559, B$2:B$1997))) - B559,
    TODAY() - Table3[[#This Row],[Date of Update]]
  ),
  TODAY()-Table3[[#This Row],[Date of Update]]
)))</f>
        <v>0</v>
      </c>
      <c r="G559" s="7">
        <f>IF(Table3[[#This Row],[Stage]]="Closed",Table3[[#This Row],[Date of Update]]-(_xlfn.MINIFS(Table3[Date of Update],Table3[Ref], Table3[[#This Row],[Ref]])),"")</f>
        <v>58</v>
      </c>
    </row>
    <row r="560" spans="1:7" x14ac:dyDescent="0.25">
      <c r="A560" s="4" t="s">
        <v>410</v>
      </c>
      <c r="B560" s="5">
        <v>45091</v>
      </c>
      <c r="C560" s="6" t="s">
        <v>17</v>
      </c>
      <c r="D560" s="6" t="s">
        <v>9</v>
      </c>
      <c r="E560" s="6" t="s">
        <v>377</v>
      </c>
      <c r="F560" s="6" cm="1">
        <f t="array" aca="1" ref="F560" ca="1">IF(Table3[[#This Row],[Stage]]="Closed",0,IF(IFERROR(
  IF(
    COUNTIF(A$2:A$1997, A560) &gt; 1,
    MIN(IF(A$2:A$1997=A560, IF(B$2:B$1997&gt;B560, B$2:B$1997))) - B560,
    TODAY() - Table3[[#This Row],[Date of Update]]
  ),
  TODAY()-Table3[[#This Row],[Date of Update]]
)&lt;=0,
TODAY()-Table3[[#This Row],[Date of Update]],
IFERROR(
  IF(
    COUNTIF(A$2:A$1997, A560) &gt; 1,
    MIN(IF(A$2:A$1997=A560, IF(B$2:B$1997&gt;B560, B$2:B$1997))) - B560,
    TODAY() - Table3[[#This Row],[Date of Update]]
  ),
  TODAY()-Table3[[#This Row],[Date of Update]]
)))</f>
        <v>0</v>
      </c>
      <c r="G560" s="7">
        <f>IF(Table3[[#This Row],[Stage]]="Closed",Table3[[#This Row],[Date of Update]]-(_xlfn.MINIFS(Table3[Date of Update],Table3[Ref], Table3[[#This Row],[Ref]])),"")</f>
        <v>13</v>
      </c>
    </row>
    <row r="561" spans="1:7" x14ac:dyDescent="0.25">
      <c r="A561" s="4" t="s">
        <v>404</v>
      </c>
      <c r="B561" s="5">
        <v>45091</v>
      </c>
      <c r="C561" s="6" t="s">
        <v>17</v>
      </c>
      <c r="D561" s="6" t="s">
        <v>9</v>
      </c>
      <c r="E561" s="6" t="s">
        <v>377</v>
      </c>
      <c r="F561" s="6" cm="1">
        <f t="array" aca="1" ref="F561" ca="1">IF(Table3[[#This Row],[Stage]]="Closed",0,IF(IFERROR(
  IF(
    COUNTIF(A$2:A$1997, A561) &gt; 1,
    MIN(IF(A$2:A$1997=A561, IF(B$2:B$1997&gt;B561, B$2:B$1997))) - B561,
    TODAY() - Table3[[#This Row],[Date of Update]]
  ),
  TODAY()-Table3[[#This Row],[Date of Update]]
)&lt;=0,
TODAY()-Table3[[#This Row],[Date of Update]],
IFERROR(
  IF(
    COUNTIF(A$2:A$1997, A561) &gt; 1,
    MIN(IF(A$2:A$1997=A561, IF(B$2:B$1997&gt;B561, B$2:B$1997))) - B561,
    TODAY() - Table3[[#This Row],[Date of Update]]
  ),
  TODAY()-Table3[[#This Row],[Date of Update]]
)))</f>
        <v>0</v>
      </c>
      <c r="G561" s="7">
        <f>IF(Table3[[#This Row],[Stage]]="Closed",Table3[[#This Row],[Date of Update]]-(_xlfn.MINIFS(Table3[Date of Update],Table3[Ref], Table3[[#This Row],[Ref]])),"")</f>
        <v>14</v>
      </c>
    </row>
    <row r="562" spans="1:7" x14ac:dyDescent="0.25">
      <c r="A562" s="4" t="s">
        <v>407</v>
      </c>
      <c r="B562" s="5">
        <v>45091</v>
      </c>
      <c r="C562" s="6" t="s">
        <v>17</v>
      </c>
      <c r="D562" s="6" t="s">
        <v>9</v>
      </c>
      <c r="E562" s="6" t="s">
        <v>377</v>
      </c>
      <c r="F562" s="6" cm="1">
        <f t="array" aca="1" ref="F562" ca="1">IF(Table3[[#This Row],[Stage]]="Closed",0,IF(IFERROR(
  IF(
    COUNTIF(A$2:A$1997, A562) &gt; 1,
    MIN(IF(A$2:A$1997=A562, IF(B$2:B$1997&gt;B562, B$2:B$1997))) - B562,
    TODAY() - Table3[[#This Row],[Date of Update]]
  ),
  TODAY()-Table3[[#This Row],[Date of Update]]
)&lt;=0,
TODAY()-Table3[[#This Row],[Date of Update]],
IFERROR(
  IF(
    COUNTIF(A$2:A$1997, A562) &gt; 1,
    MIN(IF(A$2:A$1997=A562, IF(B$2:B$1997&gt;B562, B$2:B$1997))) - B562,
    TODAY() - Table3[[#This Row],[Date of Update]]
  ),
  TODAY()-Table3[[#This Row],[Date of Update]]
)))</f>
        <v>0</v>
      </c>
      <c r="G562" s="7">
        <f>IF(Table3[[#This Row],[Stage]]="Closed",Table3[[#This Row],[Date of Update]]-(_xlfn.MINIFS(Table3[Date of Update],Table3[Ref], Table3[[#This Row],[Ref]])),"")</f>
        <v>14</v>
      </c>
    </row>
    <row r="563" spans="1:7" x14ac:dyDescent="0.25">
      <c r="A563" s="4" t="s">
        <v>418</v>
      </c>
      <c r="B563" s="5">
        <v>45091</v>
      </c>
      <c r="C563" s="6" t="s">
        <v>17</v>
      </c>
      <c r="D563" s="6" t="s">
        <v>9</v>
      </c>
      <c r="E563" s="6" t="s">
        <v>377</v>
      </c>
      <c r="F563" s="6" cm="1">
        <f t="array" aca="1" ref="F563" ca="1">IF(Table3[[#This Row],[Stage]]="Closed",0,IF(IFERROR(
  IF(
    COUNTIF(A$2:A$1997, A563) &gt; 1,
    MIN(IF(A$2:A$1997=A563, IF(B$2:B$1997&gt;B563, B$2:B$1997))) - B563,
    TODAY() - Table3[[#This Row],[Date of Update]]
  ),
  TODAY()-Table3[[#This Row],[Date of Update]]
)&lt;=0,
TODAY()-Table3[[#This Row],[Date of Update]],
IFERROR(
  IF(
    COUNTIF(A$2:A$1997, A563) &gt; 1,
    MIN(IF(A$2:A$1997=A563, IF(B$2:B$1997&gt;B563, B$2:B$1997))) - B563,
    TODAY() - Table3[[#This Row],[Date of Update]]
  ),
  TODAY()-Table3[[#This Row],[Date of Update]]
)))</f>
        <v>0</v>
      </c>
      <c r="G563" s="7">
        <f>IF(Table3[[#This Row],[Stage]]="Closed",Table3[[#This Row],[Date of Update]]-(_xlfn.MINIFS(Table3[Date of Update],Table3[Ref], Table3[[#This Row],[Ref]])),"")</f>
        <v>12</v>
      </c>
    </row>
    <row r="564" spans="1:7" x14ac:dyDescent="0.25">
      <c r="A564" s="4" t="s">
        <v>401</v>
      </c>
      <c r="B564" s="5">
        <v>45091</v>
      </c>
      <c r="C564" s="6" t="s">
        <v>17</v>
      </c>
      <c r="D564" s="6" t="s">
        <v>9</v>
      </c>
      <c r="E564" s="6" t="s">
        <v>377</v>
      </c>
      <c r="F564" s="6" cm="1">
        <f t="array" aca="1" ref="F564" ca="1">IF(Table3[[#This Row],[Stage]]="Closed",0,IF(IFERROR(
  IF(
    COUNTIF(A$2:A$1997, A564) &gt; 1,
    MIN(IF(A$2:A$1997=A564, IF(B$2:B$1997&gt;B564, B$2:B$1997))) - B564,
    TODAY() - Table3[[#This Row],[Date of Update]]
  ),
  TODAY()-Table3[[#This Row],[Date of Update]]
)&lt;=0,
TODAY()-Table3[[#This Row],[Date of Update]],
IFERROR(
  IF(
    COUNTIF(A$2:A$1997, A564) &gt; 1,
    MIN(IF(A$2:A$1997=A564, IF(B$2:B$1997&gt;B564, B$2:B$1997))) - B564,
    TODAY() - Table3[[#This Row],[Date of Update]]
  ),
  TODAY()-Table3[[#This Row],[Date of Update]]
)))</f>
        <v>0</v>
      </c>
      <c r="G564" s="7">
        <f>IF(Table3[[#This Row],[Stage]]="Closed",Table3[[#This Row],[Date of Update]]-(_xlfn.MINIFS(Table3[Date of Update],Table3[Ref], Table3[[#This Row],[Ref]])),"")</f>
        <v>15</v>
      </c>
    </row>
    <row r="565" spans="1:7" x14ac:dyDescent="0.25">
      <c r="A565" s="4" t="s">
        <v>427</v>
      </c>
      <c r="B565" s="5">
        <v>45096</v>
      </c>
      <c r="C565" s="6" t="s">
        <v>8</v>
      </c>
      <c r="D565" s="6" t="s">
        <v>9</v>
      </c>
      <c r="E565" s="6" t="s">
        <v>80</v>
      </c>
      <c r="F565" s="6" cm="1">
        <f t="array" aca="1" ref="F565" ca="1">IF(Table3[[#This Row],[Stage]]="Closed",0,IF(IFERROR(
  IF(
    COUNTIF(A$2:A$1997, A565) &gt; 1,
    MIN(IF(A$2:A$1997=A565, IF(B$2:B$1997&gt;B565, B$2:B$1997))) - B565,
    TODAY() - Table3[[#This Row],[Date of Update]]
  ),
  TODAY()-Table3[[#This Row],[Date of Update]]
)&lt;=0,
TODAY()-Table3[[#This Row],[Date of Update]],
IFERROR(
  IF(
    COUNTIF(A$2:A$1997, A565) &gt; 1,
    MIN(IF(A$2:A$1997=A565, IF(B$2:B$1997&gt;B565, B$2:B$1997))) - B565,
    TODAY() - Table3[[#This Row],[Date of Update]]
  ),
  TODAY()-Table3[[#This Row],[Date of Update]]
)))</f>
        <v>31</v>
      </c>
      <c r="G565" s="7" t="str">
        <f>IF(Table3[[#This Row],[Stage]]="Closed",Table3[[#This Row],[Date of Update]]-(_xlfn.MINIFS(Table3[Date of Update],Table3[Ref], Table3[[#This Row],[Ref]])),"")</f>
        <v/>
      </c>
    </row>
    <row r="566" spans="1:7" x14ac:dyDescent="0.25">
      <c r="A566" s="4" t="s">
        <v>428</v>
      </c>
      <c r="B566" s="5">
        <v>45096</v>
      </c>
      <c r="C566" s="6" t="s">
        <v>8</v>
      </c>
      <c r="D566" s="6" t="s">
        <v>9</v>
      </c>
      <c r="E566" s="6" t="s">
        <v>429</v>
      </c>
      <c r="F566" s="6" cm="1">
        <f t="array" aca="1" ref="F566" ca="1">IF(Table3[[#This Row],[Stage]]="Closed",0,IF(IFERROR(
  IF(
    COUNTIF(A$2:A$1997, A566) &gt; 1,
    MIN(IF(A$2:A$1997=A566, IF(B$2:B$1997&gt;B566, B$2:B$1997))) - B566,
    TODAY() - Table3[[#This Row],[Date of Update]]
  ),
  TODAY()-Table3[[#This Row],[Date of Update]]
)&lt;=0,
TODAY()-Table3[[#This Row],[Date of Update]],
IFERROR(
  IF(
    COUNTIF(A$2:A$1997, A566) &gt; 1,
    MIN(IF(A$2:A$1997=A566, IF(B$2:B$1997&gt;B566, B$2:B$1997))) - B566,
    TODAY() - Table3[[#This Row],[Date of Update]]
  ),
  TODAY()-Table3[[#This Row],[Date of Update]]
)))</f>
        <v>74</v>
      </c>
      <c r="G566" s="7" t="str">
        <f>IF(Table3[[#This Row],[Stage]]="Closed",Table3[[#This Row],[Date of Update]]-(_xlfn.MINIFS(Table3[Date of Update],Table3[Ref], Table3[[#This Row],[Ref]])),"")</f>
        <v/>
      </c>
    </row>
    <row r="567" spans="1:7" x14ac:dyDescent="0.25">
      <c r="A567" s="4" t="s">
        <v>430</v>
      </c>
      <c r="B567" s="5">
        <v>45096</v>
      </c>
      <c r="C567" s="6" t="s">
        <v>8</v>
      </c>
      <c r="D567" s="6" t="s">
        <v>9</v>
      </c>
      <c r="E567" s="6" t="s">
        <v>256</v>
      </c>
      <c r="F567" s="6" cm="1">
        <f t="array" aca="1" ref="F567" ca="1">IF(Table3[[#This Row],[Stage]]="Closed",0,IF(IFERROR(
  IF(
    COUNTIF(A$2:A$1997, A567) &gt; 1,
    MIN(IF(A$2:A$1997=A567, IF(B$2:B$1997&gt;B567, B$2:B$1997))) - B567,
    TODAY() - Table3[[#This Row],[Date of Update]]
  ),
  TODAY()-Table3[[#This Row],[Date of Update]]
)&lt;=0,
TODAY()-Table3[[#This Row],[Date of Update]],
IFERROR(
  IF(
    COUNTIF(A$2:A$1997, A567) &gt; 1,
    MIN(IF(A$2:A$1997=A567, IF(B$2:B$1997&gt;B567, B$2:B$1997))) - B567,
    TODAY() - Table3[[#This Row],[Date of Update]]
  ),
  TODAY()-Table3[[#This Row],[Date of Update]]
)))</f>
        <v>74</v>
      </c>
      <c r="G567" s="7" t="str">
        <f>IF(Table3[[#This Row],[Stage]]="Closed",Table3[[#This Row],[Date of Update]]-(_xlfn.MINIFS(Table3[Date of Update],Table3[Ref], Table3[[#This Row],[Ref]])),"")</f>
        <v/>
      </c>
    </row>
    <row r="568" spans="1:7" x14ac:dyDescent="0.25">
      <c r="A568" s="4" t="s">
        <v>408</v>
      </c>
      <c r="B568" s="5">
        <v>45097</v>
      </c>
      <c r="C568" s="6" t="s">
        <v>17</v>
      </c>
      <c r="D568" s="6" t="s">
        <v>9</v>
      </c>
      <c r="E568" s="6" t="s">
        <v>409</v>
      </c>
      <c r="F568" s="6" cm="1">
        <f t="array" aca="1" ref="F568" ca="1">IF(Table3[[#This Row],[Stage]]="Closed",0,IF(IFERROR(
  IF(
    COUNTIF(A$2:A$1997, A568) &gt; 1,
    MIN(IF(A$2:A$1997=A568, IF(B$2:B$1997&gt;B568, B$2:B$1997))) - B568,
    TODAY() - Table3[[#This Row],[Date of Update]]
  ),
  TODAY()-Table3[[#This Row],[Date of Update]]
)&lt;=0,
TODAY()-Table3[[#This Row],[Date of Update]],
IFERROR(
  IF(
    COUNTIF(A$2:A$1997, A568) &gt; 1,
    MIN(IF(A$2:A$1997=A568, IF(B$2:B$1997&gt;B568, B$2:B$1997))) - B568,
    TODAY() - Table3[[#This Row],[Date of Update]]
  ),
  TODAY()-Table3[[#This Row],[Date of Update]]
)))</f>
        <v>0</v>
      </c>
      <c r="G568" s="7">
        <f>IF(Table3[[#This Row],[Stage]]="Closed",Table3[[#This Row],[Date of Update]]-(_xlfn.MINIFS(Table3[Date of Update],Table3[Ref], Table3[[#This Row],[Ref]])),"")</f>
        <v>19</v>
      </c>
    </row>
    <row r="569" spans="1:7" x14ac:dyDescent="0.25">
      <c r="A569" s="4" t="s">
        <v>295</v>
      </c>
      <c r="B569" s="5">
        <v>45099</v>
      </c>
      <c r="C569" s="6" t="s">
        <v>17</v>
      </c>
      <c r="D569" s="6" t="s">
        <v>9</v>
      </c>
      <c r="E569" s="6" t="s">
        <v>296</v>
      </c>
      <c r="F569" s="6" cm="1">
        <f t="array" aca="1" ref="F569" ca="1">IF(Table3[[#This Row],[Stage]]="Closed",0,IF(IFERROR(
  IF(
    COUNTIF(A$2:A$1997, A569) &gt; 1,
    MIN(IF(A$2:A$1997=A569, IF(B$2:B$1997&gt;B569, B$2:B$1997))) - B569,
    TODAY() - Table3[[#This Row],[Date of Update]]
  ),
  TODAY()-Table3[[#This Row],[Date of Update]]
)&lt;=0,
TODAY()-Table3[[#This Row],[Date of Update]],
IFERROR(
  IF(
    COUNTIF(A$2:A$1997, A569) &gt; 1,
    MIN(IF(A$2:A$1997=A569, IF(B$2:B$1997&gt;B569, B$2:B$1997))) - B569,
    TODAY() - Table3[[#This Row],[Date of Update]]
  ),
  TODAY()-Table3[[#This Row],[Date of Update]]
)))</f>
        <v>0</v>
      </c>
      <c r="G569" s="7">
        <f>IF(Table3[[#This Row],[Stage]]="Closed",Table3[[#This Row],[Date of Update]]-(_xlfn.MINIFS(Table3[Date of Update],Table3[Ref], Table3[[#This Row],[Ref]])),"")</f>
        <v>148</v>
      </c>
    </row>
    <row r="570" spans="1:7" x14ac:dyDescent="0.25">
      <c r="A570" s="4" t="s">
        <v>316</v>
      </c>
      <c r="B570" s="5">
        <v>45099</v>
      </c>
      <c r="C570" s="6" t="s">
        <v>17</v>
      </c>
      <c r="D570" s="6" t="s">
        <v>9</v>
      </c>
      <c r="E570" s="6" t="s">
        <v>317</v>
      </c>
      <c r="F570" s="6" cm="1">
        <f t="array" aca="1" ref="F570" ca="1">IF(Table3[[#This Row],[Stage]]="Closed",0,IF(IFERROR(
  IF(
    COUNTIF(A$2:A$1997, A570) &gt; 1,
    MIN(IF(A$2:A$1997=A570, IF(B$2:B$1997&gt;B570, B$2:B$1997))) - B570,
    TODAY() - Table3[[#This Row],[Date of Update]]
  ),
  TODAY()-Table3[[#This Row],[Date of Update]]
)&lt;=0,
TODAY()-Table3[[#This Row],[Date of Update]],
IFERROR(
  IF(
    COUNTIF(A$2:A$1997, A570) &gt; 1,
    MIN(IF(A$2:A$1997=A570, IF(B$2:B$1997&gt;B570, B$2:B$1997))) - B570,
    TODAY() - Table3[[#This Row],[Date of Update]]
  ),
  TODAY()-Table3[[#This Row],[Date of Update]]
)))</f>
        <v>0</v>
      </c>
      <c r="G570" s="7">
        <f>IF(Table3[[#This Row],[Stage]]="Closed",Table3[[#This Row],[Date of Update]]-(_xlfn.MINIFS(Table3[Date of Update],Table3[Ref], Table3[[#This Row],[Ref]])),"")</f>
        <v>129</v>
      </c>
    </row>
    <row r="571" spans="1:7" x14ac:dyDescent="0.25">
      <c r="A571" s="4" t="s">
        <v>344</v>
      </c>
      <c r="B571" s="5">
        <v>45099</v>
      </c>
      <c r="C571" s="6" t="s">
        <v>17</v>
      </c>
      <c r="D571" s="6" t="s">
        <v>9</v>
      </c>
      <c r="E571" s="6" t="s">
        <v>345</v>
      </c>
      <c r="F571" s="6" cm="1">
        <f t="array" aca="1" ref="F571" ca="1">IF(Table3[[#This Row],[Stage]]="Closed",0,IF(IFERROR(
  IF(
    COUNTIF(A$2:A$1997, A571) &gt; 1,
    MIN(IF(A$2:A$1997=A571, IF(B$2:B$1997&gt;B571, B$2:B$1997))) - B571,
    TODAY() - Table3[[#This Row],[Date of Update]]
  ),
  TODAY()-Table3[[#This Row],[Date of Update]]
)&lt;=0,
TODAY()-Table3[[#This Row],[Date of Update]],
IFERROR(
  IF(
    COUNTIF(A$2:A$1997, A571) &gt; 1,
    MIN(IF(A$2:A$1997=A571, IF(B$2:B$1997&gt;B571, B$2:B$1997))) - B571,
    TODAY() - Table3[[#This Row],[Date of Update]]
  ),
  TODAY()-Table3[[#This Row],[Date of Update]]
)))</f>
        <v>0</v>
      </c>
      <c r="G571" s="7">
        <f>IF(Table3[[#This Row],[Stage]]="Closed",Table3[[#This Row],[Date of Update]]-(_xlfn.MINIFS(Table3[Date of Update],Table3[Ref], Table3[[#This Row],[Ref]])),"")</f>
        <v>106</v>
      </c>
    </row>
    <row r="572" spans="1:7" x14ac:dyDescent="0.25">
      <c r="A572" s="4" t="s">
        <v>327</v>
      </c>
      <c r="B572" s="5">
        <v>45099</v>
      </c>
      <c r="C572" s="6" t="s">
        <v>17</v>
      </c>
      <c r="D572" s="6" t="s">
        <v>9</v>
      </c>
      <c r="E572" s="6" t="s">
        <v>328</v>
      </c>
      <c r="F572" s="6" cm="1">
        <f t="array" aca="1" ref="F572" ca="1">IF(Table3[[#This Row],[Stage]]="Closed",0,IF(IFERROR(
  IF(
    COUNTIF(A$2:A$1997, A572) &gt; 1,
    MIN(IF(A$2:A$1997=A572, IF(B$2:B$1997&gt;B572, B$2:B$1997))) - B572,
    TODAY() - Table3[[#This Row],[Date of Update]]
  ),
  TODAY()-Table3[[#This Row],[Date of Update]]
)&lt;=0,
TODAY()-Table3[[#This Row],[Date of Update]],
IFERROR(
  IF(
    COUNTIF(A$2:A$1997, A572) &gt; 1,
    MIN(IF(A$2:A$1997=A572, IF(B$2:B$1997&gt;B572, B$2:B$1997))) - B572,
    TODAY() - Table3[[#This Row],[Date of Update]]
  ),
  TODAY()-Table3[[#This Row],[Date of Update]]
)))</f>
        <v>0</v>
      </c>
      <c r="G572" s="7">
        <f>IF(Table3[[#This Row],[Stage]]="Closed",Table3[[#This Row],[Date of Update]]-(_xlfn.MINIFS(Table3[Date of Update],Table3[Ref], Table3[[#This Row],[Ref]])),"")</f>
        <v>125</v>
      </c>
    </row>
    <row r="573" spans="1:7" x14ac:dyDescent="0.25">
      <c r="A573" s="4" t="s">
        <v>374</v>
      </c>
      <c r="B573" s="5">
        <v>45099</v>
      </c>
      <c r="C573" s="6" t="s">
        <v>17</v>
      </c>
      <c r="D573" s="6" t="s">
        <v>9</v>
      </c>
      <c r="E573" s="6" t="s">
        <v>375</v>
      </c>
      <c r="F573" s="6" cm="1">
        <f t="array" aca="1" ref="F573" ca="1">IF(Table3[[#This Row],[Stage]]="Closed",0,IF(IFERROR(
  IF(
    COUNTIF(A$2:A$1997, A573) &gt; 1,
    MIN(IF(A$2:A$1997=A573, IF(B$2:B$1997&gt;B573, B$2:B$1997))) - B573,
    TODAY() - Table3[[#This Row],[Date of Update]]
  ),
  TODAY()-Table3[[#This Row],[Date of Update]]
)&lt;=0,
TODAY()-Table3[[#This Row],[Date of Update]],
IFERROR(
  IF(
    COUNTIF(A$2:A$1997, A573) &gt; 1,
    MIN(IF(A$2:A$1997=A573, IF(B$2:B$1997&gt;B573, B$2:B$1997))) - B573,
    TODAY() - Table3[[#This Row],[Date of Update]]
  ),
  TODAY()-Table3[[#This Row],[Date of Update]]
)))</f>
        <v>0</v>
      </c>
      <c r="G573" s="7">
        <f>IF(Table3[[#This Row],[Stage]]="Closed",Table3[[#This Row],[Date of Update]]-(_xlfn.MINIFS(Table3[Date of Update],Table3[Ref], Table3[[#This Row],[Ref]])),"")</f>
        <v>66</v>
      </c>
    </row>
    <row r="574" spans="1:7" x14ac:dyDescent="0.25">
      <c r="A574" s="4" t="s">
        <v>394</v>
      </c>
      <c r="B574" s="5">
        <v>45099</v>
      </c>
      <c r="C574" s="6" t="s">
        <v>17</v>
      </c>
      <c r="D574" s="6" t="s">
        <v>9</v>
      </c>
      <c r="E574" s="6"/>
      <c r="F574" s="6" cm="1">
        <f t="array" aca="1" ref="F574" ca="1">IF(Table3[[#This Row],[Stage]]="Closed",0,IF(IFERROR(
  IF(
    COUNTIF(A$2:A$1997, A574) &gt; 1,
    MIN(IF(A$2:A$1997=A574, IF(B$2:B$1997&gt;B574, B$2:B$1997))) - B574,
    TODAY() - Table3[[#This Row],[Date of Update]]
  ),
  TODAY()-Table3[[#This Row],[Date of Update]]
)&lt;=0,
TODAY()-Table3[[#This Row],[Date of Update]],
IFERROR(
  IF(
    COUNTIF(A$2:A$1997, A574) &gt; 1,
    MIN(IF(A$2:A$1997=A574, IF(B$2:B$1997&gt;B574, B$2:B$1997))) - B574,
    TODAY() - Table3[[#This Row],[Date of Update]]
  ),
  TODAY()-Table3[[#This Row],[Date of Update]]
)))</f>
        <v>0</v>
      </c>
      <c r="G574" s="7">
        <f>IF(Table3[[#This Row],[Stage]]="Closed",Table3[[#This Row],[Date of Update]]-(_xlfn.MINIFS(Table3[Date of Update],Table3[Ref], Table3[[#This Row],[Ref]])),"")</f>
        <v>36</v>
      </c>
    </row>
    <row r="575" spans="1:7" x14ac:dyDescent="0.25">
      <c r="A575" s="4" t="s">
        <v>431</v>
      </c>
      <c r="B575" s="5">
        <v>45099</v>
      </c>
      <c r="C575" s="6" t="s">
        <v>8</v>
      </c>
      <c r="D575" s="6" t="s">
        <v>9</v>
      </c>
      <c r="E575" s="6" t="s">
        <v>420</v>
      </c>
      <c r="F575" s="6" cm="1">
        <f t="array" aca="1" ref="F575" ca="1">IF(Table3[[#This Row],[Stage]]="Closed",0,IF(IFERROR(
  IF(
    COUNTIF(A$2:A$1997, A575) &gt; 1,
    MIN(IF(A$2:A$1997=A575, IF(B$2:B$1997&gt;B575, B$2:B$1997))) - B575,
    TODAY() - Table3[[#This Row],[Date of Update]]
  ),
  TODAY()-Table3[[#This Row],[Date of Update]]
)&lt;=0,
TODAY()-Table3[[#This Row],[Date of Update]],
IFERROR(
  IF(
    COUNTIF(A$2:A$1997, A575) &gt; 1,
    MIN(IF(A$2:A$1997=A575, IF(B$2:B$1997&gt;B575, B$2:B$1997))) - B575,
    TODAY() - Table3[[#This Row],[Date of Update]]
  ),
  TODAY()-Table3[[#This Row],[Date of Update]]
)))</f>
        <v>113</v>
      </c>
      <c r="G575" s="7" t="str">
        <f>IF(Table3[[#This Row],[Stage]]="Closed",Table3[[#This Row],[Date of Update]]-(_xlfn.MINIFS(Table3[Date of Update],Table3[Ref], Table3[[#This Row],[Ref]])),"")</f>
        <v/>
      </c>
    </row>
    <row r="576" spans="1:7" x14ac:dyDescent="0.25">
      <c r="A576" s="4" t="s">
        <v>382</v>
      </c>
      <c r="B576" s="5">
        <v>45099</v>
      </c>
      <c r="C576" s="6" t="s">
        <v>17</v>
      </c>
      <c r="D576" s="6" t="s">
        <v>9</v>
      </c>
      <c r="E576" s="6" t="s">
        <v>383</v>
      </c>
      <c r="F576" s="6" cm="1">
        <f t="array" aca="1" ref="F576" ca="1">IF(Table3[[#This Row],[Stage]]="Closed",0,IF(IFERROR(
  IF(
    COUNTIF(A$2:A$1997, A576) &gt; 1,
    MIN(IF(A$2:A$1997=A576, IF(B$2:B$1997&gt;B576, B$2:B$1997))) - B576,
    TODAY() - Table3[[#This Row],[Date of Update]]
  ),
  TODAY()-Table3[[#This Row],[Date of Update]]
)&lt;=0,
TODAY()-Table3[[#This Row],[Date of Update]],
IFERROR(
  IF(
    COUNTIF(A$2:A$1997, A576) &gt; 1,
    MIN(IF(A$2:A$1997=A576, IF(B$2:B$1997&gt;B576, B$2:B$1997))) - B576,
    TODAY() - Table3[[#This Row],[Date of Update]]
  ),
  TODAY()-Table3[[#This Row],[Date of Update]]
)))</f>
        <v>0</v>
      </c>
      <c r="G576" s="7">
        <f>IF(Table3[[#This Row],[Stage]]="Closed",Table3[[#This Row],[Date of Update]]-(_xlfn.MINIFS(Table3[Date of Update],Table3[Ref], Table3[[#This Row],[Ref]])),"")</f>
        <v>51</v>
      </c>
    </row>
    <row r="577" spans="1:7" x14ac:dyDescent="0.25">
      <c r="A577" s="4" t="s">
        <v>411</v>
      </c>
      <c r="B577" s="5">
        <v>45099</v>
      </c>
      <c r="C577" s="6" t="s">
        <v>17</v>
      </c>
      <c r="D577" s="6" t="s">
        <v>9</v>
      </c>
      <c r="E577" s="6" t="s">
        <v>80</v>
      </c>
      <c r="F577" s="6" cm="1">
        <f t="array" aca="1" ref="F577" ca="1">IF(Table3[[#This Row],[Stage]]="Closed",0,IF(IFERROR(
  IF(
    COUNTIF(A$2:A$1997, A577) &gt; 1,
    MIN(IF(A$2:A$1997=A577, IF(B$2:B$1997&gt;B577, B$2:B$1997))) - B577,
    TODAY() - Table3[[#This Row],[Date of Update]]
  ),
  TODAY()-Table3[[#This Row],[Date of Update]]
)&lt;=0,
TODAY()-Table3[[#This Row],[Date of Update]],
IFERROR(
  IF(
    COUNTIF(A$2:A$1997, A577) &gt; 1,
    MIN(IF(A$2:A$1997=A577, IF(B$2:B$1997&gt;B577, B$2:B$1997))) - B577,
    TODAY() - Table3[[#This Row],[Date of Update]]
  ),
  TODAY()-Table3[[#This Row],[Date of Update]]
)))</f>
        <v>0</v>
      </c>
      <c r="G577" s="7">
        <f>IF(Table3[[#This Row],[Stage]]="Closed",Table3[[#This Row],[Date of Update]]-(_xlfn.MINIFS(Table3[Date of Update],Table3[Ref], Table3[[#This Row],[Ref]])),"")</f>
        <v>21</v>
      </c>
    </row>
    <row r="578" spans="1:7" x14ac:dyDescent="0.25">
      <c r="A578" s="4" t="s">
        <v>259</v>
      </c>
      <c r="B578" s="5">
        <v>45099</v>
      </c>
      <c r="C578" s="6" t="s">
        <v>17</v>
      </c>
      <c r="D578" s="6" t="s">
        <v>9</v>
      </c>
      <c r="E578" s="6" t="s">
        <v>80</v>
      </c>
      <c r="F578" s="6" cm="1">
        <f t="array" aca="1" ref="F578" ca="1">IF(Table3[[#This Row],[Stage]]="Closed",0,IF(IFERROR(
  IF(
    COUNTIF(A$2:A$1997, A578) &gt; 1,
    MIN(IF(A$2:A$1997=A578, IF(B$2:B$1997&gt;B578, B$2:B$1997))) - B578,
    TODAY() - Table3[[#This Row],[Date of Update]]
  ),
  TODAY()-Table3[[#This Row],[Date of Update]]
)&lt;=0,
TODAY()-Table3[[#This Row],[Date of Update]],
IFERROR(
  IF(
    COUNTIF(A$2:A$1997, A578) &gt; 1,
    MIN(IF(A$2:A$1997=A578, IF(B$2:B$1997&gt;B578, B$2:B$1997))) - B578,
    TODAY() - Table3[[#This Row],[Date of Update]]
  ),
  TODAY()-Table3[[#This Row],[Date of Update]]
)))</f>
        <v>0</v>
      </c>
      <c r="G578" s="7">
        <f>IF(Table3[[#This Row],[Stage]]="Closed",Table3[[#This Row],[Date of Update]]-(_xlfn.MINIFS(Table3[Date of Update],Table3[Ref], Table3[[#This Row],[Ref]])),"")</f>
        <v>170</v>
      </c>
    </row>
    <row r="579" spans="1:7" x14ac:dyDescent="0.25">
      <c r="A579" s="4" t="s">
        <v>364</v>
      </c>
      <c r="B579" s="5">
        <v>45099</v>
      </c>
      <c r="C579" s="6" t="s">
        <v>17</v>
      </c>
      <c r="D579" s="6" t="s">
        <v>9</v>
      </c>
      <c r="E579" s="6" t="s">
        <v>365</v>
      </c>
      <c r="F579" s="6" cm="1">
        <f t="array" aca="1" ref="F579" ca="1">IF(Table3[[#This Row],[Stage]]="Closed",0,IF(IFERROR(
  IF(
    COUNTIF(A$2:A$1997, A579) &gt; 1,
    MIN(IF(A$2:A$1997=A579, IF(B$2:B$1997&gt;B579, B$2:B$1997))) - B579,
    TODAY() - Table3[[#This Row],[Date of Update]]
  ),
  TODAY()-Table3[[#This Row],[Date of Update]]
)&lt;=0,
TODAY()-Table3[[#This Row],[Date of Update]],
IFERROR(
  IF(
    COUNTIF(A$2:A$1997, A579) &gt; 1,
    MIN(IF(A$2:A$1997=A579, IF(B$2:B$1997&gt;B579, B$2:B$1997))) - B579,
    TODAY() - Table3[[#This Row],[Date of Update]]
  ),
  TODAY()-Table3[[#This Row],[Date of Update]]
)))</f>
        <v>0</v>
      </c>
      <c r="G579" s="7">
        <f>IF(Table3[[#This Row],[Stage]]="Closed",Table3[[#This Row],[Date of Update]]-(_xlfn.MINIFS(Table3[Date of Update],Table3[Ref], Table3[[#This Row],[Ref]])),"")</f>
        <v>72</v>
      </c>
    </row>
    <row r="580" spans="1:7" x14ac:dyDescent="0.25">
      <c r="A580" s="4" t="s">
        <v>432</v>
      </c>
      <c r="B580" s="5">
        <v>45103</v>
      </c>
      <c r="C580" s="6" t="s">
        <v>8</v>
      </c>
      <c r="D580" s="6" t="s">
        <v>9</v>
      </c>
      <c r="E580" s="6" t="s">
        <v>433</v>
      </c>
      <c r="F580" s="6" cm="1">
        <f t="array" aca="1" ref="F580" ca="1">IF(Table3[[#This Row],[Stage]]="Closed",0,IF(IFERROR(
  IF(
    COUNTIF(A$2:A$1997, A580) &gt; 1,
    MIN(IF(A$2:A$1997=A580, IF(B$2:B$1997&gt;B580, B$2:B$1997))) - B580,
    TODAY() - Table3[[#This Row],[Date of Update]]
  ),
  TODAY()-Table3[[#This Row],[Date of Update]]
)&lt;=0,
TODAY()-Table3[[#This Row],[Date of Update]],
IFERROR(
  IF(
    COUNTIF(A$2:A$1997, A580) &gt; 1,
    MIN(IF(A$2:A$1997=A580, IF(B$2:B$1997&gt;B580, B$2:B$1997))) - B580,
    TODAY() - Table3[[#This Row],[Date of Update]]
  ),
  TODAY()-Table3[[#This Row],[Date of Update]]
)))</f>
        <v>31</v>
      </c>
      <c r="G580" s="7" t="str">
        <f>IF(Table3[[#This Row],[Stage]]="Closed",Table3[[#This Row],[Date of Update]]-(_xlfn.MINIFS(Table3[Date of Update],Table3[Ref], Table3[[#This Row],[Ref]])),"")</f>
        <v/>
      </c>
    </row>
    <row r="581" spans="1:7" x14ac:dyDescent="0.25">
      <c r="A581" s="4" t="s">
        <v>425</v>
      </c>
      <c r="B581" s="5">
        <v>45104</v>
      </c>
      <c r="C581" s="6" t="s">
        <v>17</v>
      </c>
      <c r="D581" s="6" t="s">
        <v>9</v>
      </c>
      <c r="E581" s="6" t="s">
        <v>426</v>
      </c>
      <c r="F581" s="6" cm="1">
        <f t="array" aca="1" ref="F581" ca="1">IF(Table3[[#This Row],[Stage]]="Closed",0,IF(IFERROR(
  IF(
    COUNTIF(A$2:A$1997, A581) &gt; 1,
    MIN(IF(A$2:A$1997=A581, IF(B$2:B$1997&gt;B581, B$2:B$1997))) - B581,
    TODAY() - Table3[[#This Row],[Date of Update]]
  ),
  TODAY()-Table3[[#This Row],[Date of Update]]
)&lt;=0,
TODAY()-Table3[[#This Row],[Date of Update]],
IFERROR(
  IF(
    COUNTIF(A$2:A$1997, A581) &gt; 1,
    MIN(IF(A$2:A$1997=A581, IF(B$2:B$1997&gt;B581, B$2:B$1997))) - B581,
    TODAY() - Table3[[#This Row],[Date of Update]]
  ),
  TODAY()-Table3[[#This Row],[Date of Update]]
)))</f>
        <v>0</v>
      </c>
      <c r="G581" s="7">
        <f>IF(Table3[[#This Row],[Stage]]="Closed",Table3[[#This Row],[Date of Update]]-(_xlfn.MINIFS(Table3[Date of Update],Table3[Ref], Table3[[#This Row],[Ref]])),"")</f>
        <v>19</v>
      </c>
    </row>
    <row r="582" spans="1:7" x14ac:dyDescent="0.25">
      <c r="A582" s="4" t="s">
        <v>416</v>
      </c>
      <c r="B582" s="5">
        <v>45106</v>
      </c>
      <c r="C582" s="6" t="s">
        <v>17</v>
      </c>
      <c r="D582" s="6" t="s">
        <v>9</v>
      </c>
      <c r="E582" s="6" t="s">
        <v>417</v>
      </c>
      <c r="F582" s="6" cm="1">
        <f t="array" aca="1" ref="F582" ca="1">IF(Table3[[#This Row],[Stage]]="Closed",0,IF(IFERROR(
  IF(
    COUNTIF(A$2:A$1997, A582) &gt; 1,
    MIN(IF(A$2:A$1997=A582, IF(B$2:B$1997&gt;B582, B$2:B$1997))) - B582,
    TODAY() - Table3[[#This Row],[Date of Update]]
  ),
  TODAY()-Table3[[#This Row],[Date of Update]]
)&lt;=0,
TODAY()-Table3[[#This Row],[Date of Update]],
IFERROR(
  IF(
    COUNTIF(A$2:A$1997, A582) &gt; 1,
    MIN(IF(A$2:A$1997=A582, IF(B$2:B$1997&gt;B582, B$2:B$1997))) - B582,
    TODAY() - Table3[[#This Row],[Date of Update]]
  ),
  TODAY()-Table3[[#This Row],[Date of Update]]
)))</f>
        <v>0</v>
      </c>
      <c r="G582" s="7">
        <f>IF(Table3[[#This Row],[Stage]]="Closed",Table3[[#This Row],[Date of Update]]-(_xlfn.MINIFS(Table3[Date of Update],Table3[Ref], Table3[[#This Row],[Ref]])),"")</f>
        <v>27</v>
      </c>
    </row>
    <row r="583" spans="1:7" x14ac:dyDescent="0.25">
      <c r="A583" s="4" t="s">
        <v>434</v>
      </c>
      <c r="B583" s="5">
        <v>45110</v>
      </c>
      <c r="C583" s="6" t="s">
        <v>8</v>
      </c>
      <c r="D583" s="6" t="s">
        <v>9</v>
      </c>
      <c r="E583" s="6"/>
      <c r="F583" s="6" cm="1">
        <f t="array" aca="1" ref="F583" ca="1">IF(Table3[[#This Row],[Stage]]="Closed",0,IF(IFERROR(
  IF(
    COUNTIF(A$2:A$1997, A583) &gt; 1,
    MIN(IF(A$2:A$1997=A583, IF(B$2:B$1997&gt;B583, B$2:B$1997))) - B583,
    TODAY() - Table3[[#This Row],[Date of Update]]
  ),
  TODAY()-Table3[[#This Row],[Date of Update]]
)&lt;=0,
TODAY()-Table3[[#This Row],[Date of Update]],
IFERROR(
  IF(
    COUNTIF(A$2:A$1997, A583) &gt; 1,
    MIN(IF(A$2:A$1997=A583, IF(B$2:B$1997&gt;B583, B$2:B$1997))) - B583,
    TODAY() - Table3[[#This Row],[Date of Update]]
  ),
  TODAY()-Table3[[#This Row],[Date of Update]]
)))</f>
        <v>9</v>
      </c>
      <c r="G583" s="7" t="str">
        <f>IF(Table3[[#This Row],[Stage]]="Closed",Table3[[#This Row],[Date of Update]]-(_xlfn.MINIFS(Table3[Date of Update],Table3[Ref], Table3[[#This Row],[Ref]])),"")</f>
        <v/>
      </c>
    </row>
    <row r="584" spans="1:7" x14ac:dyDescent="0.25">
      <c r="A584" s="4" t="s">
        <v>435</v>
      </c>
      <c r="B584" s="5">
        <v>45110</v>
      </c>
      <c r="C584" s="6" t="s">
        <v>8</v>
      </c>
      <c r="D584" s="6" t="s">
        <v>9</v>
      </c>
      <c r="E584" s="6" t="s">
        <v>244</v>
      </c>
      <c r="F584" s="6" cm="1">
        <f t="array" aca="1" ref="F584" ca="1">IF(Table3[[#This Row],[Stage]]="Closed",0,IF(IFERROR(
  IF(
    COUNTIF(A$2:A$1997, A584) &gt; 1,
    MIN(IF(A$2:A$1997=A584, IF(B$2:B$1997&gt;B584, B$2:B$1997))) - B584,
    TODAY() - Table3[[#This Row],[Date of Update]]
  ),
  TODAY()-Table3[[#This Row],[Date of Update]]
)&lt;=0,
TODAY()-Table3[[#This Row],[Date of Update]],
IFERROR(
  IF(
    COUNTIF(A$2:A$1997, A584) &gt; 1,
    MIN(IF(A$2:A$1997=A584, IF(B$2:B$1997&gt;B584, B$2:B$1997))) - B584,
    TODAY() - Table3[[#This Row],[Date of Update]]
  ),
  TODAY()-Table3[[#This Row],[Date of Update]]
)))</f>
        <v>856</v>
      </c>
      <c r="G584" s="7" t="str">
        <f>IF(Table3[[#This Row],[Stage]]="Closed",Table3[[#This Row],[Date of Update]]-(_xlfn.MINIFS(Table3[Date of Update],Table3[Ref], Table3[[#This Row],[Ref]])),"")</f>
        <v/>
      </c>
    </row>
    <row r="585" spans="1:7" x14ac:dyDescent="0.25">
      <c r="A585" s="4" t="s">
        <v>435</v>
      </c>
      <c r="B585" s="5">
        <v>45110</v>
      </c>
      <c r="C585" s="6" t="s">
        <v>17</v>
      </c>
      <c r="D585" s="6" t="s">
        <v>9</v>
      </c>
      <c r="E585" s="6" t="s">
        <v>244</v>
      </c>
      <c r="F585" s="6" cm="1">
        <f t="array" aca="1" ref="F585" ca="1">IF(Table3[[#This Row],[Stage]]="Closed",0,IF(IFERROR(
  IF(
    COUNTIF(A$2:A$1997, A585) &gt; 1,
    MIN(IF(A$2:A$1997=A585, IF(B$2:B$1997&gt;B585, B$2:B$1997))) - B585,
    TODAY() - Table3[[#This Row],[Date of Update]]
  ),
  TODAY()-Table3[[#This Row],[Date of Update]]
)&lt;=0,
TODAY()-Table3[[#This Row],[Date of Update]],
IFERROR(
  IF(
    COUNTIF(A$2:A$1997, A585) &gt; 1,
    MIN(IF(A$2:A$1997=A585, IF(B$2:B$1997&gt;B585, B$2:B$1997))) - B585,
    TODAY() - Table3[[#This Row],[Date of Update]]
  ),
  TODAY()-Table3[[#This Row],[Date of Update]]
)))</f>
        <v>0</v>
      </c>
      <c r="G585" s="7">
        <f>IF(Table3[[#This Row],[Stage]]="Closed",Table3[[#This Row],[Date of Update]]-(_xlfn.MINIFS(Table3[Date of Update],Table3[Ref], Table3[[#This Row],[Ref]])),"")</f>
        <v>0</v>
      </c>
    </row>
    <row r="586" spans="1:7" x14ac:dyDescent="0.25">
      <c r="A586" s="4" t="s">
        <v>436</v>
      </c>
      <c r="B586" s="5">
        <v>45110</v>
      </c>
      <c r="C586" s="6" t="s">
        <v>8</v>
      </c>
      <c r="D586" s="6" t="s">
        <v>9</v>
      </c>
      <c r="E586" s="6" t="s">
        <v>304</v>
      </c>
      <c r="F586" s="6" cm="1">
        <f t="array" aca="1" ref="F586" ca="1">IF(Table3[[#This Row],[Stage]]="Closed",0,IF(IFERROR(
  IF(
    COUNTIF(A$2:A$1997, A586) &gt; 1,
    MIN(IF(A$2:A$1997=A586, IF(B$2:B$1997&gt;B586, B$2:B$1997))) - B586,
    TODAY() - Table3[[#This Row],[Date of Update]]
  ),
  TODAY()-Table3[[#This Row],[Date of Update]]
)&lt;=0,
TODAY()-Table3[[#This Row],[Date of Update]],
IFERROR(
  IF(
    COUNTIF(A$2:A$1997, A586) &gt; 1,
    MIN(IF(A$2:A$1997=A586, IF(B$2:B$1997&gt;B586, B$2:B$1997))) - B586,
    TODAY() - Table3[[#This Row],[Date of Update]]
  ),
  TODAY()-Table3[[#This Row],[Date of Update]]
)))</f>
        <v>214</v>
      </c>
      <c r="G586" s="7" t="str">
        <f>IF(Table3[[#This Row],[Stage]]="Closed",Table3[[#This Row],[Date of Update]]-(_xlfn.MINIFS(Table3[Date of Update],Table3[Ref], Table3[[#This Row],[Ref]])),"")</f>
        <v/>
      </c>
    </row>
    <row r="587" spans="1:7" x14ac:dyDescent="0.25">
      <c r="A587" s="4" t="s">
        <v>434</v>
      </c>
      <c r="B587" s="5">
        <v>45119</v>
      </c>
      <c r="C587" s="6" t="s">
        <v>17</v>
      </c>
      <c r="D587" s="6" t="s">
        <v>9</v>
      </c>
      <c r="E587" s="6"/>
      <c r="F587" s="6" cm="1">
        <f t="array" aca="1" ref="F587" ca="1">IF(Table3[[#This Row],[Stage]]="Closed",0,IF(IFERROR(
  IF(
    COUNTIF(A$2:A$1997, A587) &gt; 1,
    MIN(IF(A$2:A$1997=A587, IF(B$2:B$1997&gt;B587, B$2:B$1997))) - B587,
    TODAY() - Table3[[#This Row],[Date of Update]]
  ),
  TODAY()-Table3[[#This Row],[Date of Update]]
)&lt;=0,
TODAY()-Table3[[#This Row],[Date of Update]],
IFERROR(
  IF(
    COUNTIF(A$2:A$1997, A587) &gt; 1,
    MIN(IF(A$2:A$1997=A587, IF(B$2:B$1997&gt;B587, B$2:B$1997))) - B587,
    TODAY() - Table3[[#This Row],[Date of Update]]
  ),
  TODAY()-Table3[[#This Row],[Date of Update]]
)))</f>
        <v>0</v>
      </c>
      <c r="G587" s="7">
        <f>IF(Table3[[#This Row],[Stage]]="Closed",Table3[[#This Row],[Date of Update]]-(_xlfn.MINIFS(Table3[Date of Update],Table3[Ref], Table3[[#This Row],[Ref]])),"")</f>
        <v>9</v>
      </c>
    </row>
    <row r="588" spans="1:7" x14ac:dyDescent="0.25">
      <c r="A588" s="4" t="s">
        <v>368</v>
      </c>
      <c r="B588" s="5">
        <v>45120</v>
      </c>
      <c r="C588" s="6" t="s">
        <v>17</v>
      </c>
      <c r="D588" s="6" t="s">
        <v>9</v>
      </c>
      <c r="E588" s="6" t="s">
        <v>369</v>
      </c>
      <c r="F588" s="6" cm="1">
        <f t="array" aca="1" ref="F588" ca="1">IF(Table3[[#This Row],[Stage]]="Closed",0,IF(IFERROR(
  IF(
    COUNTIF(A$2:A$1997, A588) &gt; 1,
    MIN(IF(A$2:A$1997=A588, IF(B$2:B$1997&gt;B588, B$2:B$1997))) - B588,
    TODAY() - Table3[[#This Row],[Date of Update]]
  ),
  TODAY()-Table3[[#This Row],[Date of Update]]
)&lt;=0,
TODAY()-Table3[[#This Row],[Date of Update]],
IFERROR(
  IF(
    COUNTIF(A$2:A$1997, A588) &gt; 1,
    MIN(IF(A$2:A$1997=A588, IF(B$2:B$1997&gt;B588, B$2:B$1997))) - B588,
    TODAY() - Table3[[#This Row],[Date of Update]]
  ),
  TODAY()-Table3[[#This Row],[Date of Update]]
)))</f>
        <v>0</v>
      </c>
      <c r="G588" s="7">
        <f>IF(Table3[[#This Row],[Stage]]="Closed",Table3[[#This Row],[Date of Update]]-(_xlfn.MINIFS(Table3[Date of Update],Table3[Ref], Table3[[#This Row],[Ref]])),"")</f>
        <v>92</v>
      </c>
    </row>
    <row r="589" spans="1:7" x14ac:dyDescent="0.25">
      <c r="A589" s="4" t="s">
        <v>437</v>
      </c>
      <c r="B589" s="5">
        <v>45120</v>
      </c>
      <c r="C589" s="6" t="s">
        <v>8</v>
      </c>
      <c r="D589" s="6" t="s">
        <v>9</v>
      </c>
      <c r="E589" s="6" t="s">
        <v>377</v>
      </c>
      <c r="F589" s="6" cm="1">
        <f t="array" aca="1" ref="F589" ca="1">IF(Table3[[#This Row],[Stage]]="Closed",0,IF(IFERROR(
  IF(
    COUNTIF(A$2:A$1997, A589) &gt; 1,
    MIN(IF(A$2:A$1997=A589, IF(B$2:B$1997&gt;B589, B$2:B$1997))) - B589,
    TODAY() - Table3[[#This Row],[Date of Update]]
  ),
  TODAY()-Table3[[#This Row],[Date of Update]]
)&lt;=0,
TODAY()-Table3[[#This Row],[Date of Update]],
IFERROR(
  IF(
    COUNTIF(A$2:A$1997, A589) &gt; 1,
    MIN(IF(A$2:A$1997=A589, IF(B$2:B$1997&gt;B589, B$2:B$1997))) - B589,
    TODAY() - Table3[[#This Row],[Date of Update]]
  ),
  TODAY()-Table3[[#This Row],[Date of Update]]
)))</f>
        <v>14</v>
      </c>
      <c r="G589" s="7" t="str">
        <f>IF(Table3[[#This Row],[Stage]]="Closed",Table3[[#This Row],[Date of Update]]-(_xlfn.MINIFS(Table3[Date of Update],Table3[Ref], Table3[[#This Row],[Ref]])),"")</f>
        <v/>
      </c>
    </row>
    <row r="590" spans="1:7" x14ac:dyDescent="0.25">
      <c r="A590" s="4" t="s">
        <v>380</v>
      </c>
      <c r="B590" s="5">
        <v>45120</v>
      </c>
      <c r="C590" s="6" t="s">
        <v>17</v>
      </c>
      <c r="D590" s="6" t="s">
        <v>9</v>
      </c>
      <c r="E590" s="6" t="s">
        <v>381</v>
      </c>
      <c r="F590" s="6" cm="1">
        <f t="array" aca="1" ref="F590" ca="1">IF(Table3[[#This Row],[Stage]]="Closed",0,IF(IFERROR(
  IF(
    COUNTIF(A$2:A$1997, A590) &gt; 1,
    MIN(IF(A$2:A$1997=A590, IF(B$2:B$1997&gt;B590, B$2:B$1997))) - B590,
    TODAY() - Table3[[#This Row],[Date of Update]]
  ),
  TODAY()-Table3[[#This Row],[Date of Update]]
)&lt;=0,
TODAY()-Table3[[#This Row],[Date of Update]],
IFERROR(
  IF(
    COUNTIF(A$2:A$1997, A590) &gt; 1,
    MIN(IF(A$2:A$1997=A590, IF(B$2:B$1997&gt;B590, B$2:B$1997))) - B590,
    TODAY() - Table3[[#This Row],[Date of Update]]
  ),
  TODAY()-Table3[[#This Row],[Date of Update]]
)))</f>
        <v>0</v>
      </c>
      <c r="G590" s="7">
        <f>IF(Table3[[#This Row],[Stage]]="Closed",Table3[[#This Row],[Date of Update]]-(_xlfn.MINIFS(Table3[Date of Update],Table3[Ref], Table3[[#This Row],[Ref]])),"")</f>
        <v>85</v>
      </c>
    </row>
    <row r="591" spans="1:7" x14ac:dyDescent="0.25">
      <c r="A591" s="4" t="s">
        <v>438</v>
      </c>
      <c r="B591" s="5">
        <v>45120</v>
      </c>
      <c r="C591" s="6" t="s">
        <v>8</v>
      </c>
      <c r="D591" s="6" t="s">
        <v>9</v>
      </c>
      <c r="E591" s="6" t="s">
        <v>377</v>
      </c>
      <c r="F591" s="6" cm="1">
        <f t="array" aca="1" ref="F591" ca="1">IF(Table3[[#This Row],[Stage]]="Closed",0,IF(IFERROR(
  IF(
    COUNTIF(A$2:A$1997, A591) &gt; 1,
    MIN(IF(A$2:A$1997=A591, IF(B$2:B$1997&gt;B591, B$2:B$1997))) - B591,
    TODAY() - Table3[[#This Row],[Date of Update]]
  ),
  TODAY()-Table3[[#This Row],[Date of Update]]
)&lt;=0,
TODAY()-Table3[[#This Row],[Date of Update]],
IFERROR(
  IF(
    COUNTIF(A$2:A$1997, A591) &gt; 1,
    MIN(IF(A$2:A$1997=A591, IF(B$2:B$1997&gt;B591, B$2:B$1997))) - B591,
    TODAY() - Table3[[#This Row],[Date of Update]]
  ),
  TODAY()-Table3[[#This Row],[Date of Update]]
)))</f>
        <v>14</v>
      </c>
      <c r="G591" s="7" t="str">
        <f>IF(Table3[[#This Row],[Stage]]="Closed",Table3[[#This Row],[Date of Update]]-(_xlfn.MINIFS(Table3[Date of Update],Table3[Ref], Table3[[#This Row],[Ref]])),"")</f>
        <v/>
      </c>
    </row>
    <row r="592" spans="1:7" x14ac:dyDescent="0.25">
      <c r="A592" s="4" t="s">
        <v>439</v>
      </c>
      <c r="B592" s="5">
        <v>45123</v>
      </c>
      <c r="C592" s="6" t="s">
        <v>8</v>
      </c>
      <c r="D592" s="6" t="s">
        <v>9</v>
      </c>
      <c r="E592" s="6" t="s">
        <v>80</v>
      </c>
      <c r="F592" s="6" cm="1">
        <f t="array" aca="1" ref="F592" ca="1">IF(Table3[[#This Row],[Stage]]="Closed",0,IF(IFERROR(
  IF(
    COUNTIF(A$2:A$1997, A592) &gt; 1,
    MIN(IF(A$2:A$1997=A592, IF(B$2:B$1997&gt;B592, B$2:B$1997))) - B592,
    TODAY() - Table3[[#This Row],[Date of Update]]
  ),
  TODAY()-Table3[[#This Row],[Date of Update]]
)&lt;=0,
TODAY()-Table3[[#This Row],[Date of Update]],
IFERROR(
  IF(
    COUNTIF(A$2:A$1997, A592) &gt; 1,
    MIN(IF(A$2:A$1997=A592, IF(B$2:B$1997&gt;B592, B$2:B$1997))) - B592,
    TODAY() - Table3[[#This Row],[Date of Update]]
  ),
  TODAY()-Table3[[#This Row],[Date of Update]]
)))</f>
        <v>12</v>
      </c>
      <c r="G592" s="7" t="str">
        <f>IF(Table3[[#This Row],[Stage]]="Closed",Table3[[#This Row],[Date of Update]]-(_xlfn.MINIFS(Table3[Date of Update],Table3[Ref], Table3[[#This Row],[Ref]])),"")</f>
        <v/>
      </c>
    </row>
    <row r="593" spans="1:7" x14ac:dyDescent="0.25">
      <c r="A593" s="4" t="s">
        <v>440</v>
      </c>
      <c r="B593" s="5">
        <v>45125</v>
      </c>
      <c r="C593" s="6" t="s">
        <v>8</v>
      </c>
      <c r="D593" s="6" t="s">
        <v>9</v>
      </c>
      <c r="E593" s="6" t="s">
        <v>441</v>
      </c>
      <c r="F593" s="6" cm="1">
        <f t="array" aca="1" ref="F593" ca="1">IF(Table3[[#This Row],[Stage]]="Closed",0,IF(IFERROR(
  IF(
    COUNTIF(A$2:A$1997, A593) &gt; 1,
    MIN(IF(A$2:A$1997=A593, IF(B$2:B$1997&gt;B593, B$2:B$1997))) - B593,
    TODAY() - Table3[[#This Row],[Date of Update]]
  ),
  TODAY()-Table3[[#This Row],[Date of Update]]
)&lt;=0,
TODAY()-Table3[[#This Row],[Date of Update]],
IFERROR(
  IF(
    COUNTIF(A$2:A$1997, A593) &gt; 1,
    MIN(IF(A$2:A$1997=A593, IF(B$2:B$1997&gt;B593, B$2:B$1997))) - B593,
    TODAY() - Table3[[#This Row],[Date of Update]]
  ),
  TODAY()-Table3[[#This Row],[Date of Update]]
)))</f>
        <v>3</v>
      </c>
      <c r="G593" s="7" t="str">
        <f>IF(Table3[[#This Row],[Stage]]="Closed",Table3[[#This Row],[Date of Update]]-(_xlfn.MINIFS(Table3[Date of Update],Table3[Ref], Table3[[#This Row],[Ref]])),"")</f>
        <v/>
      </c>
    </row>
    <row r="594" spans="1:7" x14ac:dyDescent="0.25">
      <c r="A594" s="4" t="s">
        <v>442</v>
      </c>
      <c r="B594" s="5">
        <v>45126</v>
      </c>
      <c r="C594" s="6" t="s">
        <v>8</v>
      </c>
      <c r="D594" s="6" t="s">
        <v>9</v>
      </c>
      <c r="E594" s="6" t="s">
        <v>443</v>
      </c>
      <c r="F594" s="6" cm="1">
        <f t="array" aca="1" ref="F594" ca="1">IF(Table3[[#This Row],[Stage]]="Closed",0,IF(IFERROR(
  IF(
    COUNTIF(A$2:A$1997, A594) &gt; 1,
    MIN(IF(A$2:A$1997=A594, IF(B$2:B$1997&gt;B594, B$2:B$1997))) - B594,
    TODAY() - Table3[[#This Row],[Date of Update]]
  ),
  TODAY()-Table3[[#This Row],[Date of Update]]
)&lt;=0,
TODAY()-Table3[[#This Row],[Date of Update]],
IFERROR(
  IF(
    COUNTIF(A$2:A$1997, A594) &gt; 1,
    MIN(IF(A$2:A$1997=A594, IF(B$2:B$1997&gt;B594, B$2:B$1997))) - B594,
    TODAY() - Table3[[#This Row],[Date of Update]]
  ),
  TODAY()-Table3[[#This Row],[Date of Update]]
)))</f>
        <v>2</v>
      </c>
      <c r="G594" s="7" t="str">
        <f>IF(Table3[[#This Row],[Stage]]="Closed",Table3[[#This Row],[Date of Update]]-(_xlfn.MINIFS(Table3[Date of Update],Table3[Ref], Table3[[#This Row],[Ref]])),"")</f>
        <v/>
      </c>
    </row>
    <row r="595" spans="1:7" x14ac:dyDescent="0.25">
      <c r="A595" s="4" t="s">
        <v>427</v>
      </c>
      <c r="B595" s="5">
        <v>45127</v>
      </c>
      <c r="C595" s="6" t="s">
        <v>17</v>
      </c>
      <c r="D595" s="6" t="s">
        <v>9</v>
      </c>
      <c r="E595" s="6" t="s">
        <v>80</v>
      </c>
      <c r="F595" s="6" cm="1">
        <f t="array" aca="1" ref="F595" ca="1">IF(Table3[[#This Row],[Stage]]="Closed",0,IF(IFERROR(
  IF(
    COUNTIF(A$2:A$1997, A595) &gt; 1,
    MIN(IF(A$2:A$1997=A595, IF(B$2:B$1997&gt;B595, B$2:B$1997))) - B595,
    TODAY() - Table3[[#This Row],[Date of Update]]
  ),
  TODAY()-Table3[[#This Row],[Date of Update]]
)&lt;=0,
TODAY()-Table3[[#This Row],[Date of Update]],
IFERROR(
  IF(
    COUNTIF(A$2:A$1997, A595) &gt; 1,
    MIN(IF(A$2:A$1997=A595, IF(B$2:B$1997&gt;B595, B$2:B$1997))) - B595,
    TODAY() - Table3[[#This Row],[Date of Update]]
  ),
  TODAY()-Table3[[#This Row],[Date of Update]]
)))</f>
        <v>0</v>
      </c>
      <c r="G595" s="7">
        <f>IF(Table3[[#This Row],[Stage]]="Closed",Table3[[#This Row],[Date of Update]]-(_xlfn.MINIFS(Table3[Date of Update],Table3[Ref], Table3[[#This Row],[Ref]])),"")</f>
        <v>31</v>
      </c>
    </row>
    <row r="596" spans="1:7" x14ac:dyDescent="0.25">
      <c r="A596" s="4" t="s">
        <v>444</v>
      </c>
      <c r="B596" s="5">
        <v>45127</v>
      </c>
      <c r="C596" s="6" t="s">
        <v>8</v>
      </c>
      <c r="D596" s="6" t="s">
        <v>9</v>
      </c>
      <c r="E596" s="6" t="s">
        <v>80</v>
      </c>
      <c r="F596" s="6" cm="1">
        <f t="array" aca="1" ref="F596" ca="1">IF(Table3[[#This Row],[Stage]]="Closed",0,IF(IFERROR(
  IF(
    COUNTIF(A$2:A$1997, A596) &gt; 1,
    MIN(IF(A$2:A$1997=A596, IF(B$2:B$1997&gt;B596, B$2:B$1997))) - B596,
    TODAY() - Table3[[#This Row],[Date of Update]]
  ),
  TODAY()-Table3[[#This Row],[Date of Update]]
)&lt;=0,
TODAY()-Table3[[#This Row],[Date of Update]],
IFERROR(
  IF(
    COUNTIF(A$2:A$1997, A596) &gt; 1,
    MIN(IF(A$2:A$1997=A596, IF(B$2:B$1997&gt;B596, B$2:B$1997))) - B596,
    TODAY() - Table3[[#This Row],[Date of Update]]
  ),
  TODAY()-Table3[[#This Row],[Date of Update]]
)))</f>
        <v>104</v>
      </c>
      <c r="G596" s="7" t="str">
        <f>IF(Table3[[#This Row],[Stage]]="Closed",Table3[[#This Row],[Date of Update]]-(_xlfn.MINIFS(Table3[Date of Update],Table3[Ref], Table3[[#This Row],[Ref]])),"")</f>
        <v/>
      </c>
    </row>
    <row r="597" spans="1:7" x14ac:dyDescent="0.25">
      <c r="A597" s="4" t="s">
        <v>440</v>
      </c>
      <c r="B597" s="5">
        <v>45128</v>
      </c>
      <c r="C597" s="6" t="s">
        <v>17</v>
      </c>
      <c r="D597" s="6" t="s">
        <v>9</v>
      </c>
      <c r="E597" s="6" t="s">
        <v>441</v>
      </c>
      <c r="F597" s="6" cm="1">
        <f t="array" aca="1" ref="F597" ca="1">IF(Table3[[#This Row],[Stage]]="Closed",0,IF(IFERROR(
  IF(
    COUNTIF(A$2:A$1997, A597) &gt; 1,
    MIN(IF(A$2:A$1997=A597, IF(B$2:B$1997&gt;B597, B$2:B$1997))) - B597,
    TODAY() - Table3[[#This Row],[Date of Update]]
  ),
  TODAY()-Table3[[#This Row],[Date of Update]]
)&lt;=0,
TODAY()-Table3[[#This Row],[Date of Update]],
IFERROR(
  IF(
    COUNTIF(A$2:A$1997, A597) &gt; 1,
    MIN(IF(A$2:A$1997=A597, IF(B$2:B$1997&gt;B597, B$2:B$1997))) - B597,
    TODAY() - Table3[[#This Row],[Date of Update]]
  ),
  TODAY()-Table3[[#This Row],[Date of Update]]
)))</f>
        <v>0</v>
      </c>
      <c r="G597" s="7">
        <f>IF(Table3[[#This Row],[Stage]]="Closed",Table3[[#This Row],[Date of Update]]-(_xlfn.MINIFS(Table3[Date of Update],Table3[Ref], Table3[[#This Row],[Ref]])),"")</f>
        <v>3</v>
      </c>
    </row>
    <row r="598" spans="1:7" x14ac:dyDescent="0.25">
      <c r="A598" s="4" t="s">
        <v>442</v>
      </c>
      <c r="B598" s="5">
        <v>45128</v>
      </c>
      <c r="C598" s="6" t="s">
        <v>17</v>
      </c>
      <c r="D598" s="6" t="s">
        <v>9</v>
      </c>
      <c r="E598" s="6" t="s">
        <v>443</v>
      </c>
      <c r="F598" s="6" cm="1">
        <f t="array" aca="1" ref="F598" ca="1">IF(Table3[[#This Row],[Stage]]="Closed",0,IF(IFERROR(
  IF(
    COUNTIF(A$2:A$1997, A598) &gt; 1,
    MIN(IF(A$2:A$1997=A598, IF(B$2:B$1997&gt;B598, B$2:B$1997))) - B598,
    TODAY() - Table3[[#This Row],[Date of Update]]
  ),
  TODAY()-Table3[[#This Row],[Date of Update]]
)&lt;=0,
TODAY()-Table3[[#This Row],[Date of Update]],
IFERROR(
  IF(
    COUNTIF(A$2:A$1997, A598) &gt; 1,
    MIN(IF(A$2:A$1997=A598, IF(B$2:B$1997&gt;B598, B$2:B$1997))) - B598,
    TODAY() - Table3[[#This Row],[Date of Update]]
  ),
  TODAY()-Table3[[#This Row],[Date of Update]]
)))</f>
        <v>0</v>
      </c>
      <c r="G598" s="7">
        <f>IF(Table3[[#This Row],[Stage]]="Closed",Table3[[#This Row],[Date of Update]]-(_xlfn.MINIFS(Table3[Date of Update],Table3[Ref], Table3[[#This Row],[Ref]])),"")</f>
        <v>2</v>
      </c>
    </row>
    <row r="599" spans="1:7" x14ac:dyDescent="0.25">
      <c r="A599" s="4" t="s">
        <v>445</v>
      </c>
      <c r="B599" s="5">
        <v>45132</v>
      </c>
      <c r="C599" s="6" t="s">
        <v>8</v>
      </c>
      <c r="D599" s="6" t="s">
        <v>9</v>
      </c>
      <c r="E599" s="6" t="s">
        <v>446</v>
      </c>
      <c r="F599" s="6" cm="1">
        <f t="array" aca="1" ref="F599" ca="1">IF(Table3[[#This Row],[Stage]]="Closed",0,IF(IFERROR(
  IF(
    COUNTIF(A$2:A$1997, A599) &gt; 1,
    MIN(IF(A$2:A$1997=A599, IF(B$2:B$1997&gt;B599, B$2:B$1997))) - B599,
    TODAY() - Table3[[#This Row],[Date of Update]]
  ),
  TODAY()-Table3[[#This Row],[Date of Update]]
)&lt;=0,
TODAY()-Table3[[#This Row],[Date of Update]],
IFERROR(
  IF(
    COUNTIF(A$2:A$1997, A599) &gt; 1,
    MIN(IF(A$2:A$1997=A599, IF(B$2:B$1997&gt;B599, B$2:B$1997))) - B599,
    TODAY() - Table3[[#This Row],[Date of Update]]
  ),
  TODAY()-Table3[[#This Row],[Date of Update]]
)))</f>
        <v>15</v>
      </c>
      <c r="G599" s="7" t="str">
        <f>IF(Table3[[#This Row],[Stage]]="Closed",Table3[[#This Row],[Date of Update]]-(_xlfn.MINIFS(Table3[Date of Update],Table3[Ref], Table3[[#This Row],[Ref]])),"")</f>
        <v/>
      </c>
    </row>
    <row r="600" spans="1:7" x14ac:dyDescent="0.25">
      <c r="A600" s="4" t="s">
        <v>447</v>
      </c>
      <c r="B600" s="5">
        <v>45132</v>
      </c>
      <c r="C600" s="6" t="s">
        <v>8</v>
      </c>
      <c r="D600" s="6" t="s">
        <v>9</v>
      </c>
      <c r="E600" s="6" t="s">
        <v>448</v>
      </c>
      <c r="F600" s="6" cm="1">
        <f t="array" aca="1" ref="F600" ca="1">IF(Table3[[#This Row],[Stage]]="Closed",0,IF(IFERROR(
  IF(
    COUNTIF(A$2:A$1997, A600) &gt; 1,
    MIN(IF(A$2:A$1997=A600, IF(B$2:B$1997&gt;B600, B$2:B$1997))) - B600,
    TODAY() - Table3[[#This Row],[Date of Update]]
  ),
  TODAY()-Table3[[#This Row],[Date of Update]]
)&lt;=0,
TODAY()-Table3[[#This Row],[Date of Update]],
IFERROR(
  IF(
    COUNTIF(A$2:A$1997, A600) &gt; 1,
    MIN(IF(A$2:A$1997=A600, IF(B$2:B$1997&gt;B600, B$2:B$1997))) - B600,
    TODAY() - Table3[[#This Row],[Date of Update]]
  ),
  TODAY()-Table3[[#This Row],[Date of Update]]
)))</f>
        <v>255</v>
      </c>
      <c r="G600" s="7" t="str">
        <f>IF(Table3[[#This Row],[Stage]]="Closed",Table3[[#This Row],[Date of Update]]-(_xlfn.MINIFS(Table3[Date of Update],Table3[Ref], Table3[[#This Row],[Ref]])),"")</f>
        <v/>
      </c>
    </row>
    <row r="601" spans="1:7" x14ac:dyDescent="0.25">
      <c r="A601" s="4" t="s">
        <v>432</v>
      </c>
      <c r="B601" s="5">
        <v>45134</v>
      </c>
      <c r="C601" s="6" t="s">
        <v>17</v>
      </c>
      <c r="D601" s="6" t="s">
        <v>9</v>
      </c>
      <c r="E601" s="6" t="s">
        <v>433</v>
      </c>
      <c r="F601" s="6" cm="1">
        <f t="array" aca="1" ref="F601" ca="1">IF(Table3[[#This Row],[Stage]]="Closed",0,IF(IFERROR(
  IF(
    COUNTIF(A$2:A$1997, A601) &gt; 1,
    MIN(IF(A$2:A$1997=A601, IF(B$2:B$1997&gt;B601, B$2:B$1997))) - B601,
    TODAY() - Table3[[#This Row],[Date of Update]]
  ),
  TODAY()-Table3[[#This Row],[Date of Update]]
)&lt;=0,
TODAY()-Table3[[#This Row],[Date of Update]],
IFERROR(
  IF(
    COUNTIF(A$2:A$1997, A601) &gt; 1,
    MIN(IF(A$2:A$1997=A601, IF(B$2:B$1997&gt;B601, B$2:B$1997))) - B601,
    TODAY() - Table3[[#This Row],[Date of Update]]
  ),
  TODAY()-Table3[[#This Row],[Date of Update]]
)))</f>
        <v>0</v>
      </c>
      <c r="G601" s="7">
        <f>IF(Table3[[#This Row],[Stage]]="Closed",Table3[[#This Row],[Date of Update]]-(_xlfn.MINIFS(Table3[Date of Update],Table3[Ref], Table3[[#This Row],[Ref]])),"")</f>
        <v>31</v>
      </c>
    </row>
    <row r="602" spans="1:7" x14ac:dyDescent="0.25">
      <c r="A602" s="4" t="s">
        <v>437</v>
      </c>
      <c r="B602" s="5">
        <v>45134</v>
      </c>
      <c r="C602" s="6" t="s">
        <v>17</v>
      </c>
      <c r="D602" s="6" t="s">
        <v>9</v>
      </c>
      <c r="E602" s="6" t="s">
        <v>377</v>
      </c>
      <c r="F602" s="6" cm="1">
        <f t="array" aca="1" ref="F602" ca="1">IF(Table3[[#This Row],[Stage]]="Closed",0,IF(IFERROR(
  IF(
    COUNTIF(A$2:A$1997, A602) &gt; 1,
    MIN(IF(A$2:A$1997=A602, IF(B$2:B$1997&gt;B602, B$2:B$1997))) - B602,
    TODAY() - Table3[[#This Row],[Date of Update]]
  ),
  TODAY()-Table3[[#This Row],[Date of Update]]
)&lt;=0,
TODAY()-Table3[[#This Row],[Date of Update]],
IFERROR(
  IF(
    COUNTIF(A$2:A$1997, A602) &gt; 1,
    MIN(IF(A$2:A$1997=A602, IF(B$2:B$1997&gt;B602, B$2:B$1997))) - B602,
    TODAY() - Table3[[#This Row],[Date of Update]]
  ),
  TODAY()-Table3[[#This Row],[Date of Update]]
)))</f>
        <v>0</v>
      </c>
      <c r="G602" s="7">
        <f>IF(Table3[[#This Row],[Stage]]="Closed",Table3[[#This Row],[Date of Update]]-(_xlfn.MINIFS(Table3[Date of Update],Table3[Ref], Table3[[#This Row],[Ref]])),"")</f>
        <v>14</v>
      </c>
    </row>
    <row r="603" spans="1:7" x14ac:dyDescent="0.25">
      <c r="A603" s="4" t="s">
        <v>392</v>
      </c>
      <c r="B603" s="5">
        <v>45134</v>
      </c>
      <c r="C603" s="6" t="s">
        <v>17</v>
      </c>
      <c r="D603" s="6" t="s">
        <v>9</v>
      </c>
      <c r="E603" s="6" t="s">
        <v>393</v>
      </c>
      <c r="F603" s="6" cm="1">
        <f t="array" aca="1" ref="F603" ca="1">IF(Table3[[#This Row],[Stage]]="Closed",0,IF(IFERROR(
  IF(
    COUNTIF(A$2:A$1997, A603) &gt; 1,
    MIN(IF(A$2:A$1997=A603, IF(B$2:B$1997&gt;B603, B$2:B$1997))) - B603,
    TODAY() - Table3[[#This Row],[Date of Update]]
  ),
  TODAY()-Table3[[#This Row],[Date of Update]]
)&lt;=0,
TODAY()-Table3[[#This Row],[Date of Update]],
IFERROR(
  IF(
    COUNTIF(A$2:A$1997, A603) &gt; 1,
    MIN(IF(A$2:A$1997=A603, IF(B$2:B$1997&gt;B603, B$2:B$1997))) - B603,
    TODAY() - Table3[[#This Row],[Date of Update]]
  ),
  TODAY()-Table3[[#This Row],[Date of Update]]
)))</f>
        <v>0</v>
      </c>
      <c r="G603" s="7">
        <f>IF(Table3[[#This Row],[Stage]]="Closed",Table3[[#This Row],[Date of Update]]-(_xlfn.MINIFS(Table3[Date of Update],Table3[Ref], Table3[[#This Row],[Ref]])),"")</f>
        <v>71</v>
      </c>
    </row>
    <row r="604" spans="1:7" x14ac:dyDescent="0.25">
      <c r="A604" s="4" t="s">
        <v>405</v>
      </c>
      <c r="B604" s="5">
        <v>45134</v>
      </c>
      <c r="C604" s="6" t="s">
        <v>17</v>
      </c>
      <c r="D604" s="6" t="s">
        <v>9</v>
      </c>
      <c r="E604" s="6" t="s">
        <v>406</v>
      </c>
      <c r="F604" s="6" cm="1">
        <f t="array" aca="1" ref="F604" ca="1">IF(Table3[[#This Row],[Stage]]="Closed",0,IF(IFERROR(
  IF(
    COUNTIF(A$2:A$1997, A604) &gt; 1,
    MIN(IF(A$2:A$1997=A604, IF(B$2:B$1997&gt;B604, B$2:B$1997))) - B604,
    TODAY() - Table3[[#This Row],[Date of Update]]
  ),
  TODAY()-Table3[[#This Row],[Date of Update]]
)&lt;=0,
TODAY()-Table3[[#This Row],[Date of Update]],
IFERROR(
  IF(
    COUNTIF(A$2:A$1997, A604) &gt; 1,
    MIN(IF(A$2:A$1997=A604, IF(B$2:B$1997&gt;B604, B$2:B$1997))) - B604,
    TODAY() - Table3[[#This Row],[Date of Update]]
  ),
  TODAY()-Table3[[#This Row],[Date of Update]]
)))</f>
        <v>0</v>
      </c>
      <c r="G604" s="7">
        <f>IF(Table3[[#This Row],[Stage]]="Closed",Table3[[#This Row],[Date of Update]]-(_xlfn.MINIFS(Table3[Date of Update],Table3[Ref], Table3[[#This Row],[Ref]])),"")</f>
        <v>57</v>
      </c>
    </row>
    <row r="605" spans="1:7" x14ac:dyDescent="0.25">
      <c r="A605" s="4" t="s">
        <v>438</v>
      </c>
      <c r="B605" s="5">
        <v>45134</v>
      </c>
      <c r="C605" s="6" t="s">
        <v>17</v>
      </c>
      <c r="D605" s="6" t="s">
        <v>9</v>
      </c>
      <c r="E605" s="6" t="s">
        <v>377</v>
      </c>
      <c r="F605" s="6" cm="1">
        <f t="array" aca="1" ref="F605" ca="1">IF(Table3[[#This Row],[Stage]]="Closed",0,IF(IFERROR(
  IF(
    COUNTIF(A$2:A$1997, A605) &gt; 1,
    MIN(IF(A$2:A$1997=A605, IF(B$2:B$1997&gt;B605, B$2:B$1997))) - B605,
    TODAY() - Table3[[#This Row],[Date of Update]]
  ),
  TODAY()-Table3[[#This Row],[Date of Update]]
)&lt;=0,
TODAY()-Table3[[#This Row],[Date of Update]],
IFERROR(
  IF(
    COUNTIF(A$2:A$1997, A605) &gt; 1,
    MIN(IF(A$2:A$1997=A605, IF(B$2:B$1997&gt;B605, B$2:B$1997))) - B605,
    TODAY() - Table3[[#This Row],[Date of Update]]
  ),
  TODAY()-Table3[[#This Row],[Date of Update]]
)))</f>
        <v>0</v>
      </c>
      <c r="G605" s="7">
        <f>IF(Table3[[#This Row],[Stage]]="Closed",Table3[[#This Row],[Date of Update]]-(_xlfn.MINIFS(Table3[Date of Update],Table3[Ref], Table3[[#This Row],[Ref]])),"")</f>
        <v>14</v>
      </c>
    </row>
    <row r="606" spans="1:7" x14ac:dyDescent="0.25">
      <c r="A606" s="4" t="s">
        <v>449</v>
      </c>
      <c r="B606" s="5">
        <v>45135</v>
      </c>
      <c r="C606" s="6" t="s">
        <v>8</v>
      </c>
      <c r="D606" s="6" t="s">
        <v>9</v>
      </c>
      <c r="E606" s="6" t="s">
        <v>231</v>
      </c>
      <c r="F606" s="6" cm="1">
        <f t="array" aca="1" ref="F606" ca="1">IF(Table3[[#This Row],[Stage]]="Closed",0,IF(IFERROR(
  IF(
    COUNTIF(A$2:A$1997, A606) &gt; 1,
    MIN(IF(A$2:A$1997=A606, IF(B$2:B$1997&gt;B606, B$2:B$1997))) - B606,
    TODAY() - Table3[[#This Row],[Date of Update]]
  ),
  TODAY()-Table3[[#This Row],[Date of Update]]
)&lt;=0,
TODAY()-Table3[[#This Row],[Date of Update]],
IFERROR(
  IF(
    COUNTIF(A$2:A$1997, A606) &gt; 1,
    MIN(IF(A$2:A$1997=A606, IF(B$2:B$1997&gt;B606, B$2:B$1997))) - B606,
    TODAY() - Table3[[#This Row],[Date of Update]]
  ),
  TODAY()-Table3[[#This Row],[Date of Update]]
)))</f>
        <v>12</v>
      </c>
      <c r="G606" s="7" t="str">
        <f>IF(Table3[[#This Row],[Stage]]="Closed",Table3[[#This Row],[Date of Update]]-(_xlfn.MINIFS(Table3[Date of Update],Table3[Ref], Table3[[#This Row],[Ref]])),"")</f>
        <v/>
      </c>
    </row>
    <row r="607" spans="1:7" x14ac:dyDescent="0.25">
      <c r="A607" s="4" t="s">
        <v>439</v>
      </c>
      <c r="B607" s="5">
        <v>45135</v>
      </c>
      <c r="C607" s="6" t="s">
        <v>17</v>
      </c>
      <c r="D607" s="6" t="s">
        <v>9</v>
      </c>
      <c r="E607" s="6" t="s">
        <v>80</v>
      </c>
      <c r="F607" s="6" cm="1">
        <f t="array" aca="1" ref="F607" ca="1">IF(Table3[[#This Row],[Stage]]="Closed",0,IF(IFERROR(
  IF(
    COUNTIF(A$2:A$1997, A607) &gt; 1,
    MIN(IF(A$2:A$1997=A607, IF(B$2:B$1997&gt;B607, B$2:B$1997))) - B607,
    TODAY() - Table3[[#This Row],[Date of Update]]
  ),
  TODAY()-Table3[[#This Row],[Date of Update]]
)&lt;=0,
TODAY()-Table3[[#This Row],[Date of Update]],
IFERROR(
  IF(
    COUNTIF(A$2:A$1997, A607) &gt; 1,
    MIN(IF(A$2:A$1997=A607, IF(B$2:B$1997&gt;B607, B$2:B$1997))) - B607,
    TODAY() - Table3[[#This Row],[Date of Update]]
  ),
  TODAY()-Table3[[#This Row],[Date of Update]]
)))</f>
        <v>0</v>
      </c>
      <c r="G607" s="7">
        <f>IF(Table3[[#This Row],[Stage]]="Closed",Table3[[#This Row],[Date of Update]]-(_xlfn.MINIFS(Table3[Date of Update],Table3[Ref], Table3[[#This Row],[Ref]])),"")</f>
        <v>12</v>
      </c>
    </row>
    <row r="608" spans="1:7" x14ac:dyDescent="0.25">
      <c r="A608" s="4" t="s">
        <v>450</v>
      </c>
      <c r="B608" s="5">
        <v>45135</v>
      </c>
      <c r="C608" s="6" t="s">
        <v>8</v>
      </c>
      <c r="D608" s="6" t="s">
        <v>9</v>
      </c>
      <c r="E608" s="6" t="s">
        <v>451</v>
      </c>
      <c r="F608" s="6" cm="1">
        <f t="array" aca="1" ref="F608" ca="1">IF(Table3[[#This Row],[Stage]]="Closed",0,IF(IFERROR(
  IF(
    COUNTIF(A$2:A$1997, A608) &gt; 1,
    MIN(IF(A$2:A$1997=A608, IF(B$2:B$1997&gt;B608, B$2:B$1997))) - B608,
    TODAY() - Table3[[#This Row],[Date of Update]]
  ),
  TODAY()-Table3[[#This Row],[Date of Update]]
)&lt;=0,
TODAY()-Table3[[#This Row],[Date of Update]],
IFERROR(
  IF(
    COUNTIF(A$2:A$1997, A608) &gt; 1,
    MIN(IF(A$2:A$1997=A608, IF(B$2:B$1997&gt;B608, B$2:B$1997))) - B608,
    TODAY() - Table3[[#This Row],[Date of Update]]
  ),
  TODAY()-Table3[[#This Row],[Date of Update]]
)))</f>
        <v>7</v>
      </c>
      <c r="G608" s="7" t="str">
        <f>IF(Table3[[#This Row],[Stage]]="Closed",Table3[[#This Row],[Date of Update]]-(_xlfn.MINIFS(Table3[Date of Update],Table3[Ref], Table3[[#This Row],[Ref]])),"")</f>
        <v/>
      </c>
    </row>
    <row r="609" spans="1:7" x14ac:dyDescent="0.25">
      <c r="A609" s="4" t="s">
        <v>452</v>
      </c>
      <c r="B609" s="5">
        <v>45135</v>
      </c>
      <c r="C609" s="6" t="s">
        <v>8</v>
      </c>
      <c r="D609" s="6" t="s">
        <v>9</v>
      </c>
      <c r="E609" s="6" t="s">
        <v>453</v>
      </c>
      <c r="F609" s="6" cm="1">
        <f t="array" aca="1" ref="F609" ca="1">IF(Table3[[#This Row],[Stage]]="Closed",0,IF(IFERROR(
  IF(
    COUNTIF(A$2:A$1997, A609) &gt; 1,
    MIN(IF(A$2:A$1997=A609, IF(B$2:B$1997&gt;B609, B$2:B$1997))) - B609,
    TODAY() - Table3[[#This Row],[Date of Update]]
  ),
  TODAY()-Table3[[#This Row],[Date of Update]]
)&lt;=0,
TODAY()-Table3[[#This Row],[Date of Update]],
IFERROR(
  IF(
    COUNTIF(A$2:A$1997, A609) &gt; 1,
    MIN(IF(A$2:A$1997=A609, IF(B$2:B$1997&gt;B609, B$2:B$1997))) - B609,
    TODAY() - Table3[[#This Row],[Date of Update]]
  ),
  TODAY()-Table3[[#This Row],[Date of Update]]
)))</f>
        <v>7</v>
      </c>
      <c r="G609" s="7" t="str">
        <f>IF(Table3[[#This Row],[Stage]]="Closed",Table3[[#This Row],[Date of Update]]-(_xlfn.MINIFS(Table3[Date of Update],Table3[Ref], Table3[[#This Row],[Ref]])),"")</f>
        <v/>
      </c>
    </row>
    <row r="610" spans="1:7" x14ac:dyDescent="0.25">
      <c r="A610" s="4" t="s">
        <v>323</v>
      </c>
      <c r="B610" s="5">
        <v>45135</v>
      </c>
      <c r="C610" s="6" t="s">
        <v>17</v>
      </c>
      <c r="D610" s="6" t="s">
        <v>9</v>
      </c>
      <c r="E610" s="6" t="s">
        <v>304</v>
      </c>
      <c r="F610" s="6" cm="1">
        <f t="array" aca="1" ref="F610" ca="1">IF(Table3[[#This Row],[Stage]]="Closed",0,IF(IFERROR(
  IF(
    COUNTIF(A$2:A$1997, A610) &gt; 1,
    MIN(IF(A$2:A$1997=A610, IF(B$2:B$1997&gt;B610, B$2:B$1997))) - B610,
    TODAY() - Table3[[#This Row],[Date of Update]]
  ),
  TODAY()-Table3[[#This Row],[Date of Update]]
)&lt;=0,
TODAY()-Table3[[#This Row],[Date of Update]],
IFERROR(
  IF(
    COUNTIF(A$2:A$1997, A610) &gt; 1,
    MIN(IF(A$2:A$1997=A610, IF(B$2:B$1997&gt;B610, B$2:B$1997))) - B610,
    TODAY() - Table3[[#This Row],[Date of Update]]
  ),
  TODAY()-Table3[[#This Row],[Date of Update]]
)))</f>
        <v>0</v>
      </c>
      <c r="G610" s="7">
        <f>IF(Table3[[#This Row],[Stage]]="Closed",Table3[[#This Row],[Date of Update]]-(_xlfn.MINIFS(Table3[Date of Update],Table3[Ref], Table3[[#This Row],[Ref]])),"")</f>
        <v>164</v>
      </c>
    </row>
    <row r="611" spans="1:7" x14ac:dyDescent="0.25">
      <c r="A611" s="4" t="s">
        <v>229</v>
      </c>
      <c r="B611" s="5">
        <v>45135</v>
      </c>
      <c r="C611" s="6" t="s">
        <v>17</v>
      </c>
      <c r="D611" s="6" t="s">
        <v>9</v>
      </c>
      <c r="E611" s="6" t="s">
        <v>17</v>
      </c>
      <c r="F611" s="6" cm="1">
        <f t="array" aca="1" ref="F611" ca="1">IF(Table3[[#This Row],[Stage]]="Closed",0,IF(IFERROR(
  IF(
    COUNTIF(A$2:A$1997, A611) &gt; 1,
    MIN(IF(A$2:A$1997=A611, IF(B$2:B$1997&gt;B611, B$2:B$1997))) - B611,
    TODAY() - Table3[[#This Row],[Date of Update]]
  ),
  TODAY()-Table3[[#This Row],[Date of Update]]
)&lt;=0,
TODAY()-Table3[[#This Row],[Date of Update]],
IFERROR(
  IF(
    COUNTIF(A$2:A$1997, A611) &gt; 1,
    MIN(IF(A$2:A$1997=A611, IF(B$2:B$1997&gt;B611, B$2:B$1997))) - B611,
    TODAY() - Table3[[#This Row],[Date of Update]]
  ),
  TODAY()-Table3[[#This Row],[Date of Update]]
)))</f>
        <v>0</v>
      </c>
      <c r="G611" s="7">
        <f>IF(Table3[[#This Row],[Stage]]="Closed",Table3[[#This Row],[Date of Update]]-(_xlfn.MINIFS(Table3[Date of Update],Table3[Ref], Table3[[#This Row],[Ref]])),"")</f>
        <v>238</v>
      </c>
    </row>
    <row r="612" spans="1:7" x14ac:dyDescent="0.25">
      <c r="A612" s="4" t="s">
        <v>454</v>
      </c>
      <c r="B612" s="5">
        <v>45138</v>
      </c>
      <c r="C612" s="6" t="s">
        <v>8</v>
      </c>
      <c r="D612" s="6" t="s">
        <v>9</v>
      </c>
      <c r="E612" s="6" t="s">
        <v>244</v>
      </c>
      <c r="F612" s="6" cm="1">
        <f t="array" aca="1" ref="F612" ca="1">IF(Table3[[#This Row],[Stage]]="Closed",0,IF(IFERROR(
  IF(
    COUNTIF(A$2:A$1997, A612) &gt; 1,
    MIN(IF(A$2:A$1997=A612, IF(B$2:B$1997&gt;B612, B$2:B$1997))) - B612,
    TODAY() - Table3[[#This Row],[Date of Update]]
  ),
  TODAY()-Table3[[#This Row],[Date of Update]]
)&lt;=0,
TODAY()-Table3[[#This Row],[Date of Update]],
IFERROR(
  IF(
    COUNTIF(A$2:A$1997, A612) &gt; 1,
    MIN(IF(A$2:A$1997=A612, IF(B$2:B$1997&gt;B612, B$2:B$1997))) - B612,
    TODAY() - Table3[[#This Row],[Date of Update]]
  ),
  TODAY()-Table3[[#This Row],[Date of Update]]
)))</f>
        <v>828</v>
      </c>
      <c r="G612" s="7" t="str">
        <f>IF(Table3[[#This Row],[Stage]]="Closed",Table3[[#This Row],[Date of Update]]-(_xlfn.MINIFS(Table3[Date of Update],Table3[Ref], Table3[[#This Row],[Ref]])),"")</f>
        <v/>
      </c>
    </row>
    <row r="613" spans="1:7" x14ac:dyDescent="0.25">
      <c r="A613" s="4" t="s">
        <v>454</v>
      </c>
      <c r="B613" s="5">
        <v>45138</v>
      </c>
      <c r="C613" s="6" t="s">
        <v>17</v>
      </c>
      <c r="D613" s="6" t="s">
        <v>9</v>
      </c>
      <c r="E613" s="6" t="s">
        <v>244</v>
      </c>
      <c r="F613" s="6" cm="1">
        <f t="array" aca="1" ref="F613" ca="1">IF(Table3[[#This Row],[Stage]]="Closed",0,IF(IFERROR(
  IF(
    COUNTIF(A$2:A$1997, A613) &gt; 1,
    MIN(IF(A$2:A$1997=A613, IF(B$2:B$1997&gt;B613, B$2:B$1997))) - B613,
    TODAY() - Table3[[#This Row],[Date of Update]]
  ),
  TODAY()-Table3[[#This Row],[Date of Update]]
)&lt;=0,
TODAY()-Table3[[#This Row],[Date of Update]],
IFERROR(
  IF(
    COUNTIF(A$2:A$1997, A613) &gt; 1,
    MIN(IF(A$2:A$1997=A613, IF(B$2:B$1997&gt;B613, B$2:B$1997))) - B613,
    TODAY() - Table3[[#This Row],[Date of Update]]
  ),
  TODAY()-Table3[[#This Row],[Date of Update]]
)))</f>
        <v>0</v>
      </c>
      <c r="G613" s="7">
        <f>IF(Table3[[#This Row],[Stage]]="Closed",Table3[[#This Row],[Date of Update]]-(_xlfn.MINIFS(Table3[Date of Update],Table3[Ref], Table3[[#This Row],[Ref]])),"")</f>
        <v>0</v>
      </c>
    </row>
    <row r="614" spans="1:7" x14ac:dyDescent="0.25">
      <c r="A614" s="4" t="s">
        <v>455</v>
      </c>
      <c r="B614" s="5">
        <v>45139</v>
      </c>
      <c r="C614" s="6" t="s">
        <v>8</v>
      </c>
      <c r="D614" s="6" t="s">
        <v>9</v>
      </c>
      <c r="E614" s="6" t="s">
        <v>456</v>
      </c>
      <c r="F614" s="6" cm="1">
        <f t="array" aca="1" ref="F614" ca="1">IF(Table3[[#This Row],[Stage]]="Closed",0,IF(IFERROR(
  IF(
    COUNTIF(A$2:A$1997, A614) &gt; 1,
    MIN(IF(A$2:A$1997=A614, IF(B$2:B$1997&gt;B614, B$2:B$1997))) - B614,
    TODAY() - Table3[[#This Row],[Date of Update]]
  ),
  TODAY()-Table3[[#This Row],[Date of Update]]
)&lt;=0,
TODAY()-Table3[[#This Row],[Date of Update]],
IFERROR(
  IF(
    COUNTIF(A$2:A$1997, A614) &gt; 1,
    MIN(IF(A$2:A$1997=A614, IF(B$2:B$1997&gt;B614, B$2:B$1997))) - B614,
    TODAY() - Table3[[#This Row],[Date of Update]]
  ),
  TODAY()-Table3[[#This Row],[Date of Update]]
)))</f>
        <v>2</v>
      </c>
      <c r="G614" s="7" t="str">
        <f>IF(Table3[[#This Row],[Stage]]="Closed",Table3[[#This Row],[Date of Update]]-(_xlfn.MINIFS(Table3[Date of Update],Table3[Ref], Table3[[#This Row],[Ref]])),"")</f>
        <v/>
      </c>
    </row>
    <row r="615" spans="1:7" x14ac:dyDescent="0.25">
      <c r="A615" s="4" t="s">
        <v>457</v>
      </c>
      <c r="B615" s="5">
        <v>45140</v>
      </c>
      <c r="C615" s="6" t="s">
        <v>8</v>
      </c>
      <c r="D615" s="6" t="s">
        <v>9</v>
      </c>
      <c r="E615" s="6" t="s">
        <v>231</v>
      </c>
      <c r="F615" s="6" cm="1">
        <f t="array" aca="1" ref="F615" ca="1">IF(Table3[[#This Row],[Stage]]="Closed",0,IF(IFERROR(
  IF(
    COUNTIF(A$2:A$1997, A615) &gt; 1,
    MIN(IF(A$2:A$1997=A615, IF(B$2:B$1997&gt;B615, B$2:B$1997))) - B615,
    TODAY() - Table3[[#This Row],[Date of Update]]
  ),
  TODAY()-Table3[[#This Row],[Date of Update]]
)&lt;=0,
TODAY()-Table3[[#This Row],[Date of Update]],
IFERROR(
  IF(
    COUNTIF(A$2:A$1997, A615) &gt; 1,
    MIN(IF(A$2:A$1997=A615, IF(B$2:B$1997&gt;B615, B$2:B$1997))) - B615,
    TODAY() - Table3[[#This Row],[Date of Update]]
  ),
  TODAY()-Table3[[#This Row],[Date of Update]]
)))</f>
        <v>2</v>
      </c>
      <c r="G615" s="7" t="str">
        <f>IF(Table3[[#This Row],[Stage]]="Closed",Table3[[#This Row],[Date of Update]]-(_xlfn.MINIFS(Table3[Date of Update],Table3[Ref], Table3[[#This Row],[Ref]])),"")</f>
        <v/>
      </c>
    </row>
    <row r="616" spans="1:7" x14ac:dyDescent="0.25">
      <c r="A616" s="4" t="s">
        <v>458</v>
      </c>
      <c r="B616" s="5">
        <v>45140</v>
      </c>
      <c r="C616" s="6" t="s">
        <v>8</v>
      </c>
      <c r="D616" s="6" t="s">
        <v>9</v>
      </c>
      <c r="E616" s="6" t="s">
        <v>304</v>
      </c>
      <c r="F616" s="6" cm="1">
        <f t="array" aca="1" ref="F616" ca="1">IF(Table3[[#This Row],[Stage]]="Closed",0,IF(IFERROR(
  IF(
    COUNTIF(A$2:A$1997, A616) &gt; 1,
    MIN(IF(A$2:A$1997=A616, IF(B$2:B$1997&gt;B616, B$2:B$1997))) - B616,
    TODAY() - Table3[[#This Row],[Date of Update]]
  ),
  TODAY()-Table3[[#This Row],[Date of Update]]
)&lt;=0,
TODAY()-Table3[[#This Row],[Date of Update]],
IFERROR(
  IF(
    COUNTIF(A$2:A$1997, A616) &gt; 1,
    MIN(IF(A$2:A$1997=A616, IF(B$2:B$1997&gt;B616, B$2:B$1997))) - B616,
    TODAY() - Table3[[#This Row],[Date of Update]]
  ),
  TODAY()-Table3[[#This Row],[Date of Update]]
)))</f>
        <v>184</v>
      </c>
      <c r="G616" s="7" t="str">
        <f>IF(Table3[[#This Row],[Stage]]="Closed",Table3[[#This Row],[Date of Update]]-(_xlfn.MINIFS(Table3[Date of Update],Table3[Ref], Table3[[#This Row],[Ref]])),"")</f>
        <v/>
      </c>
    </row>
    <row r="617" spans="1:7" x14ac:dyDescent="0.25">
      <c r="A617" s="4" t="s">
        <v>455</v>
      </c>
      <c r="B617" s="5">
        <v>45141</v>
      </c>
      <c r="C617" s="6" t="s">
        <v>17</v>
      </c>
      <c r="D617" s="6" t="s">
        <v>9</v>
      </c>
      <c r="E617" s="6" t="s">
        <v>456</v>
      </c>
      <c r="F617" s="6" cm="1">
        <f t="array" aca="1" ref="F617" ca="1">IF(Table3[[#This Row],[Stage]]="Closed",0,IF(IFERROR(
  IF(
    COUNTIF(A$2:A$1997, A617) &gt; 1,
    MIN(IF(A$2:A$1997=A617, IF(B$2:B$1997&gt;B617, B$2:B$1997))) - B617,
    TODAY() - Table3[[#This Row],[Date of Update]]
  ),
  TODAY()-Table3[[#This Row],[Date of Update]]
)&lt;=0,
TODAY()-Table3[[#This Row],[Date of Update]],
IFERROR(
  IF(
    COUNTIF(A$2:A$1997, A617) &gt; 1,
    MIN(IF(A$2:A$1997=A617, IF(B$2:B$1997&gt;B617, B$2:B$1997))) - B617,
    TODAY() - Table3[[#This Row],[Date of Update]]
  ),
  TODAY()-Table3[[#This Row],[Date of Update]]
)))</f>
        <v>0</v>
      </c>
      <c r="G617" s="7">
        <f>IF(Table3[[#This Row],[Stage]]="Closed",Table3[[#This Row],[Date of Update]]-(_xlfn.MINIFS(Table3[Date of Update],Table3[Ref], Table3[[#This Row],[Ref]])),"")</f>
        <v>2</v>
      </c>
    </row>
    <row r="618" spans="1:7" x14ac:dyDescent="0.25">
      <c r="A618" s="4" t="s">
        <v>459</v>
      </c>
      <c r="B618" s="5">
        <v>45141</v>
      </c>
      <c r="C618" s="6" t="s">
        <v>8</v>
      </c>
      <c r="D618" s="6" t="s">
        <v>9</v>
      </c>
      <c r="E618" s="6" t="s">
        <v>460</v>
      </c>
      <c r="F618" s="6" cm="1">
        <f t="array" aca="1" ref="F618" ca="1">IF(Table3[[#This Row],[Stage]]="Closed",0,IF(IFERROR(
  IF(
    COUNTIF(A$2:A$1997, A618) &gt; 1,
    MIN(IF(A$2:A$1997=A618, IF(B$2:B$1997&gt;B618, B$2:B$1997))) - B618,
    TODAY() - Table3[[#This Row],[Date of Update]]
  ),
  TODAY()-Table3[[#This Row],[Date of Update]]
)&lt;=0,
TODAY()-Table3[[#This Row],[Date of Update]],
IFERROR(
  IF(
    COUNTIF(A$2:A$1997, A618) &gt; 1,
    MIN(IF(A$2:A$1997=A618, IF(B$2:B$1997&gt;B618, B$2:B$1997))) - B618,
    TODAY() - Table3[[#This Row],[Date of Update]]
  ),
  TODAY()-Table3[[#This Row],[Date of Update]]
)))</f>
        <v>4</v>
      </c>
      <c r="G618" s="7" t="str">
        <f>IF(Table3[[#This Row],[Stage]]="Closed",Table3[[#This Row],[Date of Update]]-(_xlfn.MINIFS(Table3[Date of Update],Table3[Ref], Table3[[#This Row],[Ref]])),"")</f>
        <v/>
      </c>
    </row>
    <row r="619" spans="1:7" x14ac:dyDescent="0.25">
      <c r="A619" s="4" t="s">
        <v>450</v>
      </c>
      <c r="B619" s="5">
        <v>45142</v>
      </c>
      <c r="C619" s="6" t="s">
        <v>17</v>
      </c>
      <c r="D619" s="6" t="s">
        <v>9</v>
      </c>
      <c r="E619" s="6" t="s">
        <v>451</v>
      </c>
      <c r="F619" s="6" cm="1">
        <f t="array" aca="1" ref="F619" ca="1">IF(Table3[[#This Row],[Stage]]="Closed",0,IF(IFERROR(
  IF(
    COUNTIF(A$2:A$1997, A619) &gt; 1,
    MIN(IF(A$2:A$1997=A619, IF(B$2:B$1997&gt;B619, B$2:B$1997))) - B619,
    TODAY() - Table3[[#This Row],[Date of Update]]
  ),
  TODAY()-Table3[[#This Row],[Date of Update]]
)&lt;=0,
TODAY()-Table3[[#This Row],[Date of Update]],
IFERROR(
  IF(
    COUNTIF(A$2:A$1997, A619) &gt; 1,
    MIN(IF(A$2:A$1997=A619, IF(B$2:B$1997&gt;B619, B$2:B$1997))) - B619,
    TODAY() - Table3[[#This Row],[Date of Update]]
  ),
  TODAY()-Table3[[#This Row],[Date of Update]]
)))</f>
        <v>0</v>
      </c>
      <c r="G619" s="7">
        <f>IF(Table3[[#This Row],[Stage]]="Closed",Table3[[#This Row],[Date of Update]]-(_xlfn.MINIFS(Table3[Date of Update],Table3[Ref], Table3[[#This Row],[Ref]])),"")</f>
        <v>7</v>
      </c>
    </row>
    <row r="620" spans="1:7" x14ac:dyDescent="0.25">
      <c r="A620" s="4" t="s">
        <v>461</v>
      </c>
      <c r="B620" s="5">
        <v>45142</v>
      </c>
      <c r="C620" s="6" t="s">
        <v>8</v>
      </c>
      <c r="D620" s="6" t="s">
        <v>9</v>
      </c>
      <c r="E620" s="6" t="s">
        <v>462</v>
      </c>
      <c r="F620" s="6" cm="1">
        <f t="array" aca="1" ref="F620" ca="1">IF(Table3[[#This Row],[Stage]]="Closed",0,IF(IFERROR(
  IF(
    COUNTIF(A$2:A$1997, A620) &gt; 1,
    MIN(IF(A$2:A$1997=A620, IF(B$2:B$1997&gt;B620, B$2:B$1997))) - B620,
    TODAY() - Table3[[#This Row],[Date of Update]]
  ),
  TODAY()-Table3[[#This Row],[Date of Update]]
)&lt;=0,
TODAY()-Table3[[#This Row],[Date of Update]],
IFERROR(
  IF(
    COUNTIF(A$2:A$1997, A620) &gt; 1,
    MIN(IF(A$2:A$1997=A620, IF(B$2:B$1997&gt;B620, B$2:B$1997))) - B620,
    TODAY() - Table3[[#This Row],[Date of Update]]
  ),
  TODAY()-Table3[[#This Row],[Date of Update]]
)))</f>
        <v>824</v>
      </c>
      <c r="G620" s="7" t="str">
        <f>IF(Table3[[#This Row],[Stage]]="Closed",Table3[[#This Row],[Date of Update]]-(_xlfn.MINIFS(Table3[Date of Update],Table3[Ref], Table3[[#This Row],[Ref]])),"")</f>
        <v/>
      </c>
    </row>
    <row r="621" spans="1:7" x14ac:dyDescent="0.25">
      <c r="A621" s="4" t="s">
        <v>461</v>
      </c>
      <c r="B621" s="5">
        <v>45142</v>
      </c>
      <c r="C621" s="6" t="s">
        <v>17</v>
      </c>
      <c r="D621" s="6" t="s">
        <v>9</v>
      </c>
      <c r="E621" s="6" t="s">
        <v>462</v>
      </c>
      <c r="F621" s="6" cm="1">
        <f t="array" aca="1" ref="F621" ca="1">IF(Table3[[#This Row],[Stage]]="Closed",0,IF(IFERROR(
  IF(
    COUNTIF(A$2:A$1997, A621) &gt; 1,
    MIN(IF(A$2:A$1997=A621, IF(B$2:B$1997&gt;B621, B$2:B$1997))) - B621,
    TODAY() - Table3[[#This Row],[Date of Update]]
  ),
  TODAY()-Table3[[#This Row],[Date of Update]]
)&lt;=0,
TODAY()-Table3[[#This Row],[Date of Update]],
IFERROR(
  IF(
    COUNTIF(A$2:A$1997, A621) &gt; 1,
    MIN(IF(A$2:A$1997=A621, IF(B$2:B$1997&gt;B621, B$2:B$1997))) - B621,
    TODAY() - Table3[[#This Row],[Date of Update]]
  ),
  TODAY()-Table3[[#This Row],[Date of Update]]
)))</f>
        <v>0</v>
      </c>
      <c r="G621" s="7">
        <f>IF(Table3[[#This Row],[Stage]]="Closed",Table3[[#This Row],[Date of Update]]-(_xlfn.MINIFS(Table3[Date of Update],Table3[Ref], Table3[[#This Row],[Ref]])),"")</f>
        <v>0</v>
      </c>
    </row>
    <row r="622" spans="1:7" x14ac:dyDescent="0.25">
      <c r="A622" s="4" t="s">
        <v>463</v>
      </c>
      <c r="B622" s="5">
        <v>45142</v>
      </c>
      <c r="C622" s="6" t="s">
        <v>8</v>
      </c>
      <c r="D622" s="6" t="s">
        <v>9</v>
      </c>
      <c r="E622" s="6" t="s">
        <v>464</v>
      </c>
      <c r="F622" s="6" cm="1">
        <f t="array" aca="1" ref="F622" ca="1">IF(Table3[[#This Row],[Stage]]="Closed",0,IF(IFERROR(
  IF(
    COUNTIF(A$2:A$1997, A622) &gt; 1,
    MIN(IF(A$2:A$1997=A622, IF(B$2:B$1997&gt;B622, B$2:B$1997))) - B622,
    TODAY() - Table3[[#This Row],[Date of Update]]
  ),
  TODAY()-Table3[[#This Row],[Date of Update]]
)&lt;=0,
TODAY()-Table3[[#This Row],[Date of Update]],
IFERROR(
  IF(
    COUNTIF(A$2:A$1997, A622) &gt; 1,
    MIN(IF(A$2:A$1997=A622, IF(B$2:B$1997&gt;B622, B$2:B$1997))) - B622,
    TODAY() - Table3[[#This Row],[Date of Update]]
  ),
  TODAY()-Table3[[#This Row],[Date of Update]]
)))</f>
        <v>824</v>
      </c>
      <c r="G622" s="7" t="str">
        <f>IF(Table3[[#This Row],[Stage]]="Closed",Table3[[#This Row],[Date of Update]]-(_xlfn.MINIFS(Table3[Date of Update],Table3[Ref], Table3[[#This Row],[Ref]])),"")</f>
        <v/>
      </c>
    </row>
    <row r="623" spans="1:7" x14ac:dyDescent="0.25">
      <c r="A623" s="4" t="s">
        <v>463</v>
      </c>
      <c r="B623" s="5">
        <v>45142</v>
      </c>
      <c r="C623" s="6" t="s">
        <v>17</v>
      </c>
      <c r="D623" s="6" t="s">
        <v>9</v>
      </c>
      <c r="E623" s="6" t="s">
        <v>464</v>
      </c>
      <c r="F623" s="6" cm="1">
        <f t="array" aca="1" ref="F623" ca="1">IF(Table3[[#This Row],[Stage]]="Closed",0,IF(IFERROR(
  IF(
    COUNTIF(A$2:A$1997, A623) &gt; 1,
    MIN(IF(A$2:A$1997=A623, IF(B$2:B$1997&gt;B623, B$2:B$1997))) - B623,
    TODAY() - Table3[[#This Row],[Date of Update]]
  ),
  TODAY()-Table3[[#This Row],[Date of Update]]
)&lt;=0,
TODAY()-Table3[[#This Row],[Date of Update]],
IFERROR(
  IF(
    COUNTIF(A$2:A$1997, A623) &gt; 1,
    MIN(IF(A$2:A$1997=A623, IF(B$2:B$1997&gt;B623, B$2:B$1997))) - B623,
    TODAY() - Table3[[#This Row],[Date of Update]]
  ),
  TODAY()-Table3[[#This Row],[Date of Update]]
)))</f>
        <v>0</v>
      </c>
      <c r="G623" s="7">
        <f>IF(Table3[[#This Row],[Stage]]="Closed",Table3[[#This Row],[Date of Update]]-(_xlfn.MINIFS(Table3[Date of Update],Table3[Ref], Table3[[#This Row],[Ref]])),"")</f>
        <v>0</v>
      </c>
    </row>
    <row r="624" spans="1:7" x14ac:dyDescent="0.25">
      <c r="A624" s="4" t="s">
        <v>370</v>
      </c>
      <c r="B624" s="5">
        <v>45142</v>
      </c>
      <c r="C624" s="6" t="s">
        <v>17</v>
      </c>
      <c r="D624" s="6" t="s">
        <v>9</v>
      </c>
      <c r="E624" s="6" t="s">
        <v>371</v>
      </c>
      <c r="F624" s="6" cm="1">
        <f t="array" aca="1" ref="F624" ca="1">IF(Table3[[#This Row],[Stage]]="Closed",0,IF(IFERROR(
  IF(
    COUNTIF(A$2:A$1997, A624) &gt; 1,
    MIN(IF(A$2:A$1997=A624, IF(B$2:B$1997&gt;B624, B$2:B$1997))) - B624,
    TODAY() - Table3[[#This Row],[Date of Update]]
  ),
  TODAY()-Table3[[#This Row],[Date of Update]]
)&lt;=0,
TODAY()-Table3[[#This Row],[Date of Update]],
IFERROR(
  IF(
    COUNTIF(A$2:A$1997, A624) &gt; 1,
    MIN(IF(A$2:A$1997=A624, IF(B$2:B$1997&gt;B624, B$2:B$1997))) - B624,
    TODAY() - Table3[[#This Row],[Date of Update]]
  ),
  TODAY()-Table3[[#This Row],[Date of Update]]
)))</f>
        <v>0</v>
      </c>
      <c r="G624" s="7">
        <f>IF(Table3[[#This Row],[Stage]]="Closed",Table3[[#This Row],[Date of Update]]-(_xlfn.MINIFS(Table3[Date of Update],Table3[Ref], Table3[[#This Row],[Ref]])),"")</f>
        <v>114</v>
      </c>
    </row>
    <row r="625" spans="1:7" x14ac:dyDescent="0.25">
      <c r="A625" s="4" t="s">
        <v>457</v>
      </c>
      <c r="B625" s="5">
        <v>45142</v>
      </c>
      <c r="C625" s="6" t="s">
        <v>17</v>
      </c>
      <c r="D625" s="6" t="s">
        <v>9</v>
      </c>
      <c r="E625" s="6" t="s">
        <v>231</v>
      </c>
      <c r="F625" s="6" cm="1">
        <f t="array" aca="1" ref="F625" ca="1">IF(Table3[[#This Row],[Stage]]="Closed",0,IF(IFERROR(
  IF(
    COUNTIF(A$2:A$1997, A625) &gt; 1,
    MIN(IF(A$2:A$1997=A625, IF(B$2:B$1997&gt;B625, B$2:B$1997))) - B625,
    TODAY() - Table3[[#This Row],[Date of Update]]
  ),
  TODAY()-Table3[[#This Row],[Date of Update]]
)&lt;=0,
TODAY()-Table3[[#This Row],[Date of Update]],
IFERROR(
  IF(
    COUNTIF(A$2:A$1997, A625) &gt; 1,
    MIN(IF(A$2:A$1997=A625, IF(B$2:B$1997&gt;B625, B$2:B$1997))) - B625,
    TODAY() - Table3[[#This Row],[Date of Update]]
  ),
  TODAY()-Table3[[#This Row],[Date of Update]]
)))</f>
        <v>0</v>
      </c>
      <c r="G625" s="7">
        <f>IF(Table3[[#This Row],[Stage]]="Closed",Table3[[#This Row],[Date of Update]]-(_xlfn.MINIFS(Table3[Date of Update],Table3[Ref], Table3[[#This Row],[Ref]])),"")</f>
        <v>2</v>
      </c>
    </row>
    <row r="626" spans="1:7" x14ac:dyDescent="0.25">
      <c r="A626" s="4" t="s">
        <v>465</v>
      </c>
      <c r="B626" s="5">
        <v>45142</v>
      </c>
      <c r="C626" s="6" t="s">
        <v>8</v>
      </c>
      <c r="D626" s="6" t="s">
        <v>9</v>
      </c>
      <c r="E626" s="6" t="s">
        <v>466</v>
      </c>
      <c r="F626" s="6" cm="1">
        <f t="array" aca="1" ref="F626" ca="1">IF(Table3[[#This Row],[Stage]]="Closed",0,IF(IFERROR(
  IF(
    COUNTIF(A$2:A$1997, A626) &gt; 1,
    MIN(IF(A$2:A$1997=A626, IF(B$2:B$1997&gt;B626, B$2:B$1997))) - B626,
    TODAY() - Table3[[#This Row],[Date of Update]]
  ),
  TODAY()-Table3[[#This Row],[Date of Update]]
)&lt;=0,
TODAY()-Table3[[#This Row],[Date of Update]],
IFERROR(
  IF(
    COUNTIF(A$2:A$1997, A626) &gt; 1,
    MIN(IF(A$2:A$1997=A626, IF(B$2:B$1997&gt;B626, B$2:B$1997))) - B626,
    TODAY() - Table3[[#This Row],[Date of Update]]
  ),
  TODAY()-Table3[[#This Row],[Date of Update]]
)))</f>
        <v>21</v>
      </c>
      <c r="G626" s="7" t="str">
        <f>IF(Table3[[#This Row],[Stage]]="Closed",Table3[[#This Row],[Date of Update]]-(_xlfn.MINIFS(Table3[Date of Update],Table3[Ref], Table3[[#This Row],[Ref]])),"")</f>
        <v/>
      </c>
    </row>
    <row r="627" spans="1:7" x14ac:dyDescent="0.25">
      <c r="A627" s="4" t="s">
        <v>452</v>
      </c>
      <c r="B627" s="5">
        <v>45142</v>
      </c>
      <c r="C627" s="6" t="s">
        <v>17</v>
      </c>
      <c r="D627" s="6" t="s">
        <v>9</v>
      </c>
      <c r="E627" s="6" t="s">
        <v>453</v>
      </c>
      <c r="F627" s="6" cm="1">
        <f t="array" aca="1" ref="F627" ca="1">IF(Table3[[#This Row],[Stage]]="Closed",0,IF(IFERROR(
  IF(
    COUNTIF(A$2:A$1997, A627) &gt; 1,
    MIN(IF(A$2:A$1997=A627, IF(B$2:B$1997&gt;B627, B$2:B$1997))) - B627,
    TODAY() - Table3[[#This Row],[Date of Update]]
  ),
  TODAY()-Table3[[#This Row],[Date of Update]]
)&lt;=0,
TODAY()-Table3[[#This Row],[Date of Update]],
IFERROR(
  IF(
    COUNTIF(A$2:A$1997, A627) &gt; 1,
    MIN(IF(A$2:A$1997=A627, IF(B$2:B$1997&gt;B627, B$2:B$1997))) - B627,
    TODAY() - Table3[[#This Row],[Date of Update]]
  ),
  TODAY()-Table3[[#This Row],[Date of Update]]
)))</f>
        <v>0</v>
      </c>
      <c r="G627" s="7">
        <f>IF(Table3[[#This Row],[Stage]]="Closed",Table3[[#This Row],[Date of Update]]-(_xlfn.MINIFS(Table3[Date of Update],Table3[Ref], Table3[[#This Row],[Ref]])),"")</f>
        <v>7</v>
      </c>
    </row>
    <row r="628" spans="1:7" x14ac:dyDescent="0.25">
      <c r="A628" s="4" t="s">
        <v>467</v>
      </c>
      <c r="B628" s="5">
        <v>45142</v>
      </c>
      <c r="C628" s="6" t="s">
        <v>8</v>
      </c>
      <c r="D628" s="6" t="s">
        <v>9</v>
      </c>
      <c r="E628" s="6" t="s">
        <v>304</v>
      </c>
      <c r="F628" s="6" cm="1">
        <f t="array" aca="1" ref="F628" ca="1">IF(Table3[[#This Row],[Stage]]="Closed",0,IF(IFERROR(
  IF(
    COUNTIF(A$2:A$1997, A628) &gt; 1,
    MIN(IF(A$2:A$1997=A628, IF(B$2:B$1997&gt;B628, B$2:B$1997))) - B628,
    TODAY() - Table3[[#This Row],[Date of Update]]
  ),
  TODAY()-Table3[[#This Row],[Date of Update]]
)&lt;=0,
TODAY()-Table3[[#This Row],[Date of Update]],
IFERROR(
  IF(
    COUNTIF(A$2:A$1997, A628) &gt; 1,
    MIN(IF(A$2:A$1997=A628, IF(B$2:B$1997&gt;B628, B$2:B$1997))) - B628,
    TODAY() - Table3[[#This Row],[Date of Update]]
  ),
  TODAY()-Table3[[#This Row],[Date of Update]]
)))</f>
        <v>98</v>
      </c>
      <c r="G628" s="7" t="str">
        <f>IF(Table3[[#This Row],[Stage]]="Closed",Table3[[#This Row],[Date of Update]]-(_xlfn.MINIFS(Table3[Date of Update],Table3[Ref], Table3[[#This Row],[Ref]])),"")</f>
        <v/>
      </c>
    </row>
    <row r="629" spans="1:7" x14ac:dyDescent="0.25">
      <c r="A629" s="4" t="s">
        <v>459</v>
      </c>
      <c r="B629" s="5">
        <v>45145</v>
      </c>
      <c r="C629" s="6" t="s">
        <v>17</v>
      </c>
      <c r="D629" s="6" t="s">
        <v>9</v>
      </c>
      <c r="E629" s="6" t="s">
        <v>460</v>
      </c>
      <c r="F629" s="6" cm="1">
        <f t="array" aca="1" ref="F629" ca="1">IF(Table3[[#This Row],[Stage]]="Closed",0,IF(IFERROR(
  IF(
    COUNTIF(A$2:A$1997, A629) &gt; 1,
    MIN(IF(A$2:A$1997=A629, IF(B$2:B$1997&gt;B629, B$2:B$1997))) - B629,
    TODAY() - Table3[[#This Row],[Date of Update]]
  ),
  TODAY()-Table3[[#This Row],[Date of Update]]
)&lt;=0,
TODAY()-Table3[[#This Row],[Date of Update]],
IFERROR(
  IF(
    COUNTIF(A$2:A$1997, A629) &gt; 1,
    MIN(IF(A$2:A$1997=A629, IF(B$2:B$1997&gt;B629, B$2:B$1997))) - B629,
    TODAY() - Table3[[#This Row],[Date of Update]]
  ),
  TODAY()-Table3[[#This Row],[Date of Update]]
)))</f>
        <v>0</v>
      </c>
      <c r="G629" s="7">
        <f>IF(Table3[[#This Row],[Stage]]="Closed",Table3[[#This Row],[Date of Update]]-(_xlfn.MINIFS(Table3[Date of Update],Table3[Ref], Table3[[#This Row],[Ref]])),"")</f>
        <v>4</v>
      </c>
    </row>
    <row r="630" spans="1:7" x14ac:dyDescent="0.25">
      <c r="A630" s="4" t="s">
        <v>449</v>
      </c>
      <c r="B630" s="5">
        <v>45147</v>
      </c>
      <c r="C630" s="6" t="s">
        <v>17</v>
      </c>
      <c r="D630" s="6" t="s">
        <v>9</v>
      </c>
      <c r="E630" s="6" t="s">
        <v>231</v>
      </c>
      <c r="F630" s="6" cm="1">
        <f t="array" aca="1" ref="F630" ca="1">IF(Table3[[#This Row],[Stage]]="Closed",0,IF(IFERROR(
  IF(
    COUNTIF(A$2:A$1997, A630) &gt; 1,
    MIN(IF(A$2:A$1997=A630, IF(B$2:B$1997&gt;B630, B$2:B$1997))) - B630,
    TODAY() - Table3[[#This Row],[Date of Update]]
  ),
  TODAY()-Table3[[#This Row],[Date of Update]]
)&lt;=0,
TODAY()-Table3[[#This Row],[Date of Update]],
IFERROR(
  IF(
    COUNTIF(A$2:A$1997, A630) &gt; 1,
    MIN(IF(A$2:A$1997=A630, IF(B$2:B$1997&gt;B630, B$2:B$1997))) - B630,
    TODAY() - Table3[[#This Row],[Date of Update]]
  ),
  TODAY()-Table3[[#This Row],[Date of Update]]
)))</f>
        <v>0</v>
      </c>
      <c r="G630" s="7">
        <f>IF(Table3[[#This Row],[Stage]]="Closed",Table3[[#This Row],[Date of Update]]-(_xlfn.MINIFS(Table3[Date of Update],Table3[Ref], Table3[[#This Row],[Ref]])),"")</f>
        <v>12</v>
      </c>
    </row>
    <row r="631" spans="1:7" x14ac:dyDescent="0.25">
      <c r="A631" s="4" t="s">
        <v>419</v>
      </c>
      <c r="B631" s="5">
        <v>45147</v>
      </c>
      <c r="C631" s="6" t="s">
        <v>8</v>
      </c>
      <c r="D631" s="6" t="s">
        <v>9</v>
      </c>
      <c r="E631" s="6" t="s">
        <v>420</v>
      </c>
      <c r="F631" s="6" cm="1">
        <f t="array" aca="1" ref="F631" ca="1">IF(Table3[[#This Row],[Stage]]="Closed",0,IF(IFERROR(
  IF(
    COUNTIF(A$2:A$1997, A631) &gt; 1,
    MIN(IF(A$2:A$1997=A631, IF(B$2:B$1997&gt;B631, B$2:B$1997))) - B631,
    TODAY() - Table3[[#This Row],[Date of Update]]
  ),
  TODAY()-Table3[[#This Row],[Date of Update]]
)&lt;=0,
TODAY()-Table3[[#This Row],[Date of Update]],
IFERROR(
  IF(
    COUNTIF(A$2:A$1997, A631) &gt; 1,
    MIN(IF(A$2:A$1997=A631, IF(B$2:B$1997&gt;B631, B$2:B$1997))) - B631,
    TODAY() - Table3[[#This Row],[Date of Update]]
  ),
  TODAY()-Table3[[#This Row],[Date of Update]]
)))</f>
        <v>819</v>
      </c>
      <c r="G631" s="7" t="str">
        <f>IF(Table3[[#This Row],[Stage]]="Closed",Table3[[#This Row],[Date of Update]]-(_xlfn.MINIFS(Table3[Date of Update],Table3[Ref], Table3[[#This Row],[Ref]])),"")</f>
        <v/>
      </c>
    </row>
    <row r="632" spans="1:7" x14ac:dyDescent="0.25">
      <c r="A632" s="4" t="s">
        <v>445</v>
      </c>
      <c r="B632" s="5">
        <v>45147</v>
      </c>
      <c r="C632" s="6" t="s">
        <v>17</v>
      </c>
      <c r="D632" s="6" t="s">
        <v>9</v>
      </c>
      <c r="E632" s="6" t="s">
        <v>446</v>
      </c>
      <c r="F632" s="6" cm="1">
        <f t="array" aca="1" ref="F632" ca="1">IF(Table3[[#This Row],[Stage]]="Closed",0,IF(IFERROR(
  IF(
    COUNTIF(A$2:A$1997, A632) &gt; 1,
    MIN(IF(A$2:A$1997=A632, IF(B$2:B$1997&gt;B632, B$2:B$1997))) - B632,
    TODAY() - Table3[[#This Row],[Date of Update]]
  ),
  TODAY()-Table3[[#This Row],[Date of Update]]
)&lt;=0,
TODAY()-Table3[[#This Row],[Date of Update]],
IFERROR(
  IF(
    COUNTIF(A$2:A$1997, A632) &gt; 1,
    MIN(IF(A$2:A$1997=A632, IF(B$2:B$1997&gt;B632, B$2:B$1997))) - B632,
    TODAY() - Table3[[#This Row],[Date of Update]]
  ),
  TODAY()-Table3[[#This Row],[Date of Update]]
)))</f>
        <v>0</v>
      </c>
      <c r="G632" s="7">
        <f>IF(Table3[[#This Row],[Stage]]="Closed",Table3[[#This Row],[Date of Update]]-(_xlfn.MINIFS(Table3[Date of Update],Table3[Ref], Table3[[#This Row],[Ref]])),"")</f>
        <v>15</v>
      </c>
    </row>
    <row r="633" spans="1:7" x14ac:dyDescent="0.25">
      <c r="A633" s="4" t="s">
        <v>421</v>
      </c>
      <c r="B633" s="5">
        <v>45149</v>
      </c>
      <c r="C633" s="6" t="s">
        <v>17</v>
      </c>
      <c r="D633" s="6" t="s">
        <v>9</v>
      </c>
      <c r="E633" s="6" t="s">
        <v>422</v>
      </c>
      <c r="F633" s="6" cm="1">
        <f t="array" aca="1" ref="F633" ca="1">IF(Table3[[#This Row],[Stage]]="Closed",0,IF(IFERROR(
  IF(
    COUNTIF(A$2:A$1997, A633) &gt; 1,
    MIN(IF(A$2:A$1997=A633, IF(B$2:B$1997&gt;B633, B$2:B$1997))) - B633,
    TODAY() - Table3[[#This Row],[Date of Update]]
  ),
  TODAY()-Table3[[#This Row],[Date of Update]]
)&lt;=0,
TODAY()-Table3[[#This Row],[Date of Update]],
IFERROR(
  IF(
    COUNTIF(A$2:A$1997, A633) &gt; 1,
    MIN(IF(A$2:A$1997=A633, IF(B$2:B$1997&gt;B633, B$2:B$1997))) - B633,
    TODAY() - Table3[[#This Row],[Date of Update]]
  ),
  TODAY()-Table3[[#This Row],[Date of Update]]
)))</f>
        <v>0</v>
      </c>
      <c r="G633" s="7">
        <f>IF(Table3[[#This Row],[Stage]]="Closed",Table3[[#This Row],[Date of Update]]-(_xlfn.MINIFS(Table3[Date of Update],Table3[Ref], Table3[[#This Row],[Ref]])),"")</f>
        <v>64</v>
      </c>
    </row>
    <row r="634" spans="1:7" x14ac:dyDescent="0.25">
      <c r="A634" s="4" t="s">
        <v>468</v>
      </c>
      <c r="B634" s="5">
        <v>45149</v>
      </c>
      <c r="C634" s="6" t="s">
        <v>17</v>
      </c>
      <c r="D634" s="6" t="s">
        <v>9</v>
      </c>
      <c r="E634" s="6" t="s">
        <v>420</v>
      </c>
      <c r="F634" s="6" cm="1">
        <f t="array" aca="1" ref="F634" ca="1">IF(Table3[[#This Row],[Stage]]="Closed",0,IF(IFERROR(
  IF(
    COUNTIF(A$2:A$1997, A634) &gt; 1,
    MIN(IF(A$2:A$1997=A634, IF(B$2:B$1997&gt;B634, B$2:B$1997))) - B634,
    TODAY() - Table3[[#This Row],[Date of Update]]
  ),
  TODAY()-Table3[[#This Row],[Date of Update]]
)&lt;=0,
TODAY()-Table3[[#This Row],[Date of Update]],
IFERROR(
  IF(
    COUNTIF(A$2:A$1997, A634) &gt; 1,
    MIN(IF(A$2:A$1997=A634, IF(B$2:B$1997&gt;B634, B$2:B$1997))) - B634,
    TODAY() - Table3[[#This Row],[Date of Update]]
  ),
  TODAY()-Table3[[#This Row],[Date of Update]]
)))</f>
        <v>0</v>
      </c>
      <c r="G634" s="7">
        <f>IF(Table3[[#This Row],[Stage]]="Closed",Table3[[#This Row],[Date of Update]]-(_xlfn.MINIFS(Table3[Date of Update],Table3[Ref], Table3[[#This Row],[Ref]])),"")</f>
        <v>0</v>
      </c>
    </row>
    <row r="635" spans="1:7" x14ac:dyDescent="0.25">
      <c r="A635" s="4" t="s">
        <v>469</v>
      </c>
      <c r="B635" s="5">
        <v>45152</v>
      </c>
      <c r="C635" s="6" t="s">
        <v>8</v>
      </c>
      <c r="D635" s="6" t="s">
        <v>9</v>
      </c>
      <c r="E635" s="6" t="s">
        <v>420</v>
      </c>
      <c r="F635" s="6" cm="1">
        <f t="array" aca="1" ref="F635" ca="1">IF(Table3[[#This Row],[Stage]]="Closed",0,IF(IFERROR(
  IF(
    COUNTIF(A$2:A$1997, A635) &gt; 1,
    MIN(IF(A$2:A$1997=A635, IF(B$2:B$1997&gt;B635, B$2:B$1997))) - B635,
    TODAY() - Table3[[#This Row],[Date of Update]]
  ),
  TODAY()-Table3[[#This Row],[Date of Update]]
)&lt;=0,
TODAY()-Table3[[#This Row],[Date of Update]],
IFERROR(
  IF(
    COUNTIF(A$2:A$1997, A635) &gt; 1,
    MIN(IF(A$2:A$1997=A635, IF(B$2:B$1997&gt;B635, B$2:B$1997))) - B635,
    TODAY() - Table3[[#This Row],[Date of Update]]
  ),
  TODAY()-Table3[[#This Row],[Date of Update]]
)))</f>
        <v>60</v>
      </c>
      <c r="G635" s="7" t="str">
        <f>IF(Table3[[#This Row],[Stage]]="Closed",Table3[[#This Row],[Date of Update]]-(_xlfn.MINIFS(Table3[Date of Update],Table3[Ref], Table3[[#This Row],[Ref]])),"")</f>
        <v/>
      </c>
    </row>
    <row r="636" spans="1:7" x14ac:dyDescent="0.25">
      <c r="A636" s="4" t="s">
        <v>468</v>
      </c>
      <c r="B636" s="5">
        <v>45152</v>
      </c>
      <c r="C636" s="6" t="s">
        <v>17</v>
      </c>
      <c r="D636" s="6" t="s">
        <v>9</v>
      </c>
      <c r="E636" s="6" t="s">
        <v>420</v>
      </c>
      <c r="F636" s="6" cm="1">
        <f t="array" aca="1" ref="F636" ca="1">IF(Table3[[#This Row],[Stage]]="Closed",0,IF(IFERROR(
  IF(
    COUNTIF(A$2:A$1997, A636) &gt; 1,
    MIN(IF(A$2:A$1997=A636, IF(B$2:B$1997&gt;B636, B$2:B$1997))) - B636,
    TODAY() - Table3[[#This Row],[Date of Update]]
  ),
  TODAY()-Table3[[#This Row],[Date of Update]]
)&lt;=0,
TODAY()-Table3[[#This Row],[Date of Update]],
IFERROR(
  IF(
    COUNTIF(A$2:A$1997, A636) &gt; 1,
    MIN(IF(A$2:A$1997=A636, IF(B$2:B$1997&gt;B636, B$2:B$1997))) - B636,
    TODAY() - Table3[[#This Row],[Date of Update]]
  ),
  TODAY()-Table3[[#This Row],[Date of Update]]
)))</f>
        <v>0</v>
      </c>
      <c r="G636" s="7">
        <f>IF(Table3[[#This Row],[Stage]]="Closed",Table3[[#This Row],[Date of Update]]-(_xlfn.MINIFS(Table3[Date of Update],Table3[Ref], Table3[[#This Row],[Ref]])),"")</f>
        <v>3</v>
      </c>
    </row>
    <row r="637" spans="1:7" x14ac:dyDescent="0.25">
      <c r="A637" s="4" t="s">
        <v>470</v>
      </c>
      <c r="B637" s="5">
        <v>45152</v>
      </c>
      <c r="C637" s="6" t="s">
        <v>8</v>
      </c>
      <c r="D637" s="6" t="s">
        <v>9</v>
      </c>
      <c r="E637" s="6" t="s">
        <v>471</v>
      </c>
      <c r="F637" s="6" cm="1">
        <f t="array" aca="1" ref="F637" ca="1">IF(Table3[[#This Row],[Stage]]="Closed",0,IF(IFERROR(
  IF(
    COUNTIF(A$2:A$1997, A637) &gt; 1,
    MIN(IF(A$2:A$1997=A637, IF(B$2:B$1997&gt;B637, B$2:B$1997))) - B637,
    TODAY() - Table3[[#This Row],[Date of Update]]
  ),
  TODAY()-Table3[[#This Row],[Date of Update]]
)&lt;=0,
TODAY()-Table3[[#This Row],[Date of Update]],
IFERROR(
  IF(
    COUNTIF(A$2:A$1997, A637) &gt; 1,
    MIN(IF(A$2:A$1997=A637, IF(B$2:B$1997&gt;B637, B$2:B$1997))) - B637,
    TODAY() - Table3[[#This Row],[Date of Update]]
  ),
  TODAY()-Table3[[#This Row],[Date of Update]]
)))</f>
        <v>1</v>
      </c>
      <c r="G637" s="7" t="str">
        <f>IF(Table3[[#This Row],[Stage]]="Closed",Table3[[#This Row],[Date of Update]]-(_xlfn.MINIFS(Table3[Date of Update],Table3[Ref], Table3[[#This Row],[Ref]])),"")</f>
        <v/>
      </c>
    </row>
    <row r="638" spans="1:7" x14ac:dyDescent="0.25">
      <c r="A638" s="4" t="s">
        <v>472</v>
      </c>
      <c r="B638" s="5">
        <v>45152</v>
      </c>
      <c r="C638" s="6" t="s">
        <v>8</v>
      </c>
      <c r="D638" s="6" t="s">
        <v>9</v>
      </c>
      <c r="E638" s="6" t="s">
        <v>420</v>
      </c>
      <c r="F638" s="6" cm="1">
        <f t="array" aca="1" ref="F638" ca="1">IF(Table3[[#This Row],[Stage]]="Closed",0,IF(IFERROR(
  IF(
    COUNTIF(A$2:A$1997, A638) &gt; 1,
    MIN(IF(A$2:A$1997=A638, IF(B$2:B$1997&gt;B638, B$2:B$1997))) - B638,
    TODAY() - Table3[[#This Row],[Date of Update]]
  ),
  TODAY()-Table3[[#This Row],[Date of Update]]
)&lt;=0,
TODAY()-Table3[[#This Row],[Date of Update]],
IFERROR(
  IF(
    COUNTIF(A$2:A$1997, A638) &gt; 1,
    MIN(IF(A$2:A$1997=A638, IF(B$2:B$1997&gt;B638, B$2:B$1997))) - B638,
    TODAY() - Table3[[#This Row],[Date of Update]]
  ),
  TODAY()-Table3[[#This Row],[Date of Update]]
)))</f>
        <v>60</v>
      </c>
      <c r="G638" s="7" t="str">
        <f>IF(Table3[[#This Row],[Stage]]="Closed",Table3[[#This Row],[Date of Update]]-(_xlfn.MINIFS(Table3[Date of Update],Table3[Ref], Table3[[#This Row],[Ref]])),"")</f>
        <v/>
      </c>
    </row>
    <row r="639" spans="1:7" x14ac:dyDescent="0.25">
      <c r="A639" s="4" t="s">
        <v>473</v>
      </c>
      <c r="B639" s="5">
        <v>45153</v>
      </c>
      <c r="C639" s="6" t="s">
        <v>8</v>
      </c>
      <c r="D639" s="6" t="s">
        <v>9</v>
      </c>
      <c r="E639" s="6" t="s">
        <v>420</v>
      </c>
      <c r="F639" s="6" cm="1">
        <f t="array" aca="1" ref="F639" ca="1">IF(Table3[[#This Row],[Stage]]="Closed",0,IF(IFERROR(
  IF(
    COUNTIF(A$2:A$1997, A639) &gt; 1,
    MIN(IF(A$2:A$1997=A639, IF(B$2:B$1997&gt;B639, B$2:B$1997))) - B639,
    TODAY() - Table3[[#This Row],[Date of Update]]
  ),
  TODAY()-Table3[[#This Row],[Date of Update]]
)&lt;=0,
TODAY()-Table3[[#This Row],[Date of Update]],
IFERROR(
  IF(
    COUNTIF(A$2:A$1997, A639) &gt; 1,
    MIN(IF(A$2:A$1997=A639, IF(B$2:B$1997&gt;B639, B$2:B$1997))) - B639,
    TODAY() - Table3[[#This Row],[Date of Update]]
  ),
  TODAY()-Table3[[#This Row],[Date of Update]]
)))</f>
        <v>59</v>
      </c>
      <c r="G639" s="7" t="str">
        <f>IF(Table3[[#This Row],[Stage]]="Closed",Table3[[#This Row],[Date of Update]]-(_xlfn.MINIFS(Table3[Date of Update],Table3[Ref], Table3[[#This Row],[Ref]])),"")</f>
        <v/>
      </c>
    </row>
    <row r="640" spans="1:7" x14ac:dyDescent="0.25">
      <c r="A640" s="4" t="s">
        <v>474</v>
      </c>
      <c r="B640" s="5">
        <v>45153</v>
      </c>
      <c r="C640" s="6" t="s">
        <v>17</v>
      </c>
      <c r="D640" s="6" t="s">
        <v>9</v>
      </c>
      <c r="E640" s="6" t="s">
        <v>475</v>
      </c>
      <c r="F640" s="6" cm="1">
        <f t="array" aca="1" ref="F640" ca="1">IF(Table3[[#This Row],[Stage]]="Closed",0,IF(IFERROR(
  IF(
    COUNTIF(A$2:A$1997, A640) &gt; 1,
    MIN(IF(A$2:A$1997=A640, IF(B$2:B$1997&gt;B640, B$2:B$1997))) - B640,
    TODAY() - Table3[[#This Row],[Date of Update]]
  ),
  TODAY()-Table3[[#This Row],[Date of Update]]
)&lt;=0,
TODAY()-Table3[[#This Row],[Date of Update]],
IFERROR(
  IF(
    COUNTIF(A$2:A$1997, A640) &gt; 1,
    MIN(IF(A$2:A$1997=A640, IF(B$2:B$1997&gt;B640, B$2:B$1997))) - B640,
    TODAY() - Table3[[#This Row],[Date of Update]]
  ),
  TODAY()-Table3[[#This Row],[Date of Update]]
)))</f>
        <v>0</v>
      </c>
      <c r="G640" s="7">
        <f>IF(Table3[[#This Row],[Stage]]="Closed",Table3[[#This Row],[Date of Update]]-(_xlfn.MINIFS(Table3[Date of Update],Table3[Ref], Table3[[#This Row],[Ref]])),"")</f>
        <v>0</v>
      </c>
    </row>
    <row r="641" spans="1:7" x14ac:dyDescent="0.25">
      <c r="A641" s="4" t="s">
        <v>476</v>
      </c>
      <c r="B641" s="5">
        <v>45153</v>
      </c>
      <c r="C641" s="6" t="s">
        <v>8</v>
      </c>
      <c r="D641" s="6" t="s">
        <v>9</v>
      </c>
      <c r="E641" s="6" t="s">
        <v>244</v>
      </c>
      <c r="F641" s="6" cm="1">
        <f t="array" aca="1" ref="F641" ca="1">IF(Table3[[#This Row],[Stage]]="Closed",0,IF(IFERROR(
  IF(
    COUNTIF(A$2:A$1997, A641) &gt; 1,
    MIN(IF(A$2:A$1997=A641, IF(B$2:B$1997&gt;B641, B$2:B$1997))) - B641,
    TODAY() - Table3[[#This Row],[Date of Update]]
  ),
  TODAY()-Table3[[#This Row],[Date of Update]]
)&lt;=0,
TODAY()-Table3[[#This Row],[Date of Update]],
IFERROR(
  IF(
    COUNTIF(A$2:A$1997, A641) &gt; 1,
    MIN(IF(A$2:A$1997=A641, IF(B$2:B$1997&gt;B641, B$2:B$1997))) - B641,
    TODAY() - Table3[[#This Row],[Date of Update]]
  ),
  TODAY()-Table3[[#This Row],[Date of Update]]
)))</f>
        <v>8</v>
      </c>
      <c r="G641" s="7" t="str">
        <f>IF(Table3[[#This Row],[Stage]]="Closed",Table3[[#This Row],[Date of Update]]-(_xlfn.MINIFS(Table3[Date of Update],Table3[Ref], Table3[[#This Row],[Ref]])),"")</f>
        <v/>
      </c>
    </row>
    <row r="642" spans="1:7" x14ac:dyDescent="0.25">
      <c r="A642" s="4" t="s">
        <v>477</v>
      </c>
      <c r="B642" s="5">
        <v>45153</v>
      </c>
      <c r="C642" s="6" t="s">
        <v>8</v>
      </c>
      <c r="D642" s="6" t="s">
        <v>9</v>
      </c>
      <c r="E642" s="6" t="s">
        <v>420</v>
      </c>
      <c r="F642" s="6" cm="1">
        <f t="array" aca="1" ref="F642" ca="1">IF(Table3[[#This Row],[Stage]]="Closed",0,IF(IFERROR(
  IF(
    COUNTIF(A$2:A$1997, A642) &gt; 1,
    MIN(IF(A$2:A$1997=A642, IF(B$2:B$1997&gt;B642, B$2:B$1997))) - B642,
    TODAY() - Table3[[#This Row],[Date of Update]]
  ),
  TODAY()-Table3[[#This Row],[Date of Update]]
)&lt;=0,
TODAY()-Table3[[#This Row],[Date of Update]],
IFERROR(
  IF(
    COUNTIF(A$2:A$1997, A642) &gt; 1,
    MIN(IF(A$2:A$1997=A642, IF(B$2:B$1997&gt;B642, B$2:B$1997))) - B642,
    TODAY() - Table3[[#This Row],[Date of Update]]
  ),
  TODAY()-Table3[[#This Row],[Date of Update]]
)))</f>
        <v>59</v>
      </c>
      <c r="G642" s="7" t="str">
        <f>IF(Table3[[#This Row],[Stage]]="Closed",Table3[[#This Row],[Date of Update]]-(_xlfn.MINIFS(Table3[Date of Update],Table3[Ref], Table3[[#This Row],[Ref]])),"")</f>
        <v/>
      </c>
    </row>
    <row r="643" spans="1:7" x14ac:dyDescent="0.25">
      <c r="A643" s="4" t="s">
        <v>470</v>
      </c>
      <c r="B643" s="5">
        <v>45153</v>
      </c>
      <c r="C643" s="6" t="s">
        <v>17</v>
      </c>
      <c r="D643" s="6" t="s">
        <v>9</v>
      </c>
      <c r="E643" s="6" t="s">
        <v>471</v>
      </c>
      <c r="F643" s="6" cm="1">
        <f t="array" aca="1" ref="F643" ca="1">IF(Table3[[#This Row],[Stage]]="Closed",0,IF(IFERROR(
  IF(
    COUNTIF(A$2:A$1997, A643) &gt; 1,
    MIN(IF(A$2:A$1997=A643, IF(B$2:B$1997&gt;B643, B$2:B$1997))) - B643,
    TODAY() - Table3[[#This Row],[Date of Update]]
  ),
  TODAY()-Table3[[#This Row],[Date of Update]]
)&lt;=0,
TODAY()-Table3[[#This Row],[Date of Update]],
IFERROR(
  IF(
    COUNTIF(A$2:A$1997, A643) &gt; 1,
    MIN(IF(A$2:A$1997=A643, IF(B$2:B$1997&gt;B643, B$2:B$1997))) - B643,
    TODAY() - Table3[[#This Row],[Date of Update]]
  ),
  TODAY()-Table3[[#This Row],[Date of Update]]
)))</f>
        <v>0</v>
      </c>
      <c r="G643" s="7">
        <f>IF(Table3[[#This Row],[Stage]]="Closed",Table3[[#This Row],[Date of Update]]-(_xlfn.MINIFS(Table3[Date of Update],Table3[Ref], Table3[[#This Row],[Ref]])),"")</f>
        <v>1</v>
      </c>
    </row>
    <row r="644" spans="1:7" x14ac:dyDescent="0.25">
      <c r="A644" s="4" t="s">
        <v>474</v>
      </c>
      <c r="B644" s="5">
        <v>45154</v>
      </c>
      <c r="C644" s="6" t="s">
        <v>8</v>
      </c>
      <c r="D644" s="6" t="s">
        <v>9</v>
      </c>
      <c r="E644" s="6" t="s">
        <v>475</v>
      </c>
      <c r="F644" s="6" cm="1">
        <f t="array" aca="1" ref="F644" ca="1">IF(Table3[[#This Row],[Stage]]="Closed",0,IF(IFERROR(
  IF(
    COUNTIF(A$2:A$1997, A644) &gt; 1,
    MIN(IF(A$2:A$1997=A644, IF(B$2:B$1997&gt;B644, B$2:B$1997))) - B644,
    TODAY() - Table3[[#This Row],[Date of Update]]
  ),
  TODAY()-Table3[[#This Row],[Date of Update]]
)&lt;=0,
TODAY()-Table3[[#This Row],[Date of Update]],
IFERROR(
  IF(
    COUNTIF(A$2:A$1997, A644) &gt; 1,
    MIN(IF(A$2:A$1997=A644, IF(B$2:B$1997&gt;B644, B$2:B$1997))) - B644,
    TODAY() - Table3[[#This Row],[Date of Update]]
  ),
  TODAY()-Table3[[#This Row],[Date of Update]]
)))</f>
        <v>812</v>
      </c>
      <c r="G644" s="7" t="str">
        <f>IF(Table3[[#This Row],[Stage]]="Closed",Table3[[#This Row],[Date of Update]]-(_xlfn.MINIFS(Table3[Date of Update],Table3[Ref], Table3[[#This Row],[Ref]])),"")</f>
        <v/>
      </c>
    </row>
    <row r="645" spans="1:7" x14ac:dyDescent="0.25">
      <c r="A645" s="4" t="s">
        <v>478</v>
      </c>
      <c r="B645" s="5">
        <v>45154</v>
      </c>
      <c r="C645" s="6" t="s">
        <v>8</v>
      </c>
      <c r="D645" s="6" t="s">
        <v>9</v>
      </c>
      <c r="E645" s="6" t="s">
        <v>80</v>
      </c>
      <c r="F645" s="6" cm="1">
        <f t="array" aca="1" ref="F645" ca="1">IF(Table3[[#This Row],[Stage]]="Closed",0,IF(IFERROR(
  IF(
    COUNTIF(A$2:A$1997, A645) &gt; 1,
    MIN(IF(A$2:A$1997=A645, IF(B$2:B$1997&gt;B645, B$2:B$1997))) - B645,
    TODAY() - Table3[[#This Row],[Date of Update]]
  ),
  TODAY()-Table3[[#This Row],[Date of Update]]
)&lt;=0,
TODAY()-Table3[[#This Row],[Date of Update]],
IFERROR(
  IF(
    COUNTIF(A$2:A$1997, A645) &gt; 1,
    MIN(IF(A$2:A$1997=A645, IF(B$2:B$1997&gt;B645, B$2:B$1997))) - B645,
    TODAY() - Table3[[#This Row],[Date of Update]]
  ),
  TODAY()-Table3[[#This Row],[Date of Update]]
)))</f>
        <v>55</v>
      </c>
      <c r="G645" s="7" t="str">
        <f>IF(Table3[[#This Row],[Stage]]="Closed",Table3[[#This Row],[Date of Update]]-(_xlfn.MINIFS(Table3[Date of Update],Table3[Ref], Table3[[#This Row],[Ref]])),"")</f>
        <v/>
      </c>
    </row>
    <row r="646" spans="1:7" x14ac:dyDescent="0.25">
      <c r="A646" s="4" t="s">
        <v>479</v>
      </c>
      <c r="B646" s="5">
        <v>45156</v>
      </c>
      <c r="C646" s="6" t="s">
        <v>8</v>
      </c>
      <c r="D646" s="6" t="s">
        <v>9</v>
      </c>
      <c r="E646" s="6" t="s">
        <v>304</v>
      </c>
      <c r="F646" s="6" cm="1">
        <f t="array" aca="1" ref="F646" ca="1">IF(Table3[[#This Row],[Stage]]="Closed",0,IF(IFERROR(
  IF(
    COUNTIF(A$2:A$1997, A646) &gt; 1,
    MIN(IF(A$2:A$1997=A646, IF(B$2:B$1997&gt;B646, B$2:B$1997))) - B646,
    TODAY() - Table3[[#This Row],[Date of Update]]
  ),
  TODAY()-Table3[[#This Row],[Date of Update]]
)&lt;=0,
TODAY()-Table3[[#This Row],[Date of Update]],
IFERROR(
  IF(
    COUNTIF(A$2:A$1997, A646) &gt; 1,
    MIN(IF(A$2:A$1997=A646, IF(B$2:B$1997&gt;B646, B$2:B$1997))) - B646,
    TODAY() - Table3[[#This Row],[Date of Update]]
  ),
  TODAY()-Table3[[#This Row],[Date of Update]]
)))</f>
        <v>87</v>
      </c>
      <c r="G646" s="7" t="str">
        <f>IF(Table3[[#This Row],[Stage]]="Closed",Table3[[#This Row],[Date of Update]]-(_xlfn.MINIFS(Table3[Date of Update],Table3[Ref], Table3[[#This Row],[Ref]])),"")</f>
        <v/>
      </c>
    </row>
    <row r="647" spans="1:7" x14ac:dyDescent="0.25">
      <c r="A647" s="4" t="s">
        <v>476</v>
      </c>
      <c r="B647" s="5">
        <v>45161</v>
      </c>
      <c r="C647" s="6" t="s">
        <v>17</v>
      </c>
      <c r="D647" s="6" t="s">
        <v>9</v>
      </c>
      <c r="E647" s="6" t="s">
        <v>244</v>
      </c>
      <c r="F647" s="6" cm="1">
        <f t="array" aca="1" ref="F647" ca="1">IF(Table3[[#This Row],[Stage]]="Closed",0,IF(IFERROR(
  IF(
    COUNTIF(A$2:A$1997, A647) &gt; 1,
    MIN(IF(A$2:A$1997=A647, IF(B$2:B$1997&gt;B647, B$2:B$1997))) - B647,
    TODAY() - Table3[[#This Row],[Date of Update]]
  ),
  TODAY()-Table3[[#This Row],[Date of Update]]
)&lt;=0,
TODAY()-Table3[[#This Row],[Date of Update]],
IFERROR(
  IF(
    COUNTIF(A$2:A$1997, A647) &gt; 1,
    MIN(IF(A$2:A$1997=A647, IF(B$2:B$1997&gt;B647, B$2:B$1997))) - B647,
    TODAY() - Table3[[#This Row],[Date of Update]]
  ),
  TODAY()-Table3[[#This Row],[Date of Update]]
)))</f>
        <v>0</v>
      </c>
      <c r="G647" s="7">
        <f>IF(Table3[[#This Row],[Stage]]="Closed",Table3[[#This Row],[Date of Update]]-(_xlfn.MINIFS(Table3[Date of Update],Table3[Ref], Table3[[#This Row],[Ref]])),"")</f>
        <v>8</v>
      </c>
    </row>
    <row r="648" spans="1:7" x14ac:dyDescent="0.25">
      <c r="A648" s="4" t="s">
        <v>465</v>
      </c>
      <c r="B648" s="5">
        <v>45163</v>
      </c>
      <c r="C648" s="6" t="s">
        <v>17</v>
      </c>
      <c r="D648" s="6" t="s">
        <v>9</v>
      </c>
      <c r="E648" s="6" t="s">
        <v>466</v>
      </c>
      <c r="F648" s="6" cm="1">
        <f t="array" aca="1" ref="F648" ca="1">IF(Table3[[#This Row],[Stage]]="Closed",0,IF(IFERROR(
  IF(
    COUNTIF(A$2:A$1997, A648) &gt; 1,
    MIN(IF(A$2:A$1997=A648, IF(B$2:B$1997&gt;B648, B$2:B$1997))) - B648,
    TODAY() - Table3[[#This Row],[Date of Update]]
  ),
  TODAY()-Table3[[#This Row],[Date of Update]]
)&lt;=0,
TODAY()-Table3[[#This Row],[Date of Update]],
IFERROR(
  IF(
    COUNTIF(A$2:A$1997, A648) &gt; 1,
    MIN(IF(A$2:A$1997=A648, IF(B$2:B$1997&gt;B648, B$2:B$1997))) - B648,
    TODAY() - Table3[[#This Row],[Date of Update]]
  ),
  TODAY()-Table3[[#This Row],[Date of Update]]
)))</f>
        <v>0</v>
      </c>
      <c r="G648" s="7">
        <f>IF(Table3[[#This Row],[Stage]]="Closed",Table3[[#This Row],[Date of Update]]-(_xlfn.MINIFS(Table3[Date of Update],Table3[Ref], Table3[[#This Row],[Ref]])),"")</f>
        <v>21</v>
      </c>
    </row>
    <row r="649" spans="1:7" x14ac:dyDescent="0.25">
      <c r="A649" s="4" t="s">
        <v>480</v>
      </c>
      <c r="B649" s="5">
        <v>45168</v>
      </c>
      <c r="C649" s="6" t="s">
        <v>8</v>
      </c>
      <c r="D649" s="6" t="s">
        <v>9</v>
      </c>
      <c r="E649" s="6" t="s">
        <v>256</v>
      </c>
      <c r="F649" s="6" cm="1">
        <f t="array" aca="1" ref="F649" ca="1">IF(Table3[[#This Row],[Stage]]="Closed",0,IF(IFERROR(
  IF(
    COUNTIF(A$2:A$1997, A649) &gt; 1,
    MIN(IF(A$2:A$1997=A649, IF(B$2:B$1997&gt;B649, B$2:B$1997))) - B649,
    TODAY() - Table3[[#This Row],[Date of Update]]
  ),
  TODAY()-Table3[[#This Row],[Date of Update]]
)&lt;=0,
TODAY()-Table3[[#This Row],[Date of Update]],
IFERROR(
  IF(
    COUNTIF(A$2:A$1997, A649) &gt; 1,
    MIN(IF(A$2:A$1997=A649, IF(B$2:B$1997&gt;B649, B$2:B$1997))) - B649,
    TODAY() - Table3[[#This Row],[Date of Update]]
  ),
  TODAY()-Table3[[#This Row],[Date of Update]]
)))</f>
        <v>63</v>
      </c>
      <c r="G649" s="7" t="str">
        <f>IF(Table3[[#This Row],[Stage]]="Closed",Table3[[#This Row],[Date of Update]]-(_xlfn.MINIFS(Table3[Date of Update],Table3[Ref], Table3[[#This Row],[Ref]])),"")</f>
        <v/>
      </c>
    </row>
    <row r="650" spans="1:7" x14ac:dyDescent="0.25">
      <c r="A650" s="4" t="s">
        <v>481</v>
      </c>
      <c r="B650" s="5">
        <v>45168</v>
      </c>
      <c r="C650" s="6" t="s">
        <v>8</v>
      </c>
      <c r="D650" s="6" t="s">
        <v>9</v>
      </c>
      <c r="E650" s="6" t="s">
        <v>304</v>
      </c>
      <c r="F650" s="6" cm="1">
        <f t="array" aca="1" ref="F650" ca="1">IF(Table3[[#This Row],[Stage]]="Closed",0,IF(IFERROR(
  IF(
    COUNTIF(A$2:A$1997, A650) &gt; 1,
    MIN(IF(A$2:A$1997=A650, IF(B$2:B$1997&gt;B650, B$2:B$1997))) - B650,
    TODAY() - Table3[[#This Row],[Date of Update]]
  ),
  TODAY()-Table3[[#This Row],[Date of Update]]
)&lt;=0,
TODAY()-Table3[[#This Row],[Date of Update]],
IFERROR(
  IF(
    COUNTIF(A$2:A$1997, A650) &gt; 1,
    MIN(IF(A$2:A$1997=A650, IF(B$2:B$1997&gt;B650, B$2:B$1997))) - B650,
    TODAY() - Table3[[#This Row],[Date of Update]]
  ),
  TODAY()-Table3[[#This Row],[Date of Update]]
)))</f>
        <v>93</v>
      </c>
      <c r="G650" s="7" t="str">
        <f>IF(Table3[[#This Row],[Stage]]="Closed",Table3[[#This Row],[Date of Update]]-(_xlfn.MINIFS(Table3[Date of Update],Table3[Ref], Table3[[#This Row],[Ref]])),"")</f>
        <v/>
      </c>
    </row>
    <row r="651" spans="1:7" x14ac:dyDescent="0.25">
      <c r="A651" s="4" t="s">
        <v>482</v>
      </c>
      <c r="B651" s="5">
        <v>45168</v>
      </c>
      <c r="C651" s="6" t="s">
        <v>8</v>
      </c>
      <c r="D651" s="6" t="s">
        <v>9</v>
      </c>
      <c r="E651" s="6" t="s">
        <v>80</v>
      </c>
      <c r="F651" s="6" cm="1">
        <f t="array" aca="1" ref="F651" ca="1">IF(Table3[[#This Row],[Stage]]="Closed",0,IF(IFERROR(
  IF(
    COUNTIF(A$2:A$1997, A651) &gt; 1,
    MIN(IF(A$2:A$1997=A651, IF(B$2:B$1997&gt;B651, B$2:B$1997))) - B651,
    TODAY() - Table3[[#This Row],[Date of Update]]
  ),
  TODAY()-Table3[[#This Row],[Date of Update]]
)&lt;=0,
TODAY()-Table3[[#This Row],[Date of Update]],
IFERROR(
  IF(
    COUNTIF(A$2:A$1997, A651) &gt; 1,
    MIN(IF(A$2:A$1997=A651, IF(B$2:B$1997&gt;B651, B$2:B$1997))) - B651,
    TODAY() - Table3[[#This Row],[Date of Update]]
  ),
  TODAY()-Table3[[#This Row],[Date of Update]]
)))</f>
        <v>12</v>
      </c>
      <c r="G651" s="7" t="str">
        <f>IF(Table3[[#This Row],[Stage]]="Closed",Table3[[#This Row],[Date of Update]]-(_xlfn.MINIFS(Table3[Date of Update],Table3[Ref], Table3[[#This Row],[Ref]])),"")</f>
        <v/>
      </c>
    </row>
    <row r="652" spans="1:7" x14ac:dyDescent="0.25">
      <c r="A652" s="4" t="s">
        <v>310</v>
      </c>
      <c r="B652" s="5">
        <v>45170</v>
      </c>
      <c r="C652" s="6" t="s">
        <v>17</v>
      </c>
      <c r="D652" s="6" t="s">
        <v>9</v>
      </c>
      <c r="E652" s="6" t="s">
        <v>80</v>
      </c>
      <c r="F652" s="6" cm="1">
        <f t="array" aca="1" ref="F652" ca="1">IF(Table3[[#This Row],[Stage]]="Closed",0,IF(IFERROR(
  IF(
    COUNTIF(A$2:A$1997, A652) &gt; 1,
    MIN(IF(A$2:A$1997=A652, IF(B$2:B$1997&gt;B652, B$2:B$1997))) - B652,
    TODAY() - Table3[[#This Row],[Date of Update]]
  ),
  TODAY()-Table3[[#This Row],[Date of Update]]
)&lt;=0,
TODAY()-Table3[[#This Row],[Date of Update]],
IFERROR(
  IF(
    COUNTIF(A$2:A$1997, A652) &gt; 1,
    MIN(IF(A$2:A$1997=A652, IF(B$2:B$1997&gt;B652, B$2:B$1997))) - B652,
    TODAY() - Table3[[#This Row],[Date of Update]]
  ),
  TODAY()-Table3[[#This Row],[Date of Update]]
)))</f>
        <v>0</v>
      </c>
      <c r="G652" s="7">
        <f>IF(Table3[[#This Row],[Stage]]="Closed",Table3[[#This Row],[Date of Update]]-(_xlfn.MINIFS(Table3[Date of Update],Table3[Ref], Table3[[#This Row],[Ref]])),"")</f>
        <v>209</v>
      </c>
    </row>
    <row r="653" spans="1:7" x14ac:dyDescent="0.25">
      <c r="A653" s="4" t="s">
        <v>428</v>
      </c>
      <c r="B653" s="5">
        <v>45170</v>
      </c>
      <c r="C653" s="6" t="s">
        <v>17</v>
      </c>
      <c r="D653" s="6" t="s">
        <v>9</v>
      </c>
      <c r="E653" s="6" t="s">
        <v>429</v>
      </c>
      <c r="F653" s="6" cm="1">
        <f t="array" aca="1" ref="F653" ca="1">IF(Table3[[#This Row],[Stage]]="Closed",0,IF(IFERROR(
  IF(
    COUNTIF(A$2:A$1997, A653) &gt; 1,
    MIN(IF(A$2:A$1997=A653, IF(B$2:B$1997&gt;B653, B$2:B$1997))) - B653,
    TODAY() - Table3[[#This Row],[Date of Update]]
  ),
  TODAY()-Table3[[#This Row],[Date of Update]]
)&lt;=0,
TODAY()-Table3[[#This Row],[Date of Update]],
IFERROR(
  IF(
    COUNTIF(A$2:A$1997, A653) &gt; 1,
    MIN(IF(A$2:A$1997=A653, IF(B$2:B$1997&gt;B653, B$2:B$1997))) - B653,
    TODAY() - Table3[[#This Row],[Date of Update]]
  ),
  TODAY()-Table3[[#This Row],[Date of Update]]
)))</f>
        <v>0</v>
      </c>
      <c r="G653" s="7">
        <f>IF(Table3[[#This Row],[Stage]]="Closed",Table3[[#This Row],[Date of Update]]-(_xlfn.MINIFS(Table3[Date of Update],Table3[Ref], Table3[[#This Row],[Ref]])),"")</f>
        <v>74</v>
      </c>
    </row>
    <row r="654" spans="1:7" x14ac:dyDescent="0.25">
      <c r="A654" s="4" t="s">
        <v>430</v>
      </c>
      <c r="B654" s="5">
        <v>45170</v>
      </c>
      <c r="C654" s="6" t="s">
        <v>17</v>
      </c>
      <c r="D654" s="6" t="s">
        <v>9</v>
      </c>
      <c r="E654" s="6" t="s">
        <v>256</v>
      </c>
      <c r="F654" s="6" cm="1">
        <f t="array" aca="1" ref="F654" ca="1">IF(Table3[[#This Row],[Stage]]="Closed",0,IF(IFERROR(
  IF(
    COUNTIF(A$2:A$1997, A654) &gt; 1,
    MIN(IF(A$2:A$1997=A654, IF(B$2:B$1997&gt;B654, B$2:B$1997))) - B654,
    TODAY() - Table3[[#This Row],[Date of Update]]
  ),
  TODAY()-Table3[[#This Row],[Date of Update]]
)&lt;=0,
TODAY()-Table3[[#This Row],[Date of Update]],
IFERROR(
  IF(
    COUNTIF(A$2:A$1997, A654) &gt; 1,
    MIN(IF(A$2:A$1997=A654, IF(B$2:B$1997&gt;B654, B$2:B$1997))) - B654,
    TODAY() - Table3[[#This Row],[Date of Update]]
  ),
  TODAY()-Table3[[#This Row],[Date of Update]]
)))</f>
        <v>0</v>
      </c>
      <c r="G654" s="7">
        <f>IF(Table3[[#This Row],[Stage]]="Closed",Table3[[#This Row],[Date of Update]]-(_xlfn.MINIFS(Table3[Date of Update],Table3[Ref], Table3[[#This Row],[Ref]])),"")</f>
        <v>74</v>
      </c>
    </row>
    <row r="655" spans="1:7" x14ac:dyDescent="0.25">
      <c r="A655" s="4" t="s">
        <v>413</v>
      </c>
      <c r="B655" s="5">
        <v>45170</v>
      </c>
      <c r="C655" s="6" t="s">
        <v>17</v>
      </c>
      <c r="D655" s="6" t="s">
        <v>9</v>
      </c>
      <c r="E655" s="6" t="s">
        <v>414</v>
      </c>
      <c r="F655" s="6" cm="1">
        <f t="array" aca="1" ref="F655" ca="1">IF(Table3[[#This Row],[Stage]]="Closed",0,IF(IFERROR(
  IF(
    COUNTIF(A$2:A$1997, A655) &gt; 1,
    MIN(IF(A$2:A$1997=A655, IF(B$2:B$1997&gt;B655, B$2:B$1997))) - B655,
    TODAY() - Table3[[#This Row],[Date of Update]]
  ),
  TODAY()-Table3[[#This Row],[Date of Update]]
)&lt;=0,
TODAY()-Table3[[#This Row],[Date of Update]],
IFERROR(
  IF(
    COUNTIF(A$2:A$1997, A655) &gt; 1,
    MIN(IF(A$2:A$1997=A655, IF(B$2:B$1997&gt;B655, B$2:B$1997))) - B655,
    TODAY() - Table3[[#This Row],[Date of Update]]
  ),
  TODAY()-Table3[[#This Row],[Date of Update]]
)))</f>
        <v>0</v>
      </c>
      <c r="G655" s="7">
        <f>IF(Table3[[#This Row],[Stage]]="Closed",Table3[[#This Row],[Date of Update]]-(_xlfn.MINIFS(Table3[Date of Update],Table3[Ref], Table3[[#This Row],[Ref]])),"")</f>
        <v>91</v>
      </c>
    </row>
    <row r="656" spans="1:7" x14ac:dyDescent="0.25">
      <c r="A656" s="4" t="s">
        <v>346</v>
      </c>
      <c r="B656" s="5">
        <v>45170</v>
      </c>
      <c r="C656" s="6" t="s">
        <v>17</v>
      </c>
      <c r="D656" s="6" t="s">
        <v>9</v>
      </c>
      <c r="E656" s="6" t="s">
        <v>80</v>
      </c>
      <c r="F656" s="6" cm="1">
        <f t="array" aca="1" ref="F656" ca="1">IF(Table3[[#This Row],[Stage]]="Closed",0,IF(IFERROR(
  IF(
    COUNTIF(A$2:A$1997, A656) &gt; 1,
    MIN(IF(A$2:A$1997=A656, IF(B$2:B$1997&gt;B656, B$2:B$1997))) - B656,
    TODAY() - Table3[[#This Row],[Date of Update]]
  ),
  TODAY()-Table3[[#This Row],[Date of Update]]
)&lt;=0,
TODAY()-Table3[[#This Row],[Date of Update]],
IFERROR(
  IF(
    COUNTIF(A$2:A$1997, A656) &gt; 1,
    MIN(IF(A$2:A$1997=A656, IF(B$2:B$1997&gt;B656, B$2:B$1997))) - B656,
    TODAY() - Table3[[#This Row],[Date of Update]]
  ),
  TODAY()-Table3[[#This Row],[Date of Update]]
)))</f>
        <v>0</v>
      </c>
      <c r="G656" s="7">
        <f>IF(Table3[[#This Row],[Stage]]="Closed",Table3[[#This Row],[Date of Update]]-(_xlfn.MINIFS(Table3[Date of Update],Table3[Ref], Table3[[#This Row],[Ref]])),"")</f>
        <v>177</v>
      </c>
    </row>
    <row r="657" spans="1:7" x14ac:dyDescent="0.25">
      <c r="A657" s="4" t="s">
        <v>483</v>
      </c>
      <c r="B657" s="5">
        <v>45176</v>
      </c>
      <c r="C657" s="6" t="s">
        <v>8</v>
      </c>
      <c r="D657" s="6" t="s">
        <v>9</v>
      </c>
      <c r="E657" s="6" t="s">
        <v>244</v>
      </c>
      <c r="F657" s="6" cm="1">
        <f t="array" aca="1" ref="F657" ca="1">IF(Table3[[#This Row],[Stage]]="Closed",0,IF(IFERROR(
  IF(
    COUNTIF(A$2:A$1997, A657) &gt; 1,
    MIN(IF(A$2:A$1997=A657, IF(B$2:B$1997&gt;B657, B$2:B$1997))) - B657,
    TODAY() - Table3[[#This Row],[Date of Update]]
  ),
  TODAY()-Table3[[#This Row],[Date of Update]]
)&lt;=0,
TODAY()-Table3[[#This Row],[Date of Update]],
IFERROR(
  IF(
    COUNTIF(A$2:A$1997, A657) &gt; 1,
    MIN(IF(A$2:A$1997=A657, IF(B$2:B$1997&gt;B657, B$2:B$1997))) - B657,
    TODAY() - Table3[[#This Row],[Date of Update]]
  ),
  TODAY()-Table3[[#This Row],[Date of Update]]
)))</f>
        <v>790</v>
      </c>
      <c r="G657" s="7" t="str">
        <f>IF(Table3[[#This Row],[Stage]]="Closed",Table3[[#This Row],[Date of Update]]-(_xlfn.MINIFS(Table3[Date of Update],Table3[Ref], Table3[[#This Row],[Ref]])),"")</f>
        <v/>
      </c>
    </row>
    <row r="658" spans="1:7" x14ac:dyDescent="0.25">
      <c r="A658" s="4" t="s">
        <v>483</v>
      </c>
      <c r="B658" s="5">
        <v>45176</v>
      </c>
      <c r="C658" s="6" t="s">
        <v>17</v>
      </c>
      <c r="D658" s="6" t="s">
        <v>9</v>
      </c>
      <c r="E658" s="6" t="s">
        <v>244</v>
      </c>
      <c r="F658" s="6" cm="1">
        <f t="array" aca="1" ref="F658" ca="1">IF(Table3[[#This Row],[Stage]]="Closed",0,IF(IFERROR(
  IF(
    COUNTIF(A$2:A$1997, A658) &gt; 1,
    MIN(IF(A$2:A$1997=A658, IF(B$2:B$1997&gt;B658, B$2:B$1997))) - B658,
    TODAY() - Table3[[#This Row],[Date of Update]]
  ),
  TODAY()-Table3[[#This Row],[Date of Update]]
)&lt;=0,
TODAY()-Table3[[#This Row],[Date of Update]],
IFERROR(
  IF(
    COUNTIF(A$2:A$1997, A658) &gt; 1,
    MIN(IF(A$2:A$1997=A658, IF(B$2:B$1997&gt;B658, B$2:B$1997))) - B658,
    TODAY() - Table3[[#This Row],[Date of Update]]
  ),
  TODAY()-Table3[[#This Row],[Date of Update]]
)))</f>
        <v>0</v>
      </c>
      <c r="G658" s="7">
        <f>IF(Table3[[#This Row],[Stage]]="Closed",Table3[[#This Row],[Date of Update]]-(_xlfn.MINIFS(Table3[Date of Update],Table3[Ref], Table3[[#This Row],[Ref]])),"")</f>
        <v>0</v>
      </c>
    </row>
    <row r="659" spans="1:7" x14ac:dyDescent="0.25">
      <c r="A659" s="4" t="s">
        <v>482</v>
      </c>
      <c r="B659" s="5">
        <v>45180</v>
      </c>
      <c r="C659" s="6" t="s">
        <v>17</v>
      </c>
      <c r="D659" s="6" t="s">
        <v>9</v>
      </c>
      <c r="E659" s="6" t="s">
        <v>80</v>
      </c>
      <c r="F659" s="6" cm="1">
        <f t="array" aca="1" ref="F659" ca="1">IF(Table3[[#This Row],[Stage]]="Closed",0,IF(IFERROR(
  IF(
    COUNTIF(A$2:A$1997, A659) &gt; 1,
    MIN(IF(A$2:A$1997=A659, IF(B$2:B$1997&gt;B659, B$2:B$1997))) - B659,
    TODAY() - Table3[[#This Row],[Date of Update]]
  ),
  TODAY()-Table3[[#This Row],[Date of Update]]
)&lt;=0,
TODAY()-Table3[[#This Row],[Date of Update]],
IFERROR(
  IF(
    COUNTIF(A$2:A$1997, A659) &gt; 1,
    MIN(IF(A$2:A$1997=A659, IF(B$2:B$1997&gt;B659, B$2:B$1997))) - B659,
    TODAY() - Table3[[#This Row],[Date of Update]]
  ),
  TODAY()-Table3[[#This Row],[Date of Update]]
)))</f>
        <v>0</v>
      </c>
      <c r="G659" s="7">
        <f>IF(Table3[[#This Row],[Stage]]="Closed",Table3[[#This Row],[Date of Update]]-(_xlfn.MINIFS(Table3[Date of Update],Table3[Ref], Table3[[#This Row],[Ref]])),"")</f>
        <v>12</v>
      </c>
    </row>
    <row r="660" spans="1:7" x14ac:dyDescent="0.25">
      <c r="A660" s="4" t="s">
        <v>484</v>
      </c>
      <c r="B660" s="5">
        <v>45181</v>
      </c>
      <c r="C660" s="6" t="s">
        <v>8</v>
      </c>
      <c r="D660" s="6" t="s">
        <v>9</v>
      </c>
      <c r="E660" s="6" t="s">
        <v>244</v>
      </c>
      <c r="F660" s="6" cm="1">
        <f t="array" aca="1" ref="F660" ca="1">IF(Table3[[#This Row],[Stage]]="Closed",0,IF(IFERROR(
  IF(
    COUNTIF(A$2:A$1997, A660) &gt; 1,
    MIN(IF(A$2:A$1997=A660, IF(B$2:B$1997&gt;B660, B$2:B$1997))) - B660,
    TODAY() - Table3[[#This Row],[Date of Update]]
  ),
  TODAY()-Table3[[#This Row],[Date of Update]]
)&lt;=0,
TODAY()-Table3[[#This Row],[Date of Update]],
IFERROR(
  IF(
    COUNTIF(A$2:A$1997, A660) &gt; 1,
    MIN(IF(A$2:A$1997=A660, IF(B$2:B$1997&gt;B660, B$2:B$1997))) - B660,
    TODAY() - Table3[[#This Row],[Date of Update]]
  ),
  TODAY()-Table3[[#This Row],[Date of Update]]
)))</f>
        <v>785</v>
      </c>
      <c r="G660" s="7" t="str">
        <f>IF(Table3[[#This Row],[Stage]]="Closed",Table3[[#This Row],[Date of Update]]-(_xlfn.MINIFS(Table3[Date of Update],Table3[Ref], Table3[[#This Row],[Ref]])),"")</f>
        <v/>
      </c>
    </row>
    <row r="661" spans="1:7" x14ac:dyDescent="0.25">
      <c r="A661" s="4" t="s">
        <v>484</v>
      </c>
      <c r="B661" s="5">
        <v>45181</v>
      </c>
      <c r="C661" s="6" t="s">
        <v>17</v>
      </c>
      <c r="D661" s="6" t="s">
        <v>9</v>
      </c>
      <c r="E661" s="6" t="s">
        <v>244</v>
      </c>
      <c r="F661" s="6" cm="1">
        <f t="array" aca="1" ref="F661" ca="1">IF(Table3[[#This Row],[Stage]]="Closed",0,IF(IFERROR(
  IF(
    COUNTIF(A$2:A$1997, A661) &gt; 1,
    MIN(IF(A$2:A$1997=A661, IF(B$2:B$1997&gt;B661, B$2:B$1997))) - B661,
    TODAY() - Table3[[#This Row],[Date of Update]]
  ),
  TODAY()-Table3[[#This Row],[Date of Update]]
)&lt;=0,
TODAY()-Table3[[#This Row],[Date of Update]],
IFERROR(
  IF(
    COUNTIF(A$2:A$1997, A661) &gt; 1,
    MIN(IF(A$2:A$1997=A661, IF(B$2:B$1997&gt;B661, B$2:B$1997))) - B661,
    TODAY() - Table3[[#This Row],[Date of Update]]
  ),
  TODAY()-Table3[[#This Row],[Date of Update]]
)))</f>
        <v>0</v>
      </c>
      <c r="G661" s="7">
        <f>IF(Table3[[#This Row],[Stage]]="Closed",Table3[[#This Row],[Date of Update]]-(_xlfn.MINIFS(Table3[Date of Update],Table3[Ref], Table3[[#This Row],[Ref]])),"")</f>
        <v>0</v>
      </c>
    </row>
    <row r="662" spans="1:7" x14ac:dyDescent="0.25">
      <c r="A662" s="4" t="s">
        <v>485</v>
      </c>
      <c r="B662" s="5">
        <v>45182</v>
      </c>
      <c r="C662" s="6" t="s">
        <v>8</v>
      </c>
      <c r="D662" s="6" t="s">
        <v>9</v>
      </c>
      <c r="E662" s="6" t="s">
        <v>486</v>
      </c>
      <c r="F662" s="6" cm="1">
        <f t="array" aca="1" ref="F662" ca="1">IF(Table3[[#This Row],[Stage]]="Closed",0,IF(IFERROR(
  IF(
    COUNTIF(A$2:A$1997, A662) &gt; 1,
    MIN(IF(A$2:A$1997=A662, IF(B$2:B$1997&gt;B662, B$2:B$1997))) - B662,
    TODAY() - Table3[[#This Row],[Date of Update]]
  ),
  TODAY()-Table3[[#This Row],[Date of Update]]
)&lt;=0,
TODAY()-Table3[[#This Row],[Date of Update]],
IFERROR(
  IF(
    COUNTIF(A$2:A$1997, A662) &gt; 1,
    MIN(IF(A$2:A$1997=A662, IF(B$2:B$1997&gt;B662, B$2:B$1997))) - B662,
    TODAY() - Table3[[#This Row],[Date of Update]]
  ),
  TODAY()-Table3[[#This Row],[Date of Update]]
)))</f>
        <v>27</v>
      </c>
      <c r="G662" s="7" t="str">
        <f>IF(Table3[[#This Row],[Stage]]="Closed",Table3[[#This Row],[Date of Update]]-(_xlfn.MINIFS(Table3[Date of Update],Table3[Ref], Table3[[#This Row],[Ref]])),"")</f>
        <v/>
      </c>
    </row>
    <row r="663" spans="1:7" x14ac:dyDescent="0.25">
      <c r="A663" s="4" t="s">
        <v>487</v>
      </c>
      <c r="B663" s="5">
        <v>45184</v>
      </c>
      <c r="C663" s="6" t="s">
        <v>8</v>
      </c>
      <c r="D663" s="6" t="s">
        <v>9</v>
      </c>
      <c r="E663" s="6" t="s">
        <v>488</v>
      </c>
      <c r="F663" s="6" cm="1">
        <f t="array" aca="1" ref="F663" ca="1">IF(Table3[[#This Row],[Stage]]="Closed",0,IF(IFERROR(
  IF(
    COUNTIF(A$2:A$1997, A663) &gt; 1,
    MIN(IF(A$2:A$1997=A663, IF(B$2:B$1997&gt;B663, B$2:B$1997))) - B663,
    TODAY() - Table3[[#This Row],[Date of Update]]
  ),
  TODAY()-Table3[[#This Row],[Date of Update]]
)&lt;=0,
TODAY()-Table3[[#This Row],[Date of Update]],
IFERROR(
  IF(
    COUNTIF(A$2:A$1997, A663) &gt; 1,
    MIN(IF(A$2:A$1997=A663, IF(B$2:B$1997&gt;B663, B$2:B$1997))) - B663,
    TODAY() - Table3[[#This Row],[Date of Update]]
  ),
  TODAY()-Table3[[#This Row],[Date of Update]]
)))</f>
        <v>143</v>
      </c>
      <c r="G663" s="7" t="str">
        <f>IF(Table3[[#This Row],[Stage]]="Closed",Table3[[#This Row],[Date of Update]]-(_xlfn.MINIFS(Table3[Date of Update],Table3[Ref], Table3[[#This Row],[Ref]])),"")</f>
        <v/>
      </c>
    </row>
    <row r="664" spans="1:7" x14ac:dyDescent="0.25">
      <c r="A664" s="4" t="s">
        <v>489</v>
      </c>
      <c r="B664" s="5">
        <v>45190</v>
      </c>
      <c r="C664" s="6" t="s">
        <v>8</v>
      </c>
      <c r="D664" s="6" t="s">
        <v>9</v>
      </c>
      <c r="E664" s="6" t="s">
        <v>490</v>
      </c>
      <c r="F664" s="6" cm="1">
        <f t="array" aca="1" ref="F664" ca="1">IF(Table3[[#This Row],[Stage]]="Closed",0,IF(IFERROR(
  IF(
    COUNTIF(A$2:A$1997, A664) &gt; 1,
    MIN(IF(A$2:A$1997=A664, IF(B$2:B$1997&gt;B664, B$2:B$1997))) - B664,
    TODAY() - Table3[[#This Row],[Date of Update]]
  ),
  TODAY()-Table3[[#This Row],[Date of Update]]
)&lt;=0,
TODAY()-Table3[[#This Row],[Date of Update]],
IFERROR(
  IF(
    COUNTIF(A$2:A$1997, A664) &gt; 1,
    MIN(IF(A$2:A$1997=A664, IF(B$2:B$1997&gt;B664, B$2:B$1997))) - B664,
    TODAY() - Table3[[#This Row],[Date of Update]]
  ),
  TODAY()-Table3[[#This Row],[Date of Update]]
)))</f>
        <v>776</v>
      </c>
      <c r="G664" s="7" t="str">
        <f>IF(Table3[[#This Row],[Stage]]="Closed",Table3[[#This Row],[Date of Update]]-(_xlfn.MINIFS(Table3[Date of Update],Table3[Ref], Table3[[#This Row],[Ref]])),"")</f>
        <v/>
      </c>
    </row>
    <row r="665" spans="1:7" x14ac:dyDescent="0.25">
      <c r="A665" s="4" t="s">
        <v>489</v>
      </c>
      <c r="B665" s="5">
        <v>45190</v>
      </c>
      <c r="C665" s="6" t="s">
        <v>17</v>
      </c>
      <c r="D665" s="6" t="s">
        <v>9</v>
      </c>
      <c r="E665" s="6" t="s">
        <v>490</v>
      </c>
      <c r="F665" s="6" cm="1">
        <f t="array" aca="1" ref="F665" ca="1">IF(Table3[[#This Row],[Stage]]="Closed",0,IF(IFERROR(
  IF(
    COUNTIF(A$2:A$1997, A665) &gt; 1,
    MIN(IF(A$2:A$1997=A665, IF(B$2:B$1997&gt;B665, B$2:B$1997))) - B665,
    TODAY() - Table3[[#This Row],[Date of Update]]
  ),
  TODAY()-Table3[[#This Row],[Date of Update]]
)&lt;=0,
TODAY()-Table3[[#This Row],[Date of Update]],
IFERROR(
  IF(
    COUNTIF(A$2:A$1997, A665) &gt; 1,
    MIN(IF(A$2:A$1997=A665, IF(B$2:B$1997&gt;B665, B$2:B$1997))) - B665,
    TODAY() - Table3[[#This Row],[Date of Update]]
  ),
  TODAY()-Table3[[#This Row],[Date of Update]]
)))</f>
        <v>0</v>
      </c>
      <c r="G665" s="7">
        <f>IF(Table3[[#This Row],[Stage]]="Closed",Table3[[#This Row],[Date of Update]]-(_xlfn.MINIFS(Table3[Date of Update],Table3[Ref], Table3[[#This Row],[Ref]])),"")</f>
        <v>0</v>
      </c>
    </row>
    <row r="666" spans="1:7" x14ac:dyDescent="0.25">
      <c r="A666" s="4" t="s">
        <v>491</v>
      </c>
      <c r="B666" s="5">
        <v>45194</v>
      </c>
      <c r="C666" s="6" t="s">
        <v>8</v>
      </c>
      <c r="D666" s="6" t="s">
        <v>9</v>
      </c>
      <c r="E666" s="6" t="s">
        <v>80</v>
      </c>
      <c r="F666" s="6" cm="1">
        <f t="array" aca="1" ref="F666" ca="1">IF(Table3[[#This Row],[Stage]]="Closed",0,IF(IFERROR(
  IF(
    COUNTIF(A$2:A$1997, A666) &gt; 1,
    MIN(IF(A$2:A$1997=A666, IF(B$2:B$1997&gt;B666, B$2:B$1997))) - B666,
    TODAY() - Table3[[#This Row],[Date of Update]]
  ),
  TODAY()-Table3[[#This Row],[Date of Update]]
)&lt;=0,
TODAY()-Table3[[#This Row],[Date of Update]],
IFERROR(
  IF(
    COUNTIF(A$2:A$1997, A666) &gt; 1,
    MIN(IF(A$2:A$1997=A666, IF(B$2:B$1997&gt;B666, B$2:B$1997))) - B666,
    TODAY() - Table3[[#This Row],[Date of Update]]
  ),
  TODAY()-Table3[[#This Row],[Date of Update]]
)))</f>
        <v>67</v>
      </c>
      <c r="G666" s="7" t="str">
        <f>IF(Table3[[#This Row],[Stage]]="Closed",Table3[[#This Row],[Date of Update]]-(_xlfn.MINIFS(Table3[Date of Update],Table3[Ref], Table3[[#This Row],[Ref]])),"")</f>
        <v/>
      </c>
    </row>
    <row r="667" spans="1:7" x14ac:dyDescent="0.25">
      <c r="A667" s="4" t="s">
        <v>492</v>
      </c>
      <c r="B667" s="5">
        <v>45196</v>
      </c>
      <c r="C667" s="6" t="s">
        <v>8</v>
      </c>
      <c r="D667" s="6" t="s">
        <v>9</v>
      </c>
      <c r="E667" s="6" t="s">
        <v>80</v>
      </c>
      <c r="F667" s="6" cm="1">
        <f t="array" aca="1" ref="F667" ca="1">IF(Table3[[#This Row],[Stage]]="Closed",0,IF(IFERROR(
  IF(
    COUNTIF(A$2:A$1997, A667) &gt; 1,
    MIN(IF(A$2:A$1997=A667, IF(B$2:B$1997&gt;B667, B$2:B$1997))) - B667,
    TODAY() - Table3[[#This Row],[Date of Update]]
  ),
  TODAY()-Table3[[#This Row],[Date of Update]]
)&lt;=0,
TODAY()-Table3[[#This Row],[Date of Update]],
IFERROR(
  IF(
    COUNTIF(A$2:A$1997, A667) &gt; 1,
    MIN(IF(A$2:A$1997=A667, IF(B$2:B$1997&gt;B667, B$2:B$1997))) - B667,
    TODAY() - Table3[[#This Row],[Date of Update]]
  ),
  TODAY()-Table3[[#This Row],[Date of Update]]
)))</f>
        <v>15</v>
      </c>
      <c r="G667" s="7" t="str">
        <f>IF(Table3[[#This Row],[Stage]]="Closed",Table3[[#This Row],[Date of Update]]-(_xlfn.MINIFS(Table3[Date of Update],Table3[Ref], Table3[[#This Row],[Ref]])),"")</f>
        <v/>
      </c>
    </row>
    <row r="668" spans="1:7" x14ac:dyDescent="0.25">
      <c r="A668" s="4" t="s">
        <v>493</v>
      </c>
      <c r="B668" s="5">
        <v>45201</v>
      </c>
      <c r="C668" s="6" t="s">
        <v>8</v>
      </c>
      <c r="D668" s="6" t="s">
        <v>9</v>
      </c>
      <c r="E668" s="6" t="s">
        <v>494</v>
      </c>
      <c r="F668" s="6" cm="1">
        <f t="array" aca="1" ref="F668" ca="1">IF(Table3[[#This Row],[Stage]]="Closed",0,IF(IFERROR(
  IF(
    COUNTIF(A$2:A$1997, A668) &gt; 1,
    MIN(IF(A$2:A$1997=A668, IF(B$2:B$1997&gt;B668, B$2:B$1997))) - B668,
    TODAY() - Table3[[#This Row],[Date of Update]]
  ),
  TODAY()-Table3[[#This Row],[Date of Update]]
)&lt;=0,
TODAY()-Table3[[#This Row],[Date of Update]],
IFERROR(
  IF(
    COUNTIF(A$2:A$1997, A668) &gt; 1,
    MIN(IF(A$2:A$1997=A668, IF(B$2:B$1997&gt;B668, B$2:B$1997))) - B668,
    TODAY() - Table3[[#This Row],[Date of Update]]
  ),
  TODAY()-Table3[[#This Row],[Date of Update]]
)))</f>
        <v>9</v>
      </c>
      <c r="G668" s="7" t="str">
        <f>IF(Table3[[#This Row],[Stage]]="Closed",Table3[[#This Row],[Date of Update]]-(_xlfn.MINIFS(Table3[Date of Update],Table3[Ref], Table3[[#This Row],[Ref]])),"")</f>
        <v/>
      </c>
    </row>
    <row r="669" spans="1:7" x14ac:dyDescent="0.25">
      <c r="A669" s="4" t="s">
        <v>495</v>
      </c>
      <c r="B669" s="5">
        <v>45203</v>
      </c>
      <c r="C669" s="6" t="s">
        <v>8</v>
      </c>
      <c r="D669" s="6" t="s">
        <v>9</v>
      </c>
      <c r="E669" s="6" t="s">
        <v>496</v>
      </c>
      <c r="F669" s="6" cm="1">
        <f t="array" aca="1" ref="F669" ca="1">IF(Table3[[#This Row],[Stage]]="Closed",0,IF(IFERROR(
  IF(
    COUNTIF(A$2:A$1997, A669) &gt; 1,
    MIN(IF(A$2:A$1997=A669, IF(B$2:B$1997&gt;B669, B$2:B$1997))) - B669,
    TODAY() - Table3[[#This Row],[Date of Update]]
  ),
  TODAY()-Table3[[#This Row],[Date of Update]]
)&lt;=0,
TODAY()-Table3[[#This Row],[Date of Update]],
IFERROR(
  IF(
    COUNTIF(A$2:A$1997, A669) &gt; 1,
    MIN(IF(A$2:A$1997=A669, IF(B$2:B$1997&gt;B669, B$2:B$1997))) - B669,
    TODAY() - Table3[[#This Row],[Date of Update]]
  ),
  TODAY()-Table3[[#This Row],[Date of Update]]
)))</f>
        <v>7</v>
      </c>
      <c r="G669" s="7" t="str">
        <f>IF(Table3[[#This Row],[Stage]]="Closed",Table3[[#This Row],[Date of Update]]-(_xlfn.MINIFS(Table3[Date of Update],Table3[Ref], Table3[[#This Row],[Ref]])),"")</f>
        <v/>
      </c>
    </row>
    <row r="670" spans="1:7" x14ac:dyDescent="0.25">
      <c r="A670" s="4" t="s">
        <v>390</v>
      </c>
      <c r="B670" s="5">
        <v>45205</v>
      </c>
      <c r="C670" s="6" t="s">
        <v>17</v>
      </c>
      <c r="D670" s="6" t="s">
        <v>9</v>
      </c>
      <c r="E670" s="6" t="s">
        <v>391</v>
      </c>
      <c r="F670" s="6" cm="1">
        <f t="array" aca="1" ref="F670" ca="1">IF(Table3[[#This Row],[Stage]]="Closed",0,IF(IFERROR(
  IF(
    COUNTIF(A$2:A$1997, A670) &gt; 1,
    MIN(IF(A$2:A$1997=A670, IF(B$2:B$1997&gt;B670, B$2:B$1997))) - B670,
    TODAY() - Table3[[#This Row],[Date of Update]]
  ),
  TODAY()-Table3[[#This Row],[Date of Update]]
)&lt;=0,
TODAY()-Table3[[#This Row],[Date of Update]],
IFERROR(
  IF(
    COUNTIF(A$2:A$1997, A670) &gt; 1,
    MIN(IF(A$2:A$1997=A670, IF(B$2:B$1997&gt;B670, B$2:B$1997))) - B670,
    TODAY() - Table3[[#This Row],[Date of Update]]
  ),
  TODAY()-Table3[[#This Row],[Date of Update]]
)))</f>
        <v>0</v>
      </c>
      <c r="G670" s="7">
        <f>IF(Table3[[#This Row],[Stage]]="Closed",Table3[[#This Row],[Date of Update]]-(_xlfn.MINIFS(Table3[Date of Update],Table3[Ref], Table3[[#This Row],[Ref]])),"")</f>
        <v>142</v>
      </c>
    </row>
    <row r="671" spans="1:7" x14ac:dyDescent="0.25">
      <c r="A671" s="4" t="s">
        <v>497</v>
      </c>
      <c r="B671" s="5">
        <v>45208</v>
      </c>
      <c r="C671" s="6" t="s">
        <v>8</v>
      </c>
      <c r="D671" s="6" t="s">
        <v>9</v>
      </c>
      <c r="E671" s="6" t="s">
        <v>420</v>
      </c>
      <c r="F671" s="6" cm="1">
        <f t="array" aca="1" ref="F671" ca="1">IF(Table3[[#This Row],[Stage]]="Closed",0,IF(IFERROR(
  IF(
    COUNTIF(A$2:A$1997, A671) &gt; 1,
    MIN(IF(A$2:A$1997=A671, IF(B$2:B$1997&gt;B671, B$2:B$1997))) - B671,
    TODAY() - Table3[[#This Row],[Date of Update]]
  ),
  TODAY()-Table3[[#This Row],[Date of Update]]
)&lt;=0,
TODAY()-Table3[[#This Row],[Date of Update]],
IFERROR(
  IF(
    COUNTIF(A$2:A$1997, A671) &gt; 1,
    MIN(IF(A$2:A$1997=A671, IF(B$2:B$1997&gt;B671, B$2:B$1997))) - B671,
    TODAY() - Table3[[#This Row],[Date of Update]]
  ),
  TODAY()-Table3[[#This Row],[Date of Update]]
)))</f>
        <v>18</v>
      </c>
      <c r="G671" s="7" t="str">
        <f>IF(Table3[[#This Row],[Stage]]="Closed",Table3[[#This Row],[Date of Update]]-(_xlfn.MINIFS(Table3[Date of Update],Table3[Ref], Table3[[#This Row],[Ref]])),"")</f>
        <v/>
      </c>
    </row>
    <row r="672" spans="1:7" x14ac:dyDescent="0.25">
      <c r="A672" s="4" t="s">
        <v>498</v>
      </c>
      <c r="B672" s="5">
        <v>45208</v>
      </c>
      <c r="C672" s="6" t="s">
        <v>8</v>
      </c>
      <c r="D672" s="6" t="s">
        <v>9</v>
      </c>
      <c r="E672" s="6" t="s">
        <v>499</v>
      </c>
      <c r="F672" s="6" cm="1">
        <f t="array" aca="1" ref="F672" ca="1">IF(Table3[[#This Row],[Stage]]="Closed",0,IF(IFERROR(
  IF(
    COUNTIF(A$2:A$1997, A672) &gt; 1,
    MIN(IF(A$2:A$1997=A672, IF(B$2:B$1997&gt;B672, B$2:B$1997))) - B672,
    TODAY() - Table3[[#This Row],[Date of Update]]
  ),
  TODAY()-Table3[[#This Row],[Date of Update]]
)&lt;=0,
TODAY()-Table3[[#This Row],[Date of Update]],
IFERROR(
  IF(
    COUNTIF(A$2:A$1997, A672) &gt; 1,
    MIN(IF(A$2:A$1997=A672, IF(B$2:B$1997&gt;B672, B$2:B$1997))) - B672,
    TODAY() - Table3[[#This Row],[Date of Update]]
  ),
  TODAY()-Table3[[#This Row],[Date of Update]]
)))</f>
        <v>14</v>
      </c>
      <c r="G672" s="7" t="str">
        <f>IF(Table3[[#This Row],[Stage]]="Closed",Table3[[#This Row],[Date of Update]]-(_xlfn.MINIFS(Table3[Date of Update],Table3[Ref], Table3[[#This Row],[Ref]])),"")</f>
        <v/>
      </c>
    </row>
    <row r="673" spans="1:7" x14ac:dyDescent="0.25">
      <c r="A673" s="4" t="s">
        <v>500</v>
      </c>
      <c r="B673" s="5">
        <v>45208</v>
      </c>
      <c r="C673" s="6" t="s">
        <v>8</v>
      </c>
      <c r="D673" s="6" t="s">
        <v>9</v>
      </c>
      <c r="E673" s="6" t="s">
        <v>304</v>
      </c>
      <c r="F673" s="6" cm="1">
        <f t="array" aca="1" ref="F673" ca="1">IF(Table3[[#This Row],[Stage]]="Closed",0,IF(IFERROR(
  IF(
    COUNTIF(A$2:A$1997, A673) &gt; 1,
    MIN(IF(A$2:A$1997=A673, IF(B$2:B$1997&gt;B673, B$2:B$1997))) - B673,
    TODAY() - Table3[[#This Row],[Date of Update]]
  ),
  TODAY()-Table3[[#This Row],[Date of Update]]
)&lt;=0,
TODAY()-Table3[[#This Row],[Date of Update]],
IFERROR(
  IF(
    COUNTIF(A$2:A$1997, A673) &gt; 1,
    MIN(IF(A$2:A$1997=A673, IF(B$2:B$1997&gt;B673, B$2:B$1997))) - B673,
    TODAY() - Table3[[#This Row],[Date of Update]]
  ),
  TODAY()-Table3[[#This Row],[Date of Update]]
)))</f>
        <v>121</v>
      </c>
      <c r="G673" s="7" t="str">
        <f>IF(Table3[[#This Row],[Stage]]="Closed",Table3[[#This Row],[Date of Update]]-(_xlfn.MINIFS(Table3[Date of Update],Table3[Ref], Table3[[#This Row],[Ref]])),"")</f>
        <v/>
      </c>
    </row>
    <row r="674" spans="1:7" x14ac:dyDescent="0.25">
      <c r="A674" s="4" t="s">
        <v>485</v>
      </c>
      <c r="B674" s="5">
        <v>45209</v>
      </c>
      <c r="C674" s="6" t="s">
        <v>17</v>
      </c>
      <c r="D674" s="6" t="s">
        <v>9</v>
      </c>
      <c r="E674" s="6" t="s">
        <v>486</v>
      </c>
      <c r="F674" s="6" cm="1">
        <f t="array" aca="1" ref="F674" ca="1">IF(Table3[[#This Row],[Stage]]="Closed",0,IF(IFERROR(
  IF(
    COUNTIF(A$2:A$1997, A674) &gt; 1,
    MIN(IF(A$2:A$1997=A674, IF(B$2:B$1997&gt;B674, B$2:B$1997))) - B674,
    TODAY() - Table3[[#This Row],[Date of Update]]
  ),
  TODAY()-Table3[[#This Row],[Date of Update]]
)&lt;=0,
TODAY()-Table3[[#This Row],[Date of Update]],
IFERROR(
  IF(
    COUNTIF(A$2:A$1997, A674) &gt; 1,
    MIN(IF(A$2:A$1997=A674, IF(B$2:B$1997&gt;B674, B$2:B$1997))) - B674,
    TODAY() - Table3[[#This Row],[Date of Update]]
  ),
  TODAY()-Table3[[#This Row],[Date of Update]]
)))</f>
        <v>0</v>
      </c>
      <c r="G674" s="7">
        <f>IF(Table3[[#This Row],[Stage]]="Closed",Table3[[#This Row],[Date of Update]]-(_xlfn.MINIFS(Table3[Date of Update],Table3[Ref], Table3[[#This Row],[Ref]])),"")</f>
        <v>27</v>
      </c>
    </row>
    <row r="675" spans="1:7" x14ac:dyDescent="0.25">
      <c r="A675" s="4" t="s">
        <v>501</v>
      </c>
      <c r="B675" s="5">
        <v>45209</v>
      </c>
      <c r="C675" s="6" t="s">
        <v>8</v>
      </c>
      <c r="D675" s="6" t="s">
        <v>9</v>
      </c>
      <c r="E675" s="6" t="s">
        <v>80</v>
      </c>
      <c r="F675" s="6" cm="1">
        <f t="array" aca="1" ref="F675" ca="1">IF(Table3[[#This Row],[Stage]]="Closed",0,IF(IFERROR(
  IF(
    COUNTIF(A$2:A$1997, A675) &gt; 1,
    MIN(IF(A$2:A$1997=A675, IF(B$2:B$1997&gt;B675, B$2:B$1997))) - B675,
    TODAY() - Table3[[#This Row],[Date of Update]]
  ),
  TODAY()-Table3[[#This Row],[Date of Update]]
)&lt;=0,
TODAY()-Table3[[#This Row],[Date of Update]],
IFERROR(
  IF(
    COUNTIF(A$2:A$1997, A675) &gt; 1,
    MIN(IF(A$2:A$1997=A675, IF(B$2:B$1997&gt;B675, B$2:B$1997))) - B675,
    TODAY() - Table3[[#This Row],[Date of Update]]
  ),
  TODAY()-Table3[[#This Row],[Date of Update]]
)))</f>
        <v>9</v>
      </c>
      <c r="G675" s="7" t="str">
        <f>IF(Table3[[#This Row],[Stage]]="Closed",Table3[[#This Row],[Date of Update]]-(_xlfn.MINIFS(Table3[Date of Update],Table3[Ref], Table3[[#This Row],[Ref]])),"")</f>
        <v/>
      </c>
    </row>
    <row r="676" spans="1:7" x14ac:dyDescent="0.25">
      <c r="A676" s="4" t="s">
        <v>478</v>
      </c>
      <c r="B676" s="5">
        <v>45209</v>
      </c>
      <c r="C676" s="6" t="s">
        <v>17</v>
      </c>
      <c r="D676" s="6" t="s">
        <v>9</v>
      </c>
      <c r="E676" s="6" t="s">
        <v>80</v>
      </c>
      <c r="F676" s="6" cm="1">
        <f t="array" aca="1" ref="F676" ca="1">IF(Table3[[#This Row],[Stage]]="Closed",0,IF(IFERROR(
  IF(
    COUNTIF(A$2:A$1997, A676) &gt; 1,
    MIN(IF(A$2:A$1997=A676, IF(B$2:B$1997&gt;B676, B$2:B$1997))) - B676,
    TODAY() - Table3[[#This Row],[Date of Update]]
  ),
  TODAY()-Table3[[#This Row],[Date of Update]]
)&lt;=0,
TODAY()-Table3[[#This Row],[Date of Update]],
IFERROR(
  IF(
    COUNTIF(A$2:A$1997, A676) &gt; 1,
    MIN(IF(A$2:A$1997=A676, IF(B$2:B$1997&gt;B676, B$2:B$1997))) - B676,
    TODAY() - Table3[[#This Row],[Date of Update]]
  ),
  TODAY()-Table3[[#This Row],[Date of Update]]
)))</f>
        <v>0</v>
      </c>
      <c r="G676" s="7">
        <f>IF(Table3[[#This Row],[Stage]]="Closed",Table3[[#This Row],[Date of Update]]-(_xlfn.MINIFS(Table3[Date of Update],Table3[Ref], Table3[[#This Row],[Ref]])),"")</f>
        <v>55</v>
      </c>
    </row>
    <row r="677" spans="1:7" x14ac:dyDescent="0.25">
      <c r="A677" s="4" t="s">
        <v>495</v>
      </c>
      <c r="B677" s="5">
        <v>45210</v>
      </c>
      <c r="C677" s="6" t="s">
        <v>17</v>
      </c>
      <c r="D677" s="6" t="s">
        <v>9</v>
      </c>
      <c r="E677" s="6" t="s">
        <v>496</v>
      </c>
      <c r="F677" s="6" cm="1">
        <f t="array" aca="1" ref="F677" ca="1">IF(Table3[[#This Row],[Stage]]="Closed",0,IF(IFERROR(
  IF(
    COUNTIF(A$2:A$1997, A677) &gt; 1,
    MIN(IF(A$2:A$1997=A677, IF(B$2:B$1997&gt;B677, B$2:B$1997))) - B677,
    TODAY() - Table3[[#This Row],[Date of Update]]
  ),
  TODAY()-Table3[[#This Row],[Date of Update]]
)&lt;=0,
TODAY()-Table3[[#This Row],[Date of Update]],
IFERROR(
  IF(
    COUNTIF(A$2:A$1997, A677) &gt; 1,
    MIN(IF(A$2:A$1997=A677, IF(B$2:B$1997&gt;B677, B$2:B$1997))) - B677,
    TODAY() - Table3[[#This Row],[Date of Update]]
  ),
  TODAY()-Table3[[#This Row],[Date of Update]]
)))</f>
        <v>0</v>
      </c>
      <c r="G677" s="7">
        <f>IF(Table3[[#This Row],[Stage]]="Closed",Table3[[#This Row],[Date of Update]]-(_xlfn.MINIFS(Table3[Date of Update],Table3[Ref], Table3[[#This Row],[Ref]])),"")</f>
        <v>7</v>
      </c>
    </row>
    <row r="678" spans="1:7" x14ac:dyDescent="0.25">
      <c r="A678" s="4" t="s">
        <v>493</v>
      </c>
      <c r="B678" s="5">
        <v>45210</v>
      </c>
      <c r="C678" s="6" t="s">
        <v>17</v>
      </c>
      <c r="D678" s="6" t="s">
        <v>9</v>
      </c>
      <c r="E678" s="6" t="s">
        <v>494</v>
      </c>
      <c r="F678" s="6" cm="1">
        <f t="array" aca="1" ref="F678" ca="1">IF(Table3[[#This Row],[Stage]]="Closed",0,IF(IFERROR(
  IF(
    COUNTIF(A$2:A$1997, A678) &gt; 1,
    MIN(IF(A$2:A$1997=A678, IF(B$2:B$1997&gt;B678, B$2:B$1997))) - B678,
    TODAY() - Table3[[#This Row],[Date of Update]]
  ),
  TODAY()-Table3[[#This Row],[Date of Update]]
)&lt;=0,
TODAY()-Table3[[#This Row],[Date of Update]],
IFERROR(
  IF(
    COUNTIF(A$2:A$1997, A678) &gt; 1,
    MIN(IF(A$2:A$1997=A678, IF(B$2:B$1997&gt;B678, B$2:B$1997))) - B678,
    TODAY() - Table3[[#This Row],[Date of Update]]
  ),
  TODAY()-Table3[[#This Row],[Date of Update]]
)))</f>
        <v>0</v>
      </c>
      <c r="G678" s="7">
        <f>IF(Table3[[#This Row],[Stage]]="Closed",Table3[[#This Row],[Date of Update]]-(_xlfn.MINIFS(Table3[Date of Update],Table3[Ref], Table3[[#This Row],[Ref]])),"")</f>
        <v>9</v>
      </c>
    </row>
    <row r="679" spans="1:7" x14ac:dyDescent="0.25">
      <c r="A679" s="4" t="s">
        <v>502</v>
      </c>
      <c r="B679" s="5">
        <v>45210</v>
      </c>
      <c r="C679" s="6" t="s">
        <v>8</v>
      </c>
      <c r="D679" s="6" t="s">
        <v>9</v>
      </c>
      <c r="E679" s="6" t="s">
        <v>304</v>
      </c>
      <c r="F679" s="6" cm="1">
        <f t="array" aca="1" ref="F679" ca="1">IF(Table3[[#This Row],[Stage]]="Closed",0,IF(IFERROR(
  IF(
    COUNTIF(A$2:A$1997, A679) &gt; 1,
    MIN(IF(A$2:A$1997=A679, IF(B$2:B$1997&gt;B679, B$2:B$1997))) - B679,
    TODAY() - Table3[[#This Row],[Date of Update]]
  ),
  TODAY()-Table3[[#This Row],[Date of Update]]
)&lt;=0,
TODAY()-Table3[[#This Row],[Date of Update]],
IFERROR(
  IF(
    COUNTIF(A$2:A$1997, A679) &gt; 1,
    MIN(IF(A$2:A$1997=A679, IF(B$2:B$1997&gt;B679, B$2:B$1997))) - B679,
    TODAY() - Table3[[#This Row],[Date of Update]]
  ),
  TODAY()-Table3[[#This Row],[Date of Update]]
)))</f>
        <v>37</v>
      </c>
      <c r="G679" s="7" t="str">
        <f>IF(Table3[[#This Row],[Stage]]="Closed",Table3[[#This Row],[Date of Update]]-(_xlfn.MINIFS(Table3[Date of Update],Table3[Ref], Table3[[#This Row],[Ref]])),"")</f>
        <v/>
      </c>
    </row>
    <row r="680" spans="1:7" x14ac:dyDescent="0.25">
      <c r="A680" s="4" t="s">
        <v>503</v>
      </c>
      <c r="B680" s="5">
        <v>45210</v>
      </c>
      <c r="C680" s="6" t="s">
        <v>8</v>
      </c>
      <c r="D680" s="6" t="s">
        <v>9</v>
      </c>
      <c r="E680" s="6" t="s">
        <v>304</v>
      </c>
      <c r="F680" s="6" cm="1">
        <f t="array" aca="1" ref="F680" ca="1">IF(Table3[[#This Row],[Stage]]="Closed",0,IF(IFERROR(
  IF(
    COUNTIF(A$2:A$1997, A680) &gt; 1,
    MIN(IF(A$2:A$1997=A680, IF(B$2:B$1997&gt;B680, B$2:B$1997))) - B680,
    TODAY() - Table3[[#This Row],[Date of Update]]
  ),
  TODAY()-Table3[[#This Row],[Date of Update]]
)&lt;=0,
TODAY()-Table3[[#This Row],[Date of Update]],
IFERROR(
  IF(
    COUNTIF(A$2:A$1997, A680) &gt; 1,
    MIN(IF(A$2:A$1997=A680, IF(B$2:B$1997&gt;B680, B$2:B$1997))) - B680,
    TODAY() - Table3[[#This Row],[Date of Update]]
  ),
  TODAY()-Table3[[#This Row],[Date of Update]]
)))</f>
        <v>119</v>
      </c>
      <c r="G680" s="7" t="str">
        <f>IF(Table3[[#This Row],[Stage]]="Closed",Table3[[#This Row],[Date of Update]]-(_xlfn.MINIFS(Table3[Date of Update],Table3[Ref], Table3[[#This Row],[Ref]])),"")</f>
        <v/>
      </c>
    </row>
    <row r="681" spans="1:7" x14ac:dyDescent="0.25">
      <c r="A681" s="4" t="s">
        <v>353</v>
      </c>
      <c r="B681" s="5">
        <v>45211</v>
      </c>
      <c r="C681" s="6" t="s">
        <v>17</v>
      </c>
      <c r="D681" s="6" t="s">
        <v>9</v>
      </c>
      <c r="E681" s="6" t="s">
        <v>354</v>
      </c>
      <c r="F681" s="6" cm="1">
        <f t="array" aca="1" ref="F681" ca="1">IF(Table3[[#This Row],[Stage]]="Closed",0,IF(IFERROR(
  IF(
    COUNTIF(A$2:A$1997, A681) &gt; 1,
    MIN(IF(A$2:A$1997=A681, IF(B$2:B$1997&gt;B681, B$2:B$1997))) - B681,
    TODAY() - Table3[[#This Row],[Date of Update]]
  ),
  TODAY()-Table3[[#This Row],[Date of Update]]
)&lt;=0,
TODAY()-Table3[[#This Row],[Date of Update]],
IFERROR(
  IF(
    COUNTIF(A$2:A$1997, A681) &gt; 1,
    MIN(IF(A$2:A$1997=A681, IF(B$2:B$1997&gt;B681, B$2:B$1997))) - B681,
    TODAY() - Table3[[#This Row],[Date of Update]]
  ),
  TODAY()-Table3[[#This Row],[Date of Update]]
)))</f>
        <v>0</v>
      </c>
      <c r="G681" s="7">
        <f>IF(Table3[[#This Row],[Stage]]="Closed",Table3[[#This Row],[Date of Update]]-(_xlfn.MINIFS(Table3[Date of Update],Table3[Ref], Table3[[#This Row],[Ref]])),"")</f>
        <v>210</v>
      </c>
    </row>
    <row r="682" spans="1:7" x14ac:dyDescent="0.25">
      <c r="A682" s="4" t="s">
        <v>372</v>
      </c>
      <c r="B682" s="5">
        <v>45211</v>
      </c>
      <c r="C682" s="6" t="s">
        <v>17</v>
      </c>
      <c r="D682" s="6" t="s">
        <v>9</v>
      </c>
      <c r="E682" s="6" t="s">
        <v>354</v>
      </c>
      <c r="F682" s="6" cm="1">
        <f t="array" aca="1" ref="F682" ca="1">IF(Table3[[#This Row],[Stage]]="Closed",0,IF(IFERROR(
  IF(
    COUNTIF(A$2:A$1997, A682) &gt; 1,
    MIN(IF(A$2:A$1997=A682, IF(B$2:B$1997&gt;B682, B$2:B$1997))) - B682,
    TODAY() - Table3[[#This Row],[Date of Update]]
  ),
  TODAY()-Table3[[#This Row],[Date of Update]]
)&lt;=0,
TODAY()-Table3[[#This Row],[Date of Update]],
IFERROR(
  IF(
    COUNTIF(A$2:A$1997, A682) &gt; 1,
    MIN(IF(A$2:A$1997=A682, IF(B$2:B$1997&gt;B682, B$2:B$1997))) - B682,
    TODAY() - Table3[[#This Row],[Date of Update]]
  ),
  TODAY()-Table3[[#This Row],[Date of Update]]
)))</f>
        <v>0</v>
      </c>
      <c r="G682" s="7">
        <f>IF(Table3[[#This Row],[Stage]]="Closed",Table3[[#This Row],[Date of Update]]-(_xlfn.MINIFS(Table3[Date of Update],Table3[Ref], Table3[[#This Row],[Ref]])),"")</f>
        <v>183</v>
      </c>
    </row>
    <row r="683" spans="1:7" x14ac:dyDescent="0.25">
      <c r="A683" s="4" t="s">
        <v>492</v>
      </c>
      <c r="B683" s="5">
        <v>45211</v>
      </c>
      <c r="C683" s="6" t="s">
        <v>17</v>
      </c>
      <c r="D683" s="6" t="s">
        <v>9</v>
      </c>
      <c r="E683" s="6" t="s">
        <v>80</v>
      </c>
      <c r="F683" s="6" cm="1">
        <f t="array" aca="1" ref="F683" ca="1">IF(Table3[[#This Row],[Stage]]="Closed",0,IF(IFERROR(
  IF(
    COUNTIF(A$2:A$1997, A683) &gt; 1,
    MIN(IF(A$2:A$1997=A683, IF(B$2:B$1997&gt;B683, B$2:B$1997))) - B683,
    TODAY() - Table3[[#This Row],[Date of Update]]
  ),
  TODAY()-Table3[[#This Row],[Date of Update]]
)&lt;=0,
TODAY()-Table3[[#This Row],[Date of Update]],
IFERROR(
  IF(
    COUNTIF(A$2:A$1997, A683) &gt; 1,
    MIN(IF(A$2:A$1997=A683, IF(B$2:B$1997&gt;B683, B$2:B$1997))) - B683,
    TODAY() - Table3[[#This Row],[Date of Update]]
  ),
  TODAY()-Table3[[#This Row],[Date of Update]]
)))</f>
        <v>0</v>
      </c>
      <c r="G683" s="7">
        <f>IF(Table3[[#This Row],[Stage]]="Closed",Table3[[#This Row],[Date of Update]]-(_xlfn.MINIFS(Table3[Date of Update],Table3[Ref], Table3[[#This Row],[Ref]])),"")</f>
        <v>15</v>
      </c>
    </row>
    <row r="684" spans="1:7" x14ac:dyDescent="0.25">
      <c r="A684" s="4" t="s">
        <v>504</v>
      </c>
      <c r="B684" s="5">
        <v>45212</v>
      </c>
      <c r="C684" s="6" t="s">
        <v>8</v>
      </c>
      <c r="D684" s="6" t="s">
        <v>9</v>
      </c>
      <c r="E684" s="6" t="s">
        <v>354</v>
      </c>
      <c r="F684" s="6" cm="1">
        <f t="array" aca="1" ref="F684" ca="1">IF(Table3[[#This Row],[Stage]]="Closed",0,IF(IFERROR(
  IF(
    COUNTIF(A$2:A$1997, A684) &gt; 1,
    MIN(IF(A$2:A$1997=A684, IF(B$2:B$1997&gt;B684, B$2:B$1997))) - B684,
    TODAY() - Table3[[#This Row],[Date of Update]]
  ),
  TODAY()-Table3[[#This Row],[Date of Update]]
)&lt;=0,
TODAY()-Table3[[#This Row],[Date of Update]],
IFERROR(
  IF(
    COUNTIF(A$2:A$1997, A684) &gt; 1,
    MIN(IF(A$2:A$1997=A684, IF(B$2:B$1997&gt;B684, B$2:B$1997))) - B684,
    TODAY() - Table3[[#This Row],[Date of Update]]
  ),
  TODAY()-Table3[[#This Row],[Date of Update]]
)))</f>
        <v>49</v>
      </c>
      <c r="G684" s="7" t="str">
        <f>IF(Table3[[#This Row],[Stage]]="Closed",Table3[[#This Row],[Date of Update]]-(_xlfn.MINIFS(Table3[Date of Update],Table3[Ref], Table3[[#This Row],[Ref]])),"")</f>
        <v/>
      </c>
    </row>
    <row r="685" spans="1:7" x14ac:dyDescent="0.25">
      <c r="A685" s="4" t="s">
        <v>473</v>
      </c>
      <c r="B685" s="5">
        <v>45212</v>
      </c>
      <c r="C685" s="6" t="s">
        <v>17</v>
      </c>
      <c r="D685" s="6" t="s">
        <v>9</v>
      </c>
      <c r="E685" s="6" t="s">
        <v>420</v>
      </c>
      <c r="F685" s="6" cm="1">
        <f t="array" aca="1" ref="F685" ca="1">IF(Table3[[#This Row],[Stage]]="Closed",0,IF(IFERROR(
  IF(
    COUNTIF(A$2:A$1997, A685) &gt; 1,
    MIN(IF(A$2:A$1997=A685, IF(B$2:B$1997&gt;B685, B$2:B$1997))) - B685,
    TODAY() - Table3[[#This Row],[Date of Update]]
  ),
  TODAY()-Table3[[#This Row],[Date of Update]]
)&lt;=0,
TODAY()-Table3[[#This Row],[Date of Update]],
IFERROR(
  IF(
    COUNTIF(A$2:A$1997, A685) &gt; 1,
    MIN(IF(A$2:A$1997=A685, IF(B$2:B$1997&gt;B685, B$2:B$1997))) - B685,
    TODAY() - Table3[[#This Row],[Date of Update]]
  ),
  TODAY()-Table3[[#This Row],[Date of Update]]
)))</f>
        <v>0</v>
      </c>
      <c r="G685" s="7">
        <f>IF(Table3[[#This Row],[Stage]]="Closed",Table3[[#This Row],[Date of Update]]-(_xlfn.MINIFS(Table3[Date of Update],Table3[Ref], Table3[[#This Row],[Ref]])),"")</f>
        <v>59</v>
      </c>
    </row>
    <row r="686" spans="1:7" x14ac:dyDescent="0.25">
      <c r="A686" s="4" t="s">
        <v>477</v>
      </c>
      <c r="B686" s="5">
        <v>45212</v>
      </c>
      <c r="C686" s="6" t="s">
        <v>17</v>
      </c>
      <c r="D686" s="6" t="s">
        <v>9</v>
      </c>
      <c r="E686" s="6" t="s">
        <v>420</v>
      </c>
      <c r="F686" s="6" cm="1">
        <f t="array" aca="1" ref="F686" ca="1">IF(Table3[[#This Row],[Stage]]="Closed",0,IF(IFERROR(
  IF(
    COUNTIF(A$2:A$1997, A686) &gt; 1,
    MIN(IF(A$2:A$1997=A686, IF(B$2:B$1997&gt;B686, B$2:B$1997))) - B686,
    TODAY() - Table3[[#This Row],[Date of Update]]
  ),
  TODAY()-Table3[[#This Row],[Date of Update]]
)&lt;=0,
TODAY()-Table3[[#This Row],[Date of Update]],
IFERROR(
  IF(
    COUNTIF(A$2:A$1997, A686) &gt; 1,
    MIN(IF(A$2:A$1997=A686, IF(B$2:B$1997&gt;B686, B$2:B$1997))) - B686,
    TODAY() - Table3[[#This Row],[Date of Update]]
  ),
  TODAY()-Table3[[#This Row],[Date of Update]]
)))</f>
        <v>0</v>
      </c>
      <c r="G686" s="7">
        <f>IF(Table3[[#This Row],[Stage]]="Closed",Table3[[#This Row],[Date of Update]]-(_xlfn.MINIFS(Table3[Date of Update],Table3[Ref], Table3[[#This Row],[Ref]])),"")</f>
        <v>59</v>
      </c>
    </row>
    <row r="687" spans="1:7" x14ac:dyDescent="0.25">
      <c r="A687" s="4" t="s">
        <v>402</v>
      </c>
      <c r="B687" s="5">
        <v>45212</v>
      </c>
      <c r="C687" s="6" t="s">
        <v>17</v>
      </c>
      <c r="D687" s="6" t="s">
        <v>9</v>
      </c>
      <c r="E687" s="6" t="s">
        <v>403</v>
      </c>
      <c r="F687" s="6" cm="1">
        <f t="array" aca="1" ref="F687" ca="1">IF(Table3[[#This Row],[Stage]]="Closed",0,IF(IFERROR(
  IF(
    COUNTIF(A$2:A$1997, A687) &gt; 1,
    MIN(IF(A$2:A$1997=A687, IF(B$2:B$1997&gt;B687, B$2:B$1997))) - B687,
    TODAY() - Table3[[#This Row],[Date of Update]]
  ),
  TODAY()-Table3[[#This Row],[Date of Update]]
)&lt;=0,
TODAY()-Table3[[#This Row],[Date of Update]],
IFERROR(
  IF(
    COUNTIF(A$2:A$1997, A687) &gt; 1,
    MIN(IF(A$2:A$1997=A687, IF(B$2:B$1997&gt;B687, B$2:B$1997))) - B687,
    TODAY() - Table3[[#This Row],[Date of Update]]
  ),
  TODAY()-Table3[[#This Row],[Date of Update]]
)))</f>
        <v>0</v>
      </c>
      <c r="G687" s="7">
        <f>IF(Table3[[#This Row],[Stage]]="Closed",Table3[[#This Row],[Date of Update]]-(_xlfn.MINIFS(Table3[Date of Update],Table3[Ref], Table3[[#This Row],[Ref]])),"")</f>
        <v>135</v>
      </c>
    </row>
    <row r="688" spans="1:7" x14ac:dyDescent="0.25">
      <c r="A688" s="4" t="s">
        <v>469</v>
      </c>
      <c r="B688" s="5">
        <v>45212</v>
      </c>
      <c r="C688" s="6" t="s">
        <v>17</v>
      </c>
      <c r="D688" s="6" t="s">
        <v>9</v>
      </c>
      <c r="E688" s="6" t="s">
        <v>420</v>
      </c>
      <c r="F688" s="6" cm="1">
        <f t="array" aca="1" ref="F688" ca="1">IF(Table3[[#This Row],[Stage]]="Closed",0,IF(IFERROR(
  IF(
    COUNTIF(A$2:A$1997, A688) &gt; 1,
    MIN(IF(A$2:A$1997=A688, IF(B$2:B$1997&gt;B688, B$2:B$1997))) - B688,
    TODAY() - Table3[[#This Row],[Date of Update]]
  ),
  TODAY()-Table3[[#This Row],[Date of Update]]
)&lt;=0,
TODAY()-Table3[[#This Row],[Date of Update]],
IFERROR(
  IF(
    COUNTIF(A$2:A$1997, A688) &gt; 1,
    MIN(IF(A$2:A$1997=A688, IF(B$2:B$1997&gt;B688, B$2:B$1997))) - B688,
    TODAY() - Table3[[#This Row],[Date of Update]]
  ),
  TODAY()-Table3[[#This Row],[Date of Update]]
)))</f>
        <v>0</v>
      </c>
      <c r="G688" s="7">
        <f>IF(Table3[[#This Row],[Stage]]="Closed",Table3[[#This Row],[Date of Update]]-(_xlfn.MINIFS(Table3[Date of Update],Table3[Ref], Table3[[#This Row],[Ref]])),"")</f>
        <v>60</v>
      </c>
    </row>
    <row r="689" spans="1:7" x14ac:dyDescent="0.25">
      <c r="A689" s="4" t="s">
        <v>431</v>
      </c>
      <c r="B689" s="5">
        <v>45212</v>
      </c>
      <c r="C689" s="6" t="s">
        <v>17</v>
      </c>
      <c r="D689" s="6" t="s">
        <v>9</v>
      </c>
      <c r="E689" s="6" t="s">
        <v>420</v>
      </c>
      <c r="F689" s="6" cm="1">
        <f t="array" aca="1" ref="F689" ca="1">IF(Table3[[#This Row],[Stage]]="Closed",0,IF(IFERROR(
  IF(
    COUNTIF(A$2:A$1997, A689) &gt; 1,
    MIN(IF(A$2:A$1997=A689, IF(B$2:B$1997&gt;B689, B$2:B$1997))) - B689,
    TODAY() - Table3[[#This Row],[Date of Update]]
  ),
  TODAY()-Table3[[#This Row],[Date of Update]]
)&lt;=0,
TODAY()-Table3[[#This Row],[Date of Update]],
IFERROR(
  IF(
    COUNTIF(A$2:A$1997, A689) &gt; 1,
    MIN(IF(A$2:A$1997=A689, IF(B$2:B$1997&gt;B689, B$2:B$1997))) - B689,
    TODAY() - Table3[[#This Row],[Date of Update]]
  ),
  TODAY()-Table3[[#This Row],[Date of Update]]
)))</f>
        <v>0</v>
      </c>
      <c r="G689" s="7">
        <f>IF(Table3[[#This Row],[Stage]]="Closed",Table3[[#This Row],[Date of Update]]-(_xlfn.MINIFS(Table3[Date of Update],Table3[Ref], Table3[[#This Row],[Ref]])),"")</f>
        <v>113</v>
      </c>
    </row>
    <row r="690" spans="1:7" x14ac:dyDescent="0.25">
      <c r="A690" s="4" t="s">
        <v>472</v>
      </c>
      <c r="B690" s="5">
        <v>45212</v>
      </c>
      <c r="C690" s="6" t="s">
        <v>17</v>
      </c>
      <c r="D690" s="6" t="s">
        <v>9</v>
      </c>
      <c r="E690" s="6" t="s">
        <v>420</v>
      </c>
      <c r="F690" s="6" cm="1">
        <f t="array" aca="1" ref="F690" ca="1">IF(Table3[[#This Row],[Stage]]="Closed",0,IF(IFERROR(
  IF(
    COUNTIF(A$2:A$1997, A690) &gt; 1,
    MIN(IF(A$2:A$1997=A690, IF(B$2:B$1997&gt;B690, B$2:B$1997))) - B690,
    TODAY() - Table3[[#This Row],[Date of Update]]
  ),
  TODAY()-Table3[[#This Row],[Date of Update]]
)&lt;=0,
TODAY()-Table3[[#This Row],[Date of Update]],
IFERROR(
  IF(
    COUNTIF(A$2:A$1997, A690) &gt; 1,
    MIN(IF(A$2:A$1997=A690, IF(B$2:B$1997&gt;B690, B$2:B$1997))) - B690,
    TODAY() - Table3[[#This Row],[Date of Update]]
  ),
  TODAY()-Table3[[#This Row],[Date of Update]]
)))</f>
        <v>0</v>
      </c>
      <c r="G690" s="7">
        <f>IF(Table3[[#This Row],[Stage]]="Closed",Table3[[#This Row],[Date of Update]]-(_xlfn.MINIFS(Table3[Date of Update],Table3[Ref], Table3[[#This Row],[Ref]])),"")</f>
        <v>60</v>
      </c>
    </row>
    <row r="691" spans="1:7" x14ac:dyDescent="0.25">
      <c r="A691" s="4" t="s">
        <v>505</v>
      </c>
      <c r="B691" s="5">
        <v>45215</v>
      </c>
      <c r="C691" s="6" t="s">
        <v>8</v>
      </c>
      <c r="D691" s="6" t="s">
        <v>9</v>
      </c>
      <c r="E691" s="6" t="s">
        <v>506</v>
      </c>
      <c r="F691" s="6" cm="1">
        <f t="array" aca="1" ref="F691" ca="1">IF(Table3[[#This Row],[Stage]]="Closed",0,IF(IFERROR(
  IF(
    COUNTIF(A$2:A$1997, A691) &gt; 1,
    MIN(IF(A$2:A$1997=A691, IF(B$2:B$1997&gt;B691, B$2:B$1997))) - B691,
    TODAY() - Table3[[#This Row],[Date of Update]]
  ),
  TODAY()-Table3[[#This Row],[Date of Update]]
)&lt;=0,
TODAY()-Table3[[#This Row],[Date of Update]],
IFERROR(
  IF(
    COUNTIF(A$2:A$1997, A691) &gt; 1,
    MIN(IF(A$2:A$1997=A691, IF(B$2:B$1997&gt;B691, B$2:B$1997))) - B691,
    TODAY() - Table3[[#This Row],[Date of Update]]
  ),
  TODAY()-Table3[[#This Row],[Date of Update]]
)))</f>
        <v>16</v>
      </c>
      <c r="G691" s="7" t="str">
        <f>IF(Table3[[#This Row],[Stage]]="Closed",Table3[[#This Row],[Date of Update]]-(_xlfn.MINIFS(Table3[Date of Update],Table3[Ref], Table3[[#This Row],[Ref]])),"")</f>
        <v/>
      </c>
    </row>
    <row r="692" spans="1:7" x14ac:dyDescent="0.25">
      <c r="A692" s="4" t="s">
        <v>507</v>
      </c>
      <c r="B692" s="5">
        <v>45216</v>
      </c>
      <c r="C692" s="6" t="s">
        <v>8</v>
      </c>
      <c r="D692" s="6" t="s">
        <v>9</v>
      </c>
      <c r="E692" s="6" t="s">
        <v>508</v>
      </c>
      <c r="F692" s="6" cm="1">
        <f t="array" aca="1" ref="F692" ca="1">IF(Table3[[#This Row],[Stage]]="Closed",0,IF(IFERROR(
  IF(
    COUNTIF(A$2:A$1997, A692) &gt; 1,
    MIN(IF(A$2:A$1997=A692, IF(B$2:B$1997&gt;B692, B$2:B$1997))) - B692,
    TODAY() - Table3[[#This Row],[Date of Update]]
  ),
  TODAY()-Table3[[#This Row],[Date of Update]]
)&lt;=0,
TODAY()-Table3[[#This Row],[Date of Update]],
IFERROR(
  IF(
    COUNTIF(A$2:A$1997, A692) &gt; 1,
    MIN(IF(A$2:A$1997=A692, IF(B$2:B$1997&gt;B692, B$2:B$1997))) - B692,
    TODAY() - Table3[[#This Row],[Date of Update]]
  ),
  TODAY()-Table3[[#This Row],[Date of Update]]
)))</f>
        <v>750</v>
      </c>
      <c r="G692" s="7" t="str">
        <f>IF(Table3[[#This Row],[Stage]]="Closed",Table3[[#This Row],[Date of Update]]-(_xlfn.MINIFS(Table3[Date of Update],Table3[Ref], Table3[[#This Row],[Ref]])),"")</f>
        <v/>
      </c>
    </row>
    <row r="693" spans="1:7" x14ac:dyDescent="0.25">
      <c r="A693" s="4" t="s">
        <v>507</v>
      </c>
      <c r="B693" s="5">
        <v>45216</v>
      </c>
      <c r="C693" s="6" t="s">
        <v>17</v>
      </c>
      <c r="D693" s="6" t="s">
        <v>9</v>
      </c>
      <c r="E693" s="6" t="s">
        <v>508</v>
      </c>
      <c r="F693" s="6" cm="1">
        <f t="array" aca="1" ref="F693" ca="1">IF(Table3[[#This Row],[Stage]]="Closed",0,IF(IFERROR(
  IF(
    COUNTIF(A$2:A$1997, A693) &gt; 1,
    MIN(IF(A$2:A$1997=A693, IF(B$2:B$1997&gt;B693, B$2:B$1997))) - B693,
    TODAY() - Table3[[#This Row],[Date of Update]]
  ),
  TODAY()-Table3[[#This Row],[Date of Update]]
)&lt;=0,
TODAY()-Table3[[#This Row],[Date of Update]],
IFERROR(
  IF(
    COUNTIF(A$2:A$1997, A693) &gt; 1,
    MIN(IF(A$2:A$1997=A693, IF(B$2:B$1997&gt;B693, B$2:B$1997))) - B693,
    TODAY() - Table3[[#This Row],[Date of Update]]
  ),
  TODAY()-Table3[[#This Row],[Date of Update]]
)))</f>
        <v>0</v>
      </c>
      <c r="G693" s="7">
        <f>IF(Table3[[#This Row],[Stage]]="Closed",Table3[[#This Row],[Date of Update]]-(_xlfn.MINIFS(Table3[Date of Update],Table3[Ref], Table3[[#This Row],[Ref]])),"")</f>
        <v>0</v>
      </c>
    </row>
    <row r="694" spans="1:7" x14ac:dyDescent="0.25">
      <c r="A694" s="4" t="s">
        <v>501</v>
      </c>
      <c r="B694" s="5">
        <v>45218</v>
      </c>
      <c r="C694" s="6" t="s">
        <v>17</v>
      </c>
      <c r="D694" s="6" t="s">
        <v>9</v>
      </c>
      <c r="E694" s="6" t="s">
        <v>80</v>
      </c>
      <c r="F694" s="6" cm="1">
        <f t="array" aca="1" ref="F694" ca="1">IF(Table3[[#This Row],[Stage]]="Closed",0,IF(IFERROR(
  IF(
    COUNTIF(A$2:A$1997, A694) &gt; 1,
    MIN(IF(A$2:A$1997=A694, IF(B$2:B$1997&gt;B694, B$2:B$1997))) - B694,
    TODAY() - Table3[[#This Row],[Date of Update]]
  ),
  TODAY()-Table3[[#This Row],[Date of Update]]
)&lt;=0,
TODAY()-Table3[[#This Row],[Date of Update]],
IFERROR(
  IF(
    COUNTIF(A$2:A$1997, A694) &gt; 1,
    MIN(IF(A$2:A$1997=A694, IF(B$2:B$1997&gt;B694, B$2:B$1997))) - B694,
    TODAY() - Table3[[#This Row],[Date of Update]]
  ),
  TODAY()-Table3[[#This Row],[Date of Update]]
)))</f>
        <v>0</v>
      </c>
      <c r="G694" s="7">
        <f>IF(Table3[[#This Row],[Stage]]="Closed",Table3[[#This Row],[Date of Update]]-(_xlfn.MINIFS(Table3[Date of Update],Table3[Ref], Table3[[#This Row],[Ref]])),"")</f>
        <v>9</v>
      </c>
    </row>
    <row r="695" spans="1:7" x14ac:dyDescent="0.25">
      <c r="A695" s="4" t="s">
        <v>498</v>
      </c>
      <c r="B695" s="5">
        <v>45222</v>
      </c>
      <c r="C695" s="6" t="s">
        <v>17</v>
      </c>
      <c r="D695" s="6" t="s">
        <v>9</v>
      </c>
      <c r="E695" s="6" t="s">
        <v>499</v>
      </c>
      <c r="F695" s="6" cm="1">
        <f t="array" aca="1" ref="F695" ca="1">IF(Table3[[#This Row],[Stage]]="Closed",0,IF(IFERROR(
  IF(
    COUNTIF(A$2:A$1997, A695) &gt; 1,
    MIN(IF(A$2:A$1997=A695, IF(B$2:B$1997&gt;B695, B$2:B$1997))) - B695,
    TODAY() - Table3[[#This Row],[Date of Update]]
  ),
  TODAY()-Table3[[#This Row],[Date of Update]]
)&lt;=0,
TODAY()-Table3[[#This Row],[Date of Update]],
IFERROR(
  IF(
    COUNTIF(A$2:A$1997, A695) &gt; 1,
    MIN(IF(A$2:A$1997=A695, IF(B$2:B$1997&gt;B695, B$2:B$1997))) - B695,
    TODAY() - Table3[[#This Row],[Date of Update]]
  ),
  TODAY()-Table3[[#This Row],[Date of Update]]
)))</f>
        <v>0</v>
      </c>
      <c r="G695" s="7">
        <f>IF(Table3[[#This Row],[Stage]]="Closed",Table3[[#This Row],[Date of Update]]-(_xlfn.MINIFS(Table3[Date of Update],Table3[Ref], Table3[[#This Row],[Ref]])),"")</f>
        <v>14</v>
      </c>
    </row>
    <row r="696" spans="1:7" x14ac:dyDescent="0.25">
      <c r="A696" s="4" t="s">
        <v>509</v>
      </c>
      <c r="B696" s="5">
        <v>45223</v>
      </c>
      <c r="C696" s="6" t="s">
        <v>8</v>
      </c>
      <c r="D696" s="6" t="s">
        <v>9</v>
      </c>
      <c r="E696" s="6" t="s">
        <v>377</v>
      </c>
      <c r="F696" s="6" cm="1">
        <f t="array" aca="1" ref="F696" ca="1">IF(Table3[[#This Row],[Stage]]="Closed",0,IF(IFERROR(
  IF(
    COUNTIF(A$2:A$1997, A696) &gt; 1,
    MIN(IF(A$2:A$1997=A696, IF(B$2:B$1997&gt;B696, B$2:B$1997))) - B696,
    TODAY() - Table3[[#This Row],[Date of Update]]
  ),
  TODAY()-Table3[[#This Row],[Date of Update]]
)&lt;=0,
TODAY()-Table3[[#This Row],[Date of Update]],
IFERROR(
  IF(
    COUNTIF(A$2:A$1997, A696) &gt; 1,
    MIN(IF(A$2:A$1997=A696, IF(B$2:B$1997&gt;B696, B$2:B$1997))) - B696,
    TODAY() - Table3[[#This Row],[Date of Update]]
  ),
  TODAY()-Table3[[#This Row],[Date of Update]]
)))</f>
        <v>2</v>
      </c>
      <c r="G696" s="7" t="str">
        <f>IF(Table3[[#This Row],[Stage]]="Closed",Table3[[#This Row],[Date of Update]]-(_xlfn.MINIFS(Table3[Date of Update],Table3[Ref], Table3[[#This Row],[Ref]])),"")</f>
        <v/>
      </c>
    </row>
    <row r="697" spans="1:7" x14ac:dyDescent="0.25">
      <c r="A697" s="4" t="s">
        <v>510</v>
      </c>
      <c r="B697" s="5">
        <v>45225</v>
      </c>
      <c r="C697" s="6" t="s">
        <v>8</v>
      </c>
      <c r="D697" s="6" t="s">
        <v>9</v>
      </c>
      <c r="E697" s="6" t="s">
        <v>511</v>
      </c>
      <c r="F697" s="6" cm="1">
        <f t="array" aca="1" ref="F697" ca="1">IF(Table3[[#This Row],[Stage]]="Closed",0,IF(IFERROR(
  IF(
    COUNTIF(A$2:A$1997, A697) &gt; 1,
    MIN(IF(A$2:A$1997=A697, IF(B$2:B$1997&gt;B697, B$2:B$1997))) - B697,
    TODAY() - Table3[[#This Row],[Date of Update]]
  ),
  TODAY()-Table3[[#This Row],[Date of Update]]
)&lt;=0,
TODAY()-Table3[[#This Row],[Date of Update]],
IFERROR(
  IF(
    COUNTIF(A$2:A$1997, A697) &gt; 1,
    MIN(IF(A$2:A$1997=A697, IF(B$2:B$1997&gt;B697, B$2:B$1997))) - B697,
    TODAY() - Table3[[#This Row],[Date of Update]]
  ),
  TODAY()-Table3[[#This Row],[Date of Update]]
)))</f>
        <v>6</v>
      </c>
      <c r="G697" s="7" t="str">
        <f>IF(Table3[[#This Row],[Stage]]="Closed",Table3[[#This Row],[Date of Update]]-(_xlfn.MINIFS(Table3[Date of Update],Table3[Ref], Table3[[#This Row],[Ref]])),"")</f>
        <v/>
      </c>
    </row>
    <row r="698" spans="1:7" x14ac:dyDescent="0.25">
      <c r="A698" s="4" t="s">
        <v>509</v>
      </c>
      <c r="B698" s="5">
        <v>45225</v>
      </c>
      <c r="C698" s="6" t="s">
        <v>17</v>
      </c>
      <c r="D698" s="6" t="s">
        <v>9</v>
      </c>
      <c r="E698" s="6" t="s">
        <v>377</v>
      </c>
      <c r="F698" s="6" cm="1">
        <f t="array" aca="1" ref="F698" ca="1">IF(Table3[[#This Row],[Stage]]="Closed",0,IF(IFERROR(
  IF(
    COUNTIF(A$2:A$1997, A698) &gt; 1,
    MIN(IF(A$2:A$1997=A698, IF(B$2:B$1997&gt;B698, B$2:B$1997))) - B698,
    TODAY() - Table3[[#This Row],[Date of Update]]
  ),
  TODAY()-Table3[[#This Row],[Date of Update]]
)&lt;=0,
TODAY()-Table3[[#This Row],[Date of Update]],
IFERROR(
  IF(
    COUNTIF(A$2:A$1997, A698) &gt; 1,
    MIN(IF(A$2:A$1997=A698, IF(B$2:B$1997&gt;B698, B$2:B$1997))) - B698,
    TODAY() - Table3[[#This Row],[Date of Update]]
  ),
  TODAY()-Table3[[#This Row],[Date of Update]]
)))</f>
        <v>0</v>
      </c>
      <c r="G698" s="7">
        <f>IF(Table3[[#This Row],[Stage]]="Closed",Table3[[#This Row],[Date of Update]]-(_xlfn.MINIFS(Table3[Date of Update],Table3[Ref], Table3[[#This Row],[Ref]])),"")</f>
        <v>2</v>
      </c>
    </row>
    <row r="699" spans="1:7" x14ac:dyDescent="0.25">
      <c r="A699" s="4" t="s">
        <v>512</v>
      </c>
      <c r="B699" s="5">
        <v>45226</v>
      </c>
      <c r="C699" s="6" t="s">
        <v>8</v>
      </c>
      <c r="D699" s="6" t="s">
        <v>9</v>
      </c>
      <c r="E699" s="6" t="s">
        <v>490</v>
      </c>
      <c r="F699" s="6" cm="1">
        <f t="array" aca="1" ref="F699" ca="1">IF(Table3[[#This Row],[Stage]]="Closed",0,IF(IFERROR(
  IF(
    COUNTIF(A$2:A$1997, A699) &gt; 1,
    MIN(IF(A$2:A$1997=A699, IF(B$2:B$1997&gt;B699, B$2:B$1997))) - B699,
    TODAY() - Table3[[#This Row],[Date of Update]]
  ),
  TODAY()-Table3[[#This Row],[Date of Update]]
)&lt;=0,
TODAY()-Table3[[#This Row],[Date of Update]],
IFERROR(
  IF(
    COUNTIF(A$2:A$1997, A699) &gt; 1,
    MIN(IF(A$2:A$1997=A699, IF(B$2:B$1997&gt;B699, B$2:B$1997))) - B699,
    TODAY() - Table3[[#This Row],[Date of Update]]
  ),
  TODAY()-Table3[[#This Row],[Date of Update]]
)))</f>
        <v>11</v>
      </c>
      <c r="G699" s="7" t="str">
        <f>IF(Table3[[#This Row],[Stage]]="Closed",Table3[[#This Row],[Date of Update]]-(_xlfn.MINIFS(Table3[Date of Update],Table3[Ref], Table3[[#This Row],[Ref]])),"")</f>
        <v/>
      </c>
    </row>
    <row r="700" spans="1:7" x14ac:dyDescent="0.25">
      <c r="A700" s="4" t="s">
        <v>497</v>
      </c>
      <c r="B700" s="5">
        <v>45226</v>
      </c>
      <c r="C700" s="6" t="s">
        <v>17</v>
      </c>
      <c r="D700" s="6" t="s">
        <v>9</v>
      </c>
      <c r="E700" s="6" t="s">
        <v>420</v>
      </c>
      <c r="F700" s="6" cm="1">
        <f t="array" aca="1" ref="F700" ca="1">IF(Table3[[#This Row],[Stage]]="Closed",0,IF(IFERROR(
  IF(
    COUNTIF(A$2:A$1997, A700) &gt; 1,
    MIN(IF(A$2:A$1997=A700, IF(B$2:B$1997&gt;B700, B$2:B$1997))) - B700,
    TODAY() - Table3[[#This Row],[Date of Update]]
  ),
  TODAY()-Table3[[#This Row],[Date of Update]]
)&lt;=0,
TODAY()-Table3[[#This Row],[Date of Update]],
IFERROR(
  IF(
    COUNTIF(A$2:A$1997, A700) &gt; 1,
    MIN(IF(A$2:A$1997=A700, IF(B$2:B$1997&gt;B700, B$2:B$1997))) - B700,
    TODAY() - Table3[[#This Row],[Date of Update]]
  ),
  TODAY()-Table3[[#This Row],[Date of Update]]
)))</f>
        <v>0</v>
      </c>
      <c r="G700" s="7">
        <f>IF(Table3[[#This Row],[Stage]]="Closed",Table3[[#This Row],[Date of Update]]-(_xlfn.MINIFS(Table3[Date of Update],Table3[Ref], Table3[[#This Row],[Ref]])),"")</f>
        <v>18</v>
      </c>
    </row>
    <row r="701" spans="1:7" x14ac:dyDescent="0.25">
      <c r="A701" s="4" t="s">
        <v>480</v>
      </c>
      <c r="B701" s="5">
        <v>45231</v>
      </c>
      <c r="C701" s="6" t="s">
        <v>17</v>
      </c>
      <c r="D701" s="6" t="s">
        <v>9</v>
      </c>
      <c r="E701" s="6" t="s">
        <v>256</v>
      </c>
      <c r="F701" s="6" cm="1">
        <f t="array" aca="1" ref="F701" ca="1">IF(Table3[[#This Row],[Stage]]="Closed",0,IF(IFERROR(
  IF(
    COUNTIF(A$2:A$1997, A701) &gt; 1,
    MIN(IF(A$2:A$1997=A701, IF(B$2:B$1997&gt;B701, B$2:B$1997))) - B701,
    TODAY() - Table3[[#This Row],[Date of Update]]
  ),
  TODAY()-Table3[[#This Row],[Date of Update]]
)&lt;=0,
TODAY()-Table3[[#This Row],[Date of Update]],
IFERROR(
  IF(
    COUNTIF(A$2:A$1997, A701) &gt; 1,
    MIN(IF(A$2:A$1997=A701, IF(B$2:B$1997&gt;B701, B$2:B$1997))) - B701,
    TODAY() - Table3[[#This Row],[Date of Update]]
  ),
  TODAY()-Table3[[#This Row],[Date of Update]]
)))</f>
        <v>0</v>
      </c>
      <c r="G701" s="7">
        <f>IF(Table3[[#This Row],[Stage]]="Closed",Table3[[#This Row],[Date of Update]]-(_xlfn.MINIFS(Table3[Date of Update],Table3[Ref], Table3[[#This Row],[Ref]])),"")</f>
        <v>63</v>
      </c>
    </row>
    <row r="702" spans="1:7" x14ac:dyDescent="0.25">
      <c r="A702" s="4" t="s">
        <v>505</v>
      </c>
      <c r="B702" s="5">
        <v>45231</v>
      </c>
      <c r="C702" s="6" t="s">
        <v>17</v>
      </c>
      <c r="D702" s="6" t="s">
        <v>9</v>
      </c>
      <c r="E702" s="6" t="s">
        <v>506</v>
      </c>
      <c r="F702" s="6" cm="1">
        <f t="array" aca="1" ref="F702" ca="1">IF(Table3[[#This Row],[Stage]]="Closed",0,IF(IFERROR(
  IF(
    COUNTIF(A$2:A$1997, A702) &gt; 1,
    MIN(IF(A$2:A$1997=A702, IF(B$2:B$1997&gt;B702, B$2:B$1997))) - B702,
    TODAY() - Table3[[#This Row],[Date of Update]]
  ),
  TODAY()-Table3[[#This Row],[Date of Update]]
)&lt;=0,
TODAY()-Table3[[#This Row],[Date of Update]],
IFERROR(
  IF(
    COUNTIF(A$2:A$1997, A702) &gt; 1,
    MIN(IF(A$2:A$1997=A702, IF(B$2:B$1997&gt;B702, B$2:B$1997))) - B702,
    TODAY() - Table3[[#This Row],[Date of Update]]
  ),
  TODAY()-Table3[[#This Row],[Date of Update]]
)))</f>
        <v>0</v>
      </c>
      <c r="G702" s="7">
        <f>IF(Table3[[#This Row],[Stage]]="Closed",Table3[[#This Row],[Date of Update]]-(_xlfn.MINIFS(Table3[Date of Update],Table3[Ref], Table3[[#This Row],[Ref]])),"")</f>
        <v>16</v>
      </c>
    </row>
    <row r="703" spans="1:7" x14ac:dyDescent="0.25">
      <c r="A703" s="4" t="s">
        <v>444</v>
      </c>
      <c r="B703" s="5">
        <v>45231</v>
      </c>
      <c r="C703" s="6" t="s">
        <v>17</v>
      </c>
      <c r="D703" s="6" t="s">
        <v>9</v>
      </c>
      <c r="E703" s="6" t="s">
        <v>80</v>
      </c>
      <c r="F703" s="6" cm="1">
        <f t="array" aca="1" ref="F703" ca="1">IF(Table3[[#This Row],[Stage]]="Closed",0,IF(IFERROR(
  IF(
    COUNTIF(A$2:A$1997, A703) &gt; 1,
    MIN(IF(A$2:A$1997=A703, IF(B$2:B$1997&gt;B703, B$2:B$1997))) - B703,
    TODAY() - Table3[[#This Row],[Date of Update]]
  ),
  TODAY()-Table3[[#This Row],[Date of Update]]
)&lt;=0,
TODAY()-Table3[[#This Row],[Date of Update]],
IFERROR(
  IF(
    COUNTIF(A$2:A$1997, A703) &gt; 1,
    MIN(IF(A$2:A$1997=A703, IF(B$2:B$1997&gt;B703, B$2:B$1997))) - B703,
    TODAY() - Table3[[#This Row],[Date of Update]]
  ),
  TODAY()-Table3[[#This Row],[Date of Update]]
)))</f>
        <v>0</v>
      </c>
      <c r="G703" s="7">
        <f>IF(Table3[[#This Row],[Stage]]="Closed",Table3[[#This Row],[Date of Update]]-(_xlfn.MINIFS(Table3[Date of Update],Table3[Ref], Table3[[#This Row],[Ref]])),"")</f>
        <v>104</v>
      </c>
    </row>
    <row r="704" spans="1:7" x14ac:dyDescent="0.25">
      <c r="A704" s="4" t="s">
        <v>510</v>
      </c>
      <c r="B704" s="5">
        <v>45231</v>
      </c>
      <c r="C704" s="6" t="s">
        <v>17</v>
      </c>
      <c r="D704" s="6" t="s">
        <v>9</v>
      </c>
      <c r="E704" s="6" t="s">
        <v>511</v>
      </c>
      <c r="F704" s="6" cm="1">
        <f t="array" aca="1" ref="F704" ca="1">IF(Table3[[#This Row],[Stage]]="Closed",0,IF(IFERROR(
  IF(
    COUNTIF(A$2:A$1997, A704) &gt; 1,
    MIN(IF(A$2:A$1997=A704, IF(B$2:B$1997&gt;B704, B$2:B$1997))) - B704,
    TODAY() - Table3[[#This Row],[Date of Update]]
  ),
  TODAY()-Table3[[#This Row],[Date of Update]]
)&lt;=0,
TODAY()-Table3[[#This Row],[Date of Update]],
IFERROR(
  IF(
    COUNTIF(A$2:A$1997, A704) &gt; 1,
    MIN(IF(A$2:A$1997=A704, IF(B$2:B$1997&gt;B704, B$2:B$1997))) - B704,
    TODAY() - Table3[[#This Row],[Date of Update]]
  ),
  TODAY()-Table3[[#This Row],[Date of Update]]
)))</f>
        <v>0</v>
      </c>
      <c r="G704" s="7">
        <f>IF(Table3[[#This Row],[Stage]]="Closed",Table3[[#This Row],[Date of Update]]-(_xlfn.MINIFS(Table3[Date of Update],Table3[Ref], Table3[[#This Row],[Ref]])),"")</f>
        <v>6</v>
      </c>
    </row>
    <row r="705" spans="1:7" x14ac:dyDescent="0.25">
      <c r="A705" s="4" t="s">
        <v>513</v>
      </c>
      <c r="B705" s="5">
        <v>45231</v>
      </c>
      <c r="C705" s="6" t="s">
        <v>8</v>
      </c>
      <c r="D705" s="6" t="s">
        <v>9</v>
      </c>
      <c r="E705" s="6" t="s">
        <v>514</v>
      </c>
      <c r="F705" s="6" cm="1">
        <f t="array" aca="1" ref="F705" ca="1">IF(Table3[[#This Row],[Stage]]="Closed",0,IF(IFERROR(
  IF(
    COUNTIF(A$2:A$1997, A705) &gt; 1,
    MIN(IF(A$2:A$1997=A705, IF(B$2:B$1997&gt;B705, B$2:B$1997))) - B705,
    TODAY() - Table3[[#This Row],[Date of Update]]
  ),
  TODAY()-Table3[[#This Row],[Date of Update]]
)&lt;=0,
TODAY()-Table3[[#This Row],[Date of Update]],
IFERROR(
  IF(
    COUNTIF(A$2:A$1997, A705) &gt; 1,
    MIN(IF(A$2:A$1997=A705, IF(B$2:B$1997&gt;B705, B$2:B$1997))) - B705,
    TODAY() - Table3[[#This Row],[Date of Update]]
  ),
  TODAY()-Table3[[#This Row],[Date of Update]]
)))</f>
        <v>118</v>
      </c>
      <c r="G705" s="7" t="str">
        <f>IF(Table3[[#This Row],[Stage]]="Closed",Table3[[#This Row],[Date of Update]]-(_xlfn.MINIFS(Table3[Date of Update],Table3[Ref], Table3[[#This Row],[Ref]])),"")</f>
        <v/>
      </c>
    </row>
    <row r="706" spans="1:7" x14ac:dyDescent="0.25">
      <c r="A706" s="4" t="s">
        <v>515</v>
      </c>
      <c r="B706" s="5">
        <v>45236</v>
      </c>
      <c r="C706" s="6" t="s">
        <v>8</v>
      </c>
      <c r="D706" s="6" t="s">
        <v>9</v>
      </c>
      <c r="E706" s="6" t="s">
        <v>80</v>
      </c>
      <c r="F706" s="6" cm="1">
        <f t="array" aca="1" ref="F706" ca="1">IF(Table3[[#This Row],[Stage]]="Closed",0,IF(IFERROR(
  IF(
    COUNTIF(A$2:A$1997, A706) &gt; 1,
    MIN(IF(A$2:A$1997=A706, IF(B$2:B$1997&gt;B706, B$2:B$1997))) - B706,
    TODAY() - Table3[[#This Row],[Date of Update]]
  ),
  TODAY()-Table3[[#This Row],[Date of Update]]
)&lt;=0,
TODAY()-Table3[[#This Row],[Date of Update]],
IFERROR(
  IF(
    COUNTIF(A$2:A$1997, A706) &gt; 1,
    MIN(IF(A$2:A$1997=A706, IF(B$2:B$1997&gt;B706, B$2:B$1997))) - B706,
    TODAY() - Table3[[#This Row],[Date of Update]]
  ),
  TODAY()-Table3[[#This Row],[Date of Update]]
)))</f>
        <v>198</v>
      </c>
      <c r="G706" s="7" t="str">
        <f>IF(Table3[[#This Row],[Stage]]="Closed",Table3[[#This Row],[Date of Update]]-(_xlfn.MINIFS(Table3[Date of Update],Table3[Ref], Table3[[#This Row],[Ref]])),"")</f>
        <v/>
      </c>
    </row>
    <row r="707" spans="1:7" x14ac:dyDescent="0.25">
      <c r="A707" s="4" t="s">
        <v>512</v>
      </c>
      <c r="B707" s="5">
        <v>45237</v>
      </c>
      <c r="C707" s="6" t="s">
        <v>17</v>
      </c>
      <c r="D707" s="6" t="s">
        <v>9</v>
      </c>
      <c r="E707" s="6" t="s">
        <v>490</v>
      </c>
      <c r="F707" s="6" cm="1">
        <f t="array" aca="1" ref="F707" ca="1">IF(Table3[[#This Row],[Stage]]="Closed",0,IF(IFERROR(
  IF(
    COUNTIF(A$2:A$1997, A707) &gt; 1,
    MIN(IF(A$2:A$1997=A707, IF(B$2:B$1997&gt;B707, B$2:B$1997))) - B707,
    TODAY() - Table3[[#This Row],[Date of Update]]
  ),
  TODAY()-Table3[[#This Row],[Date of Update]]
)&lt;=0,
TODAY()-Table3[[#This Row],[Date of Update]],
IFERROR(
  IF(
    COUNTIF(A$2:A$1997, A707) &gt; 1,
    MIN(IF(A$2:A$1997=A707, IF(B$2:B$1997&gt;B707, B$2:B$1997))) - B707,
    TODAY() - Table3[[#This Row],[Date of Update]]
  ),
  TODAY()-Table3[[#This Row],[Date of Update]]
)))</f>
        <v>0</v>
      </c>
      <c r="G707" s="7">
        <f>IF(Table3[[#This Row],[Stage]]="Closed",Table3[[#This Row],[Date of Update]]-(_xlfn.MINIFS(Table3[Date of Update],Table3[Ref], Table3[[#This Row],[Ref]])),"")</f>
        <v>11</v>
      </c>
    </row>
    <row r="708" spans="1:7" x14ac:dyDescent="0.25">
      <c r="A708" s="4" t="s">
        <v>516</v>
      </c>
      <c r="B708" s="5">
        <v>45239</v>
      </c>
      <c r="C708" s="6" t="s">
        <v>8</v>
      </c>
      <c r="D708" s="6" t="s">
        <v>9</v>
      </c>
      <c r="E708" s="6"/>
      <c r="F708" s="6" cm="1">
        <f t="array" aca="1" ref="F708" ca="1">IF(Table3[[#This Row],[Stage]]="Closed",0,IF(IFERROR(
  IF(
    COUNTIF(A$2:A$1997, A708) &gt; 1,
    MIN(IF(A$2:A$1997=A708, IF(B$2:B$1997&gt;B708, B$2:B$1997))) - B708,
    TODAY() - Table3[[#This Row],[Date of Update]]
  ),
  TODAY()-Table3[[#This Row],[Date of Update]]
)&lt;=0,
TODAY()-Table3[[#This Row],[Date of Update]],
IFERROR(
  IF(
    COUNTIF(A$2:A$1997, A708) &gt; 1,
    MIN(IF(A$2:A$1997=A708, IF(B$2:B$1997&gt;B708, B$2:B$1997))) - B708,
    TODAY() - Table3[[#This Row],[Date of Update]]
  ),
  TODAY()-Table3[[#This Row],[Date of Update]]
)))</f>
        <v>63</v>
      </c>
      <c r="G708" s="7" t="str">
        <f>IF(Table3[[#This Row],[Stage]]="Closed",Table3[[#This Row],[Date of Update]]-(_xlfn.MINIFS(Table3[Date of Update],Table3[Ref], Table3[[#This Row],[Ref]])),"")</f>
        <v/>
      </c>
    </row>
    <row r="709" spans="1:7" x14ac:dyDescent="0.25">
      <c r="A709" s="4" t="s">
        <v>517</v>
      </c>
      <c r="B709" s="5">
        <v>45239</v>
      </c>
      <c r="C709" s="6" t="s">
        <v>8</v>
      </c>
      <c r="D709" s="6" t="s">
        <v>9</v>
      </c>
      <c r="E709" s="6" t="s">
        <v>80</v>
      </c>
      <c r="F709" s="6" cm="1">
        <f t="array" aca="1" ref="F709" ca="1">IF(Table3[[#This Row],[Stage]]="Closed",0,IF(IFERROR(
  IF(
    COUNTIF(A$2:A$1997, A709) &gt; 1,
    MIN(IF(A$2:A$1997=A709, IF(B$2:B$1997&gt;B709, B$2:B$1997))) - B709,
    TODAY() - Table3[[#This Row],[Date of Update]]
  ),
  TODAY()-Table3[[#This Row],[Date of Update]]
)&lt;=0,
TODAY()-Table3[[#This Row],[Date of Update]],
IFERROR(
  IF(
    COUNTIF(A$2:A$1997, A709) &gt; 1,
    MIN(IF(A$2:A$1997=A709, IF(B$2:B$1997&gt;B709, B$2:B$1997))) - B709,
    TODAY() - Table3[[#This Row],[Date of Update]]
  ),
  TODAY()-Table3[[#This Row],[Date of Update]]
)))</f>
        <v>63</v>
      </c>
      <c r="G709" s="7" t="str">
        <f>IF(Table3[[#This Row],[Stage]]="Closed",Table3[[#This Row],[Date of Update]]-(_xlfn.MINIFS(Table3[Date of Update],Table3[Ref], Table3[[#This Row],[Ref]])),"")</f>
        <v/>
      </c>
    </row>
    <row r="710" spans="1:7" x14ac:dyDescent="0.25">
      <c r="A710" s="4" t="s">
        <v>518</v>
      </c>
      <c r="B710" s="5">
        <v>45240</v>
      </c>
      <c r="C710" s="6" t="s">
        <v>8</v>
      </c>
      <c r="D710" s="6" t="s">
        <v>9</v>
      </c>
      <c r="E710" s="6" t="s">
        <v>304</v>
      </c>
      <c r="F710" s="6" cm="1">
        <f t="array" aca="1" ref="F710" ca="1">IF(Table3[[#This Row],[Stage]]="Closed",0,IF(IFERROR(
  IF(
    COUNTIF(A$2:A$1997, A710) &gt; 1,
    MIN(IF(A$2:A$1997=A710, IF(B$2:B$1997&gt;B710, B$2:B$1997))) - B710,
    TODAY() - Table3[[#This Row],[Date of Update]]
  ),
  TODAY()-Table3[[#This Row],[Date of Update]]
)&lt;=0,
TODAY()-Table3[[#This Row],[Date of Update]],
IFERROR(
  IF(
    COUNTIF(A$2:A$1997, A710) &gt; 1,
    MIN(IF(A$2:A$1997=A710, IF(B$2:B$1997&gt;B710, B$2:B$1997))) - B710,
    TODAY() - Table3[[#This Row],[Date of Update]]
  ),
  TODAY()-Table3[[#This Row],[Date of Update]]
)))</f>
        <v>76</v>
      </c>
      <c r="G710" s="7" t="str">
        <f>IF(Table3[[#This Row],[Stage]]="Closed",Table3[[#This Row],[Date of Update]]-(_xlfn.MINIFS(Table3[Date of Update],Table3[Ref], Table3[[#This Row],[Ref]])),"")</f>
        <v/>
      </c>
    </row>
    <row r="711" spans="1:7" x14ac:dyDescent="0.25">
      <c r="A711" s="4" t="s">
        <v>467</v>
      </c>
      <c r="B711" s="5">
        <v>45240</v>
      </c>
      <c r="C711" s="6" t="s">
        <v>17</v>
      </c>
      <c r="D711" s="6" t="s">
        <v>9</v>
      </c>
      <c r="E711" s="6" t="s">
        <v>304</v>
      </c>
      <c r="F711" s="6" cm="1">
        <f t="array" aca="1" ref="F711" ca="1">IF(Table3[[#This Row],[Stage]]="Closed",0,IF(IFERROR(
  IF(
    COUNTIF(A$2:A$1997, A711) &gt; 1,
    MIN(IF(A$2:A$1997=A711, IF(B$2:B$1997&gt;B711, B$2:B$1997))) - B711,
    TODAY() - Table3[[#This Row],[Date of Update]]
  ),
  TODAY()-Table3[[#This Row],[Date of Update]]
)&lt;=0,
TODAY()-Table3[[#This Row],[Date of Update]],
IFERROR(
  IF(
    COUNTIF(A$2:A$1997, A711) &gt; 1,
    MIN(IF(A$2:A$1997=A711, IF(B$2:B$1997&gt;B711, B$2:B$1997))) - B711,
    TODAY() - Table3[[#This Row],[Date of Update]]
  ),
  TODAY()-Table3[[#This Row],[Date of Update]]
)))</f>
        <v>0</v>
      </c>
      <c r="G711" s="7">
        <f>IF(Table3[[#This Row],[Stage]]="Closed",Table3[[#This Row],[Date of Update]]-(_xlfn.MINIFS(Table3[Date of Update],Table3[Ref], Table3[[#This Row],[Ref]])),"")</f>
        <v>98</v>
      </c>
    </row>
    <row r="712" spans="1:7" x14ac:dyDescent="0.25">
      <c r="A712" s="4" t="s">
        <v>479</v>
      </c>
      <c r="B712" s="5">
        <v>45243</v>
      </c>
      <c r="C712" s="6" t="s">
        <v>17</v>
      </c>
      <c r="D712" s="6" t="s">
        <v>9</v>
      </c>
      <c r="E712" s="6" t="s">
        <v>304</v>
      </c>
      <c r="F712" s="6" cm="1">
        <f t="array" aca="1" ref="F712" ca="1">IF(Table3[[#This Row],[Stage]]="Closed",0,IF(IFERROR(
  IF(
    COUNTIF(A$2:A$1997, A712) &gt; 1,
    MIN(IF(A$2:A$1997=A712, IF(B$2:B$1997&gt;B712, B$2:B$1997))) - B712,
    TODAY() - Table3[[#This Row],[Date of Update]]
  ),
  TODAY()-Table3[[#This Row],[Date of Update]]
)&lt;=0,
TODAY()-Table3[[#This Row],[Date of Update]],
IFERROR(
  IF(
    COUNTIF(A$2:A$1997, A712) &gt; 1,
    MIN(IF(A$2:A$1997=A712, IF(B$2:B$1997&gt;B712, B$2:B$1997))) - B712,
    TODAY() - Table3[[#This Row],[Date of Update]]
  ),
  TODAY()-Table3[[#This Row],[Date of Update]]
)))</f>
        <v>0</v>
      </c>
      <c r="G712" s="7">
        <f>IF(Table3[[#This Row],[Stage]]="Closed",Table3[[#This Row],[Date of Update]]-(_xlfn.MINIFS(Table3[Date of Update],Table3[Ref], Table3[[#This Row],[Ref]])),"")</f>
        <v>87</v>
      </c>
    </row>
    <row r="713" spans="1:7" x14ac:dyDescent="0.25">
      <c r="A713" s="4" t="s">
        <v>519</v>
      </c>
      <c r="B713" s="5">
        <v>45244</v>
      </c>
      <c r="C713" s="6" t="s">
        <v>8</v>
      </c>
      <c r="D713" s="6" t="s">
        <v>9</v>
      </c>
      <c r="E713" s="6" t="s">
        <v>520</v>
      </c>
      <c r="F713" s="6" cm="1">
        <f t="array" aca="1" ref="F713" ca="1">IF(Table3[[#This Row],[Stage]]="Closed",0,IF(IFERROR(
  IF(
    COUNTIF(A$2:A$1997, A713) &gt; 1,
    MIN(IF(A$2:A$1997=A713, IF(B$2:B$1997&gt;B713, B$2:B$1997))) - B713,
    TODAY() - Table3[[#This Row],[Date of Update]]
  ),
  TODAY()-Table3[[#This Row],[Date of Update]]
)&lt;=0,
TODAY()-Table3[[#This Row],[Date of Update]],
IFERROR(
  IF(
    COUNTIF(A$2:A$1997, A713) &gt; 1,
    MIN(IF(A$2:A$1997=A713, IF(B$2:B$1997&gt;B713, B$2:B$1997))) - B713,
    TODAY() - Table3[[#This Row],[Date of Update]]
  ),
  TODAY()-Table3[[#This Row],[Date of Update]]
)))</f>
        <v>79</v>
      </c>
      <c r="G713" s="7" t="str">
        <f>IF(Table3[[#This Row],[Stage]]="Closed",Table3[[#This Row],[Date of Update]]-(_xlfn.MINIFS(Table3[Date of Update],Table3[Ref], Table3[[#This Row],[Ref]])),"")</f>
        <v/>
      </c>
    </row>
    <row r="714" spans="1:7" x14ac:dyDescent="0.25">
      <c r="A714" s="4" t="s">
        <v>521</v>
      </c>
      <c r="B714" s="5">
        <v>45245</v>
      </c>
      <c r="C714" s="6" t="s">
        <v>8</v>
      </c>
      <c r="D714" s="6" t="s">
        <v>9</v>
      </c>
      <c r="E714" s="6" t="s">
        <v>522</v>
      </c>
      <c r="F714" s="6" cm="1">
        <f t="array" aca="1" ref="F714" ca="1">IF(Table3[[#This Row],[Stage]]="Closed",0,IF(IFERROR(
  IF(
    COUNTIF(A$2:A$1997, A714) &gt; 1,
    MIN(IF(A$2:A$1997=A714, IF(B$2:B$1997&gt;B714, B$2:B$1997))) - B714,
    TODAY() - Table3[[#This Row],[Date of Update]]
  ),
  TODAY()-Table3[[#This Row],[Date of Update]]
)&lt;=0,
TODAY()-Table3[[#This Row],[Date of Update]],
IFERROR(
  IF(
    COUNTIF(A$2:A$1997, A714) &gt; 1,
    MIN(IF(A$2:A$1997=A714, IF(B$2:B$1997&gt;B714, B$2:B$1997))) - B714,
    TODAY() - Table3[[#This Row],[Date of Update]]
  ),
  TODAY()-Table3[[#This Row],[Date of Update]]
)))</f>
        <v>721</v>
      </c>
      <c r="G714" s="7" t="str">
        <f>IF(Table3[[#This Row],[Stage]]="Closed",Table3[[#This Row],[Date of Update]]-(_xlfn.MINIFS(Table3[Date of Update],Table3[Ref], Table3[[#This Row],[Ref]])),"")</f>
        <v/>
      </c>
    </row>
    <row r="715" spans="1:7" x14ac:dyDescent="0.25">
      <c r="A715" s="4" t="s">
        <v>521</v>
      </c>
      <c r="B715" s="5">
        <v>45245</v>
      </c>
      <c r="C715" s="6" t="s">
        <v>17</v>
      </c>
      <c r="D715" s="6" t="s">
        <v>9</v>
      </c>
      <c r="E715" s="6" t="s">
        <v>522</v>
      </c>
      <c r="F715" s="6" cm="1">
        <f t="array" aca="1" ref="F715" ca="1">IF(Table3[[#This Row],[Stage]]="Closed",0,IF(IFERROR(
  IF(
    COUNTIF(A$2:A$1997, A715) &gt; 1,
    MIN(IF(A$2:A$1997=A715, IF(B$2:B$1997&gt;B715, B$2:B$1997))) - B715,
    TODAY() - Table3[[#This Row],[Date of Update]]
  ),
  TODAY()-Table3[[#This Row],[Date of Update]]
)&lt;=0,
TODAY()-Table3[[#This Row],[Date of Update]],
IFERROR(
  IF(
    COUNTIF(A$2:A$1997, A715) &gt; 1,
    MIN(IF(A$2:A$1997=A715, IF(B$2:B$1997&gt;B715, B$2:B$1997))) - B715,
    TODAY() - Table3[[#This Row],[Date of Update]]
  ),
  TODAY()-Table3[[#This Row],[Date of Update]]
)))</f>
        <v>0</v>
      </c>
      <c r="G715" s="7">
        <f>IF(Table3[[#This Row],[Stage]]="Closed",Table3[[#This Row],[Date of Update]]-(_xlfn.MINIFS(Table3[Date of Update],Table3[Ref], Table3[[#This Row],[Ref]])),"")</f>
        <v>0</v>
      </c>
    </row>
    <row r="716" spans="1:7" x14ac:dyDescent="0.25">
      <c r="A716" s="4" t="s">
        <v>105</v>
      </c>
      <c r="B716" s="5">
        <v>45246</v>
      </c>
      <c r="C716" s="6" t="s">
        <v>17</v>
      </c>
      <c r="D716" s="6" t="s">
        <v>9</v>
      </c>
      <c r="E716" s="6" t="s">
        <v>106</v>
      </c>
      <c r="F716" s="6" cm="1">
        <f t="array" aca="1" ref="F716" ca="1">IF(Table3[[#This Row],[Stage]]="Closed",0,IF(IFERROR(
  IF(
    COUNTIF(A$2:A$1997, A716) &gt; 1,
    MIN(IF(A$2:A$1997=A716, IF(B$2:B$1997&gt;B716, B$2:B$1997))) - B716,
    TODAY() - Table3[[#This Row],[Date of Update]]
  ),
  TODAY()-Table3[[#This Row],[Date of Update]]
)&lt;=0,
TODAY()-Table3[[#This Row],[Date of Update]],
IFERROR(
  IF(
    COUNTIF(A$2:A$1997, A716) &gt; 1,
    MIN(IF(A$2:A$1997=A716, IF(B$2:B$1997&gt;B716, B$2:B$1997))) - B716,
    TODAY() - Table3[[#This Row],[Date of Update]]
  ),
  TODAY()-Table3[[#This Row],[Date of Update]]
)))</f>
        <v>0</v>
      </c>
      <c r="G716" s="7">
        <f>IF(Table3[[#This Row],[Stage]]="Closed",Table3[[#This Row],[Date of Update]]-(_xlfn.MINIFS(Table3[Date of Update],Table3[Ref], Table3[[#This Row],[Ref]])),"")</f>
        <v>477</v>
      </c>
    </row>
    <row r="717" spans="1:7" x14ac:dyDescent="0.25">
      <c r="A717" s="4" t="s">
        <v>251</v>
      </c>
      <c r="B717" s="5">
        <v>45246</v>
      </c>
      <c r="C717" s="6" t="s">
        <v>17</v>
      </c>
      <c r="D717" s="6" t="s">
        <v>9</v>
      </c>
      <c r="E717" s="6" t="s">
        <v>252</v>
      </c>
      <c r="F717" s="6" cm="1">
        <f t="array" aca="1" ref="F717" ca="1">IF(Table3[[#This Row],[Stage]]="Closed",0,IF(IFERROR(
  IF(
    COUNTIF(A$2:A$1997, A717) &gt; 1,
    MIN(IF(A$2:A$1997=A717, IF(B$2:B$1997&gt;B717, B$2:B$1997))) - B717,
    TODAY() - Table3[[#This Row],[Date of Update]]
  ),
  TODAY()-Table3[[#This Row],[Date of Update]]
)&lt;=0,
TODAY()-Table3[[#This Row],[Date of Update]],
IFERROR(
  IF(
    COUNTIF(A$2:A$1997, A717) &gt; 1,
    MIN(IF(A$2:A$1997=A717, IF(B$2:B$1997&gt;B717, B$2:B$1997))) - B717,
    TODAY() - Table3[[#This Row],[Date of Update]]
  ),
  TODAY()-Table3[[#This Row],[Date of Update]]
)))</f>
        <v>0</v>
      </c>
      <c r="G717" s="7">
        <f>IF(Table3[[#This Row],[Stage]]="Closed",Table3[[#This Row],[Date of Update]]-(_xlfn.MINIFS(Table3[Date of Update],Table3[Ref], Table3[[#This Row],[Ref]])),"")</f>
        <v>328</v>
      </c>
    </row>
    <row r="718" spans="1:7" x14ac:dyDescent="0.25">
      <c r="A718" s="4" t="s">
        <v>523</v>
      </c>
      <c r="B718" s="5">
        <v>45246</v>
      </c>
      <c r="C718" s="6" t="s">
        <v>8</v>
      </c>
      <c r="D718" s="6" t="s">
        <v>9</v>
      </c>
      <c r="E718" s="6" t="s">
        <v>524</v>
      </c>
      <c r="F718" s="6" cm="1">
        <f t="array" aca="1" ref="F718" ca="1">IF(Table3[[#This Row],[Stage]]="Closed",0,IF(IFERROR(
  IF(
    COUNTIF(A$2:A$1997, A718) &gt; 1,
    MIN(IF(A$2:A$1997=A718, IF(B$2:B$1997&gt;B718, B$2:B$1997))) - B718,
    TODAY() - Table3[[#This Row],[Date of Update]]
  ),
  TODAY()-Table3[[#This Row],[Date of Update]]
)&lt;=0,
TODAY()-Table3[[#This Row],[Date of Update]],
IFERROR(
  IF(
    COUNTIF(A$2:A$1997, A718) &gt; 1,
    MIN(IF(A$2:A$1997=A718, IF(B$2:B$1997&gt;B718, B$2:B$1997))) - B718,
    TODAY() - Table3[[#This Row],[Date of Update]]
  ),
  TODAY()-Table3[[#This Row],[Date of Update]]
)))</f>
        <v>22</v>
      </c>
      <c r="G718" s="7" t="str">
        <f>IF(Table3[[#This Row],[Stage]]="Closed",Table3[[#This Row],[Date of Update]]-(_xlfn.MINIFS(Table3[Date of Update],Table3[Ref], Table3[[#This Row],[Ref]])),"")</f>
        <v/>
      </c>
    </row>
    <row r="719" spans="1:7" x14ac:dyDescent="0.25">
      <c r="A719" s="4" t="s">
        <v>502</v>
      </c>
      <c r="B719" s="5">
        <v>45247</v>
      </c>
      <c r="C719" s="6" t="s">
        <v>17</v>
      </c>
      <c r="D719" s="6" t="s">
        <v>9</v>
      </c>
      <c r="E719" s="6" t="s">
        <v>304</v>
      </c>
      <c r="F719" s="6" cm="1">
        <f t="array" aca="1" ref="F719" ca="1">IF(Table3[[#This Row],[Stage]]="Closed",0,IF(IFERROR(
  IF(
    COUNTIF(A$2:A$1997, A719) &gt; 1,
    MIN(IF(A$2:A$1997=A719, IF(B$2:B$1997&gt;B719, B$2:B$1997))) - B719,
    TODAY() - Table3[[#This Row],[Date of Update]]
  ),
  TODAY()-Table3[[#This Row],[Date of Update]]
)&lt;=0,
TODAY()-Table3[[#This Row],[Date of Update]],
IFERROR(
  IF(
    COUNTIF(A$2:A$1997, A719) &gt; 1,
    MIN(IF(A$2:A$1997=A719, IF(B$2:B$1997&gt;B719, B$2:B$1997))) - B719,
    TODAY() - Table3[[#This Row],[Date of Update]]
  ),
  TODAY()-Table3[[#This Row],[Date of Update]]
)))</f>
        <v>0</v>
      </c>
      <c r="G719" s="7">
        <f>IF(Table3[[#This Row],[Stage]]="Closed",Table3[[#This Row],[Date of Update]]-(_xlfn.MINIFS(Table3[Date of Update],Table3[Ref], Table3[[#This Row],[Ref]])),"")</f>
        <v>37</v>
      </c>
    </row>
    <row r="720" spans="1:7" x14ac:dyDescent="0.25">
      <c r="A720" s="4" t="s">
        <v>525</v>
      </c>
      <c r="B720" s="5">
        <v>45250</v>
      </c>
      <c r="C720" s="6" t="s">
        <v>8</v>
      </c>
      <c r="D720" s="6" t="s">
        <v>9</v>
      </c>
      <c r="E720" s="6" t="s">
        <v>80</v>
      </c>
      <c r="F720" s="6" cm="1">
        <f t="array" aca="1" ref="F720" ca="1">IF(Table3[[#This Row],[Stage]]="Closed",0,IF(IFERROR(
  IF(
    COUNTIF(A$2:A$1997, A720) &gt; 1,
    MIN(IF(A$2:A$1997=A720, IF(B$2:B$1997&gt;B720, B$2:B$1997))) - B720,
    TODAY() - Table3[[#This Row],[Date of Update]]
  ),
  TODAY()-Table3[[#This Row],[Date of Update]]
)&lt;=0,
TODAY()-Table3[[#This Row],[Date of Update]],
IFERROR(
  IF(
    COUNTIF(A$2:A$1997, A720) &gt; 1,
    MIN(IF(A$2:A$1997=A720, IF(B$2:B$1997&gt;B720, B$2:B$1997))) - B720,
    TODAY() - Table3[[#This Row],[Date of Update]]
  ),
  TODAY()-Table3[[#This Row],[Date of Update]]
)))</f>
        <v>53</v>
      </c>
      <c r="G720" s="7" t="str">
        <f>IF(Table3[[#This Row],[Stage]]="Closed",Table3[[#This Row],[Date of Update]]-(_xlfn.MINIFS(Table3[Date of Update],Table3[Ref], Table3[[#This Row],[Ref]])),"")</f>
        <v/>
      </c>
    </row>
    <row r="721" spans="1:7" x14ac:dyDescent="0.25">
      <c r="A721" s="4" t="s">
        <v>526</v>
      </c>
      <c r="B721" s="5">
        <v>45253</v>
      </c>
      <c r="C721" s="6" t="s">
        <v>8</v>
      </c>
      <c r="D721" s="6" t="s">
        <v>9</v>
      </c>
      <c r="E721" s="6" t="s">
        <v>80</v>
      </c>
      <c r="F721" s="6" cm="1">
        <f t="array" aca="1" ref="F721" ca="1">IF(Table3[[#This Row],[Stage]]="Closed",0,IF(IFERROR(
  IF(
    COUNTIF(A$2:A$1997, A721) &gt; 1,
    MIN(IF(A$2:A$1997=A721, IF(B$2:B$1997&gt;B721, B$2:B$1997))) - B721,
    TODAY() - Table3[[#This Row],[Date of Update]]
  ),
  TODAY()-Table3[[#This Row],[Date of Update]]
)&lt;=0,
TODAY()-Table3[[#This Row],[Date of Update]],
IFERROR(
  IF(
    COUNTIF(A$2:A$1997, A721) &gt; 1,
    MIN(IF(A$2:A$1997=A721, IF(B$2:B$1997&gt;B721, B$2:B$1997))) - B721,
    TODAY() - Table3[[#This Row],[Date of Update]]
  ),
  TODAY()-Table3[[#This Row],[Date of Update]]
)))</f>
        <v>11</v>
      </c>
      <c r="G721" s="7" t="str">
        <f>IF(Table3[[#This Row],[Stage]]="Closed",Table3[[#This Row],[Date of Update]]-(_xlfn.MINIFS(Table3[Date of Update],Table3[Ref], Table3[[#This Row],[Ref]])),"")</f>
        <v/>
      </c>
    </row>
    <row r="722" spans="1:7" x14ac:dyDescent="0.25">
      <c r="A722" s="4" t="s">
        <v>527</v>
      </c>
      <c r="B722" s="5">
        <v>45253</v>
      </c>
      <c r="C722" s="6" t="s">
        <v>8</v>
      </c>
      <c r="D722" s="6" t="s">
        <v>9</v>
      </c>
      <c r="E722" s="6" t="s">
        <v>106</v>
      </c>
      <c r="F722" s="6" cm="1">
        <f t="array" aca="1" ref="F722" ca="1">IF(Table3[[#This Row],[Stage]]="Closed",0,IF(IFERROR(
  IF(
    COUNTIF(A$2:A$1997, A722) &gt; 1,
    MIN(IF(A$2:A$1997=A722, IF(B$2:B$1997&gt;B722, B$2:B$1997))) - B722,
    TODAY() - Table3[[#This Row],[Date of Update]]
  ),
  TODAY()-Table3[[#This Row],[Date of Update]]
)&lt;=0,
TODAY()-Table3[[#This Row],[Date of Update]],
IFERROR(
  IF(
    COUNTIF(A$2:A$1997, A722) &gt; 1,
    MIN(IF(A$2:A$1997=A722, IF(B$2:B$1997&gt;B722, B$2:B$1997))) - B722,
    TODAY() - Table3[[#This Row],[Date of Update]]
  ),
  TODAY()-Table3[[#This Row],[Date of Update]]
)))</f>
        <v>27</v>
      </c>
      <c r="G722" s="7" t="str">
        <f>IF(Table3[[#This Row],[Stage]]="Closed",Table3[[#This Row],[Date of Update]]-(_xlfn.MINIFS(Table3[Date of Update],Table3[Ref], Table3[[#This Row],[Ref]])),"")</f>
        <v/>
      </c>
    </row>
    <row r="723" spans="1:7" x14ac:dyDescent="0.25">
      <c r="A723" s="4" t="s">
        <v>528</v>
      </c>
      <c r="B723" s="5">
        <v>45253</v>
      </c>
      <c r="C723" s="6" t="s">
        <v>8</v>
      </c>
      <c r="D723" s="6" t="s">
        <v>9</v>
      </c>
      <c r="E723" s="6" t="s">
        <v>106</v>
      </c>
      <c r="F723" s="6" cm="1">
        <f t="array" aca="1" ref="F723" ca="1">IF(Table3[[#This Row],[Stage]]="Closed",0,IF(IFERROR(
  IF(
    COUNTIF(A$2:A$1997, A723) &gt; 1,
    MIN(IF(A$2:A$1997=A723, IF(B$2:B$1997&gt;B723, B$2:B$1997))) - B723,
    TODAY() - Table3[[#This Row],[Date of Update]]
  ),
  TODAY()-Table3[[#This Row],[Date of Update]]
)&lt;=0,
TODAY()-Table3[[#This Row],[Date of Update]],
IFERROR(
  IF(
    COUNTIF(A$2:A$1997, A723) &gt; 1,
    MIN(IF(A$2:A$1997=A723, IF(B$2:B$1997&gt;B723, B$2:B$1997))) - B723,
    TODAY() - Table3[[#This Row],[Date of Update]]
  ),
  TODAY()-Table3[[#This Row],[Date of Update]]
)))</f>
        <v>5</v>
      </c>
      <c r="G723" s="7" t="str">
        <f>IF(Table3[[#This Row],[Stage]]="Closed",Table3[[#This Row],[Date of Update]]-(_xlfn.MINIFS(Table3[Date of Update],Table3[Ref], Table3[[#This Row],[Ref]])),"")</f>
        <v/>
      </c>
    </row>
    <row r="724" spans="1:7" x14ac:dyDescent="0.25">
      <c r="A724" s="4" t="s">
        <v>529</v>
      </c>
      <c r="B724" s="5">
        <v>45253</v>
      </c>
      <c r="C724" s="6" t="s">
        <v>8</v>
      </c>
      <c r="D724" s="6" t="s">
        <v>9</v>
      </c>
      <c r="E724" s="6" t="s">
        <v>80</v>
      </c>
      <c r="F724" s="6" cm="1">
        <f t="array" aca="1" ref="F724" ca="1">IF(Table3[[#This Row],[Stage]]="Closed",0,IF(IFERROR(
  IF(
    COUNTIF(A$2:A$1997, A724) &gt; 1,
    MIN(IF(A$2:A$1997=A724, IF(B$2:B$1997&gt;B724, B$2:B$1997))) - B724,
    TODAY() - Table3[[#This Row],[Date of Update]]
  ),
  TODAY()-Table3[[#This Row],[Date of Update]]
)&lt;=0,
TODAY()-Table3[[#This Row],[Date of Update]],
IFERROR(
  IF(
    COUNTIF(A$2:A$1997, A724) &gt; 1,
    MIN(IF(A$2:A$1997=A724, IF(B$2:B$1997&gt;B724, B$2:B$1997))) - B724,
    TODAY() - Table3[[#This Row],[Date of Update]]
  ),
  TODAY()-Table3[[#This Row],[Date of Update]]
)))</f>
        <v>27</v>
      </c>
      <c r="G724" s="7" t="str">
        <f>IF(Table3[[#This Row],[Stage]]="Closed",Table3[[#This Row],[Date of Update]]-(_xlfn.MINIFS(Table3[Date of Update],Table3[Ref], Table3[[#This Row],[Ref]])),"")</f>
        <v/>
      </c>
    </row>
    <row r="725" spans="1:7" x14ac:dyDescent="0.25">
      <c r="A725" s="4" t="s">
        <v>530</v>
      </c>
      <c r="B725" s="5">
        <v>45253</v>
      </c>
      <c r="C725" s="6" t="s">
        <v>8</v>
      </c>
      <c r="D725" s="6" t="s">
        <v>9</v>
      </c>
      <c r="E725" s="6" t="s">
        <v>256</v>
      </c>
      <c r="F725" s="6" cm="1">
        <f t="array" aca="1" ref="F725" ca="1">IF(Table3[[#This Row],[Stage]]="Closed",0,IF(IFERROR(
  IF(
    COUNTIF(A$2:A$1997, A725) &gt; 1,
    MIN(IF(A$2:A$1997=A725, IF(B$2:B$1997&gt;B725, B$2:B$1997))) - B725,
    TODAY() - Table3[[#This Row],[Date of Update]]
  ),
  TODAY()-Table3[[#This Row],[Date of Update]]
)&lt;=0,
TODAY()-Table3[[#This Row],[Date of Update]],
IFERROR(
  IF(
    COUNTIF(A$2:A$1997, A725) &gt; 1,
    MIN(IF(A$2:A$1997=A725, IF(B$2:B$1997&gt;B725, B$2:B$1997))) - B725,
    TODAY() - Table3[[#This Row],[Date of Update]]
  ),
  TODAY()-Table3[[#This Row],[Date of Update]]
)))</f>
        <v>102</v>
      </c>
      <c r="G725" s="7" t="str">
        <f>IF(Table3[[#This Row],[Stage]]="Closed",Table3[[#This Row],[Date of Update]]-(_xlfn.MINIFS(Table3[Date of Update],Table3[Ref], Table3[[#This Row],[Ref]])),"")</f>
        <v/>
      </c>
    </row>
    <row r="726" spans="1:7" x14ac:dyDescent="0.25">
      <c r="A726" s="4" t="s">
        <v>531</v>
      </c>
      <c r="B726" s="5">
        <v>45253</v>
      </c>
      <c r="C726" s="6" t="s">
        <v>8</v>
      </c>
      <c r="D726" s="6" t="s">
        <v>9</v>
      </c>
      <c r="E726" s="6" t="s">
        <v>106</v>
      </c>
      <c r="F726" s="6" cm="1">
        <f t="array" aca="1" ref="F726" ca="1">IF(Table3[[#This Row],[Stage]]="Closed",0,IF(IFERROR(
  IF(
    COUNTIF(A$2:A$1997, A726) &gt; 1,
    MIN(IF(A$2:A$1997=A726, IF(B$2:B$1997&gt;B726, B$2:B$1997))) - B726,
    TODAY() - Table3[[#This Row],[Date of Update]]
  ),
  TODAY()-Table3[[#This Row],[Date of Update]]
)&lt;=0,
TODAY()-Table3[[#This Row],[Date of Update]],
IFERROR(
  IF(
    COUNTIF(A$2:A$1997, A726) &gt; 1,
    MIN(IF(A$2:A$1997=A726, IF(B$2:B$1997&gt;B726, B$2:B$1997))) - B726,
    TODAY() - Table3[[#This Row],[Date of Update]]
  ),
  TODAY()-Table3[[#This Row],[Date of Update]]
)))</f>
        <v>27</v>
      </c>
      <c r="G726" s="7" t="str">
        <f>IF(Table3[[#This Row],[Stage]]="Closed",Table3[[#This Row],[Date of Update]]-(_xlfn.MINIFS(Table3[Date of Update],Table3[Ref], Table3[[#This Row],[Ref]])),"")</f>
        <v/>
      </c>
    </row>
    <row r="727" spans="1:7" x14ac:dyDescent="0.25">
      <c r="A727" s="4" t="s">
        <v>528</v>
      </c>
      <c r="B727" s="5">
        <v>45258</v>
      </c>
      <c r="C727" s="6" t="s">
        <v>17</v>
      </c>
      <c r="D727" s="6" t="s">
        <v>9</v>
      </c>
      <c r="E727" s="6" t="s">
        <v>106</v>
      </c>
      <c r="F727" s="6" cm="1">
        <f t="array" aca="1" ref="F727" ca="1">IF(Table3[[#This Row],[Stage]]="Closed",0,IF(IFERROR(
  IF(
    COUNTIF(A$2:A$1997, A727) &gt; 1,
    MIN(IF(A$2:A$1997=A727, IF(B$2:B$1997&gt;B727, B$2:B$1997))) - B727,
    TODAY() - Table3[[#This Row],[Date of Update]]
  ),
  TODAY()-Table3[[#This Row],[Date of Update]]
)&lt;=0,
TODAY()-Table3[[#This Row],[Date of Update]],
IFERROR(
  IF(
    COUNTIF(A$2:A$1997, A727) &gt; 1,
    MIN(IF(A$2:A$1997=A727, IF(B$2:B$1997&gt;B727, B$2:B$1997))) - B727,
    TODAY() - Table3[[#This Row],[Date of Update]]
  ),
  TODAY()-Table3[[#This Row],[Date of Update]]
)))</f>
        <v>0</v>
      </c>
      <c r="G727" s="7">
        <f>IF(Table3[[#This Row],[Stage]]="Closed",Table3[[#This Row],[Date of Update]]-(_xlfn.MINIFS(Table3[Date of Update],Table3[Ref], Table3[[#This Row],[Ref]])),"")</f>
        <v>5</v>
      </c>
    </row>
    <row r="728" spans="1:7" x14ac:dyDescent="0.25">
      <c r="A728" s="4" t="s">
        <v>504</v>
      </c>
      <c r="B728" s="5">
        <v>45261</v>
      </c>
      <c r="C728" s="6" t="s">
        <v>17</v>
      </c>
      <c r="D728" s="6" t="s">
        <v>9</v>
      </c>
      <c r="E728" s="6" t="s">
        <v>354</v>
      </c>
      <c r="F728" s="6" cm="1">
        <f t="array" aca="1" ref="F728" ca="1">IF(Table3[[#This Row],[Stage]]="Closed",0,IF(IFERROR(
  IF(
    COUNTIF(A$2:A$1997, A728) &gt; 1,
    MIN(IF(A$2:A$1997=A728, IF(B$2:B$1997&gt;B728, B$2:B$1997))) - B728,
    TODAY() - Table3[[#This Row],[Date of Update]]
  ),
  TODAY()-Table3[[#This Row],[Date of Update]]
)&lt;=0,
TODAY()-Table3[[#This Row],[Date of Update]],
IFERROR(
  IF(
    COUNTIF(A$2:A$1997, A728) &gt; 1,
    MIN(IF(A$2:A$1997=A728, IF(B$2:B$1997&gt;B728, B$2:B$1997))) - B728,
    TODAY() - Table3[[#This Row],[Date of Update]]
  ),
  TODAY()-Table3[[#This Row],[Date of Update]]
)))</f>
        <v>0</v>
      </c>
      <c r="G728" s="7">
        <f>IF(Table3[[#This Row],[Stage]]="Closed",Table3[[#This Row],[Date of Update]]-(_xlfn.MINIFS(Table3[Date of Update],Table3[Ref], Table3[[#This Row],[Ref]])),"")</f>
        <v>49</v>
      </c>
    </row>
    <row r="729" spans="1:7" x14ac:dyDescent="0.25">
      <c r="A729" s="4" t="s">
        <v>481</v>
      </c>
      <c r="B729" s="5">
        <v>45261</v>
      </c>
      <c r="C729" s="6" t="s">
        <v>17</v>
      </c>
      <c r="D729" s="6" t="s">
        <v>9</v>
      </c>
      <c r="E729" s="6" t="s">
        <v>304</v>
      </c>
      <c r="F729" s="6" cm="1">
        <f t="array" aca="1" ref="F729" ca="1">IF(Table3[[#This Row],[Stage]]="Closed",0,IF(IFERROR(
  IF(
    COUNTIF(A$2:A$1997, A729) &gt; 1,
    MIN(IF(A$2:A$1997=A729, IF(B$2:B$1997&gt;B729, B$2:B$1997))) - B729,
    TODAY() - Table3[[#This Row],[Date of Update]]
  ),
  TODAY()-Table3[[#This Row],[Date of Update]]
)&lt;=0,
TODAY()-Table3[[#This Row],[Date of Update]],
IFERROR(
  IF(
    COUNTIF(A$2:A$1997, A729) &gt; 1,
    MIN(IF(A$2:A$1997=A729, IF(B$2:B$1997&gt;B729, B$2:B$1997))) - B729,
    TODAY() - Table3[[#This Row],[Date of Update]]
  ),
  TODAY()-Table3[[#This Row],[Date of Update]]
)))</f>
        <v>0</v>
      </c>
      <c r="G729" s="7">
        <f>IF(Table3[[#This Row],[Stage]]="Closed",Table3[[#This Row],[Date of Update]]-(_xlfn.MINIFS(Table3[Date of Update],Table3[Ref], Table3[[#This Row],[Ref]])),"")</f>
        <v>93</v>
      </c>
    </row>
    <row r="730" spans="1:7" x14ac:dyDescent="0.25">
      <c r="A730" s="4" t="s">
        <v>491</v>
      </c>
      <c r="B730" s="5">
        <v>45261</v>
      </c>
      <c r="C730" s="6" t="s">
        <v>17</v>
      </c>
      <c r="D730" s="6" t="s">
        <v>9</v>
      </c>
      <c r="E730" s="6" t="s">
        <v>80</v>
      </c>
      <c r="F730" s="6" cm="1">
        <f t="array" aca="1" ref="F730" ca="1">IF(Table3[[#This Row],[Stage]]="Closed",0,IF(IFERROR(
  IF(
    COUNTIF(A$2:A$1997, A730) &gt; 1,
    MIN(IF(A$2:A$1997=A730, IF(B$2:B$1997&gt;B730, B$2:B$1997))) - B730,
    TODAY() - Table3[[#This Row],[Date of Update]]
  ),
  TODAY()-Table3[[#This Row],[Date of Update]]
)&lt;=0,
TODAY()-Table3[[#This Row],[Date of Update]],
IFERROR(
  IF(
    COUNTIF(A$2:A$1997, A730) &gt; 1,
    MIN(IF(A$2:A$1997=A730, IF(B$2:B$1997&gt;B730, B$2:B$1997))) - B730,
    TODAY() - Table3[[#This Row],[Date of Update]]
  ),
  TODAY()-Table3[[#This Row],[Date of Update]]
)))</f>
        <v>0</v>
      </c>
      <c r="G730" s="7">
        <f>IF(Table3[[#This Row],[Stage]]="Closed",Table3[[#This Row],[Date of Update]]-(_xlfn.MINIFS(Table3[Date of Update],Table3[Ref], Table3[[#This Row],[Ref]])),"")</f>
        <v>67</v>
      </c>
    </row>
    <row r="731" spans="1:7" x14ac:dyDescent="0.25">
      <c r="A731" s="4" t="s">
        <v>526</v>
      </c>
      <c r="B731" s="5">
        <v>45264</v>
      </c>
      <c r="C731" s="6" t="s">
        <v>17</v>
      </c>
      <c r="D731" s="6" t="s">
        <v>9</v>
      </c>
      <c r="E731" s="6" t="s">
        <v>80</v>
      </c>
      <c r="F731" s="6" cm="1">
        <f t="array" aca="1" ref="F731" ca="1">IF(Table3[[#This Row],[Stage]]="Closed",0,IF(IFERROR(
  IF(
    COUNTIF(A$2:A$1997, A731) &gt; 1,
    MIN(IF(A$2:A$1997=A731, IF(B$2:B$1997&gt;B731, B$2:B$1997))) - B731,
    TODAY() - Table3[[#This Row],[Date of Update]]
  ),
  TODAY()-Table3[[#This Row],[Date of Update]]
)&lt;=0,
TODAY()-Table3[[#This Row],[Date of Update]],
IFERROR(
  IF(
    COUNTIF(A$2:A$1997, A731) &gt; 1,
    MIN(IF(A$2:A$1997=A731, IF(B$2:B$1997&gt;B731, B$2:B$1997))) - B731,
    TODAY() - Table3[[#This Row],[Date of Update]]
  ),
  TODAY()-Table3[[#This Row],[Date of Update]]
)))</f>
        <v>0</v>
      </c>
      <c r="G731" s="7">
        <f>IF(Table3[[#This Row],[Stage]]="Closed",Table3[[#This Row],[Date of Update]]-(_xlfn.MINIFS(Table3[Date of Update],Table3[Ref], Table3[[#This Row],[Ref]])),"")</f>
        <v>11</v>
      </c>
    </row>
    <row r="732" spans="1:7" x14ac:dyDescent="0.25">
      <c r="A732" s="4" t="s">
        <v>532</v>
      </c>
      <c r="B732" s="5">
        <v>45264</v>
      </c>
      <c r="C732" s="6" t="s">
        <v>8</v>
      </c>
      <c r="D732" s="6" t="s">
        <v>9</v>
      </c>
      <c r="E732" s="6" t="s">
        <v>533</v>
      </c>
      <c r="F732" s="6" cm="1">
        <f t="array" aca="1" ref="F732" ca="1">IF(Table3[[#This Row],[Stage]]="Closed",0,IF(IFERROR(
  IF(
    COUNTIF(A$2:A$1997, A732) &gt; 1,
    MIN(IF(A$2:A$1997=A732, IF(B$2:B$1997&gt;B732, B$2:B$1997))) - B732,
    TODAY() - Table3[[#This Row],[Date of Update]]
  ),
  TODAY()-Table3[[#This Row],[Date of Update]]
)&lt;=0,
TODAY()-Table3[[#This Row],[Date of Update]],
IFERROR(
  IF(
    COUNTIF(A$2:A$1997, A732) &gt; 1,
    MIN(IF(A$2:A$1997=A732, IF(B$2:B$1997&gt;B732, B$2:B$1997))) - B732,
    TODAY() - Table3[[#This Row],[Date of Update]]
  ),
  TODAY()-Table3[[#This Row],[Date of Update]]
)))</f>
        <v>49</v>
      </c>
      <c r="G732" s="7" t="str">
        <f>IF(Table3[[#This Row],[Stage]]="Closed",Table3[[#This Row],[Date of Update]]-(_xlfn.MINIFS(Table3[Date of Update],Table3[Ref], Table3[[#This Row],[Ref]])),"")</f>
        <v/>
      </c>
    </row>
    <row r="733" spans="1:7" x14ac:dyDescent="0.25">
      <c r="A733" s="4" t="s">
        <v>523</v>
      </c>
      <c r="B733" s="5">
        <v>45268</v>
      </c>
      <c r="C733" s="6" t="s">
        <v>17</v>
      </c>
      <c r="D733" s="6" t="s">
        <v>9</v>
      </c>
      <c r="E733" s="6" t="s">
        <v>524</v>
      </c>
      <c r="F733" s="6" cm="1">
        <f t="array" aca="1" ref="F733" ca="1">IF(Table3[[#This Row],[Stage]]="Closed",0,IF(IFERROR(
  IF(
    COUNTIF(A$2:A$1997, A733) &gt; 1,
    MIN(IF(A$2:A$1997=A733, IF(B$2:B$1997&gt;B733, B$2:B$1997))) - B733,
    TODAY() - Table3[[#This Row],[Date of Update]]
  ),
  TODAY()-Table3[[#This Row],[Date of Update]]
)&lt;=0,
TODAY()-Table3[[#This Row],[Date of Update]],
IFERROR(
  IF(
    COUNTIF(A$2:A$1997, A733) &gt; 1,
    MIN(IF(A$2:A$1997=A733, IF(B$2:B$1997&gt;B733, B$2:B$1997))) - B733,
    TODAY() - Table3[[#This Row],[Date of Update]]
  ),
  TODAY()-Table3[[#This Row],[Date of Update]]
)))</f>
        <v>0</v>
      </c>
      <c r="G733" s="7">
        <f>IF(Table3[[#This Row],[Stage]]="Closed",Table3[[#This Row],[Date of Update]]-(_xlfn.MINIFS(Table3[Date of Update],Table3[Ref], Table3[[#This Row],[Ref]])),"")</f>
        <v>22</v>
      </c>
    </row>
    <row r="734" spans="1:7" x14ac:dyDescent="0.25">
      <c r="A734" s="4" t="s">
        <v>534</v>
      </c>
      <c r="B734" s="5">
        <v>45272</v>
      </c>
      <c r="C734" s="6" t="s">
        <v>8</v>
      </c>
      <c r="D734" s="6" t="s">
        <v>9</v>
      </c>
      <c r="E734" s="6" t="s">
        <v>535</v>
      </c>
      <c r="F734" s="6" cm="1">
        <f t="array" aca="1" ref="F734" ca="1">IF(Table3[[#This Row],[Stage]]="Closed",0,IF(IFERROR(
  IF(
    COUNTIF(A$2:A$1997, A734) &gt; 1,
    MIN(IF(A$2:A$1997=A734, IF(B$2:B$1997&gt;B734, B$2:B$1997))) - B734,
    TODAY() - Table3[[#This Row],[Date of Update]]
  ),
  TODAY()-Table3[[#This Row],[Date of Update]]
)&lt;=0,
TODAY()-Table3[[#This Row],[Date of Update]],
IFERROR(
  IF(
    COUNTIF(A$2:A$1997, A734) &gt; 1,
    MIN(IF(A$2:A$1997=A734, IF(B$2:B$1997&gt;B734, B$2:B$1997))) - B734,
    TODAY() - Table3[[#This Row],[Date of Update]]
  ),
  TODAY()-Table3[[#This Row],[Date of Update]]
)))</f>
        <v>37</v>
      </c>
      <c r="G734" s="7" t="str">
        <f>IF(Table3[[#This Row],[Stage]]="Closed",Table3[[#This Row],[Date of Update]]-(_xlfn.MINIFS(Table3[Date of Update],Table3[Ref], Table3[[#This Row],[Ref]])),"")</f>
        <v/>
      </c>
    </row>
    <row r="735" spans="1:7" x14ac:dyDescent="0.25">
      <c r="A735" s="4" t="s">
        <v>536</v>
      </c>
      <c r="B735" s="5">
        <v>45272</v>
      </c>
      <c r="C735" s="6" t="s">
        <v>8</v>
      </c>
      <c r="D735" s="6" t="s">
        <v>9</v>
      </c>
      <c r="E735" s="6" t="s">
        <v>537</v>
      </c>
      <c r="F735" s="6" cm="1">
        <f t="array" aca="1" ref="F735" ca="1">IF(Table3[[#This Row],[Stage]]="Closed",0,IF(IFERROR(
  IF(
    COUNTIF(A$2:A$1997, A735) &gt; 1,
    MIN(IF(A$2:A$1997=A735, IF(B$2:B$1997&gt;B735, B$2:B$1997))) - B735,
    TODAY() - Table3[[#This Row],[Date of Update]]
  ),
  TODAY()-Table3[[#This Row],[Date of Update]]
)&lt;=0,
TODAY()-Table3[[#This Row],[Date of Update]],
IFERROR(
  IF(
    COUNTIF(A$2:A$1997, A735) &gt; 1,
    MIN(IF(A$2:A$1997=A735, IF(B$2:B$1997&gt;B735, B$2:B$1997))) - B735,
    TODAY() - Table3[[#This Row],[Date of Update]]
  ),
  TODAY()-Table3[[#This Row],[Date of Update]]
)))</f>
        <v>37</v>
      </c>
      <c r="G735" s="7" t="str">
        <f>IF(Table3[[#This Row],[Stage]]="Closed",Table3[[#This Row],[Date of Update]]-(_xlfn.MINIFS(Table3[Date of Update],Table3[Ref], Table3[[#This Row],[Ref]])),"")</f>
        <v/>
      </c>
    </row>
    <row r="736" spans="1:7" x14ac:dyDescent="0.25">
      <c r="A736" s="4" t="s">
        <v>538</v>
      </c>
      <c r="B736" s="5">
        <v>45275</v>
      </c>
      <c r="C736" s="6" t="s">
        <v>8</v>
      </c>
      <c r="D736" s="6" t="s">
        <v>9</v>
      </c>
      <c r="E736" s="6" t="s">
        <v>539</v>
      </c>
      <c r="F736" s="6" cm="1">
        <f t="array" aca="1" ref="F736" ca="1">IF(Table3[[#This Row],[Stage]]="Closed",0,IF(IFERROR(
  IF(
    COUNTIF(A$2:A$1997, A736) &gt; 1,
    MIN(IF(A$2:A$1997=A736, IF(B$2:B$1997&gt;B736, B$2:B$1997))) - B736,
    TODAY() - Table3[[#This Row],[Date of Update]]
  ),
  TODAY()-Table3[[#This Row],[Date of Update]]
)&lt;=0,
TODAY()-Table3[[#This Row],[Date of Update]],
IFERROR(
  IF(
    COUNTIF(A$2:A$1997, A736) &gt; 1,
    MIN(IF(A$2:A$1997=A736, IF(B$2:B$1997&gt;B736, B$2:B$1997))) - B736,
    TODAY() - Table3[[#This Row],[Date of Update]]
  ),
  TODAY()-Table3[[#This Row],[Date of Update]]
)))</f>
        <v>47</v>
      </c>
      <c r="G736" s="7" t="str">
        <f>IF(Table3[[#This Row],[Stage]]="Closed",Table3[[#This Row],[Date of Update]]-(_xlfn.MINIFS(Table3[Date of Update],Table3[Ref], Table3[[#This Row],[Ref]])),"")</f>
        <v/>
      </c>
    </row>
    <row r="737" spans="1:7" x14ac:dyDescent="0.25">
      <c r="A737" s="4" t="s">
        <v>540</v>
      </c>
      <c r="B737" s="5">
        <v>45278</v>
      </c>
      <c r="C737" s="6" t="s">
        <v>8</v>
      </c>
      <c r="D737" s="6" t="s">
        <v>9</v>
      </c>
      <c r="E737" s="6" t="s">
        <v>541</v>
      </c>
      <c r="F737" s="6" cm="1">
        <f t="array" aca="1" ref="F737" ca="1">IF(Table3[[#This Row],[Stage]]="Closed",0,IF(IFERROR(
  IF(
    COUNTIF(A$2:A$1997, A737) &gt; 1,
    MIN(IF(A$2:A$1997=A737, IF(B$2:B$1997&gt;B737, B$2:B$1997))) - B737,
    TODAY() - Table3[[#This Row],[Date of Update]]
  ),
  TODAY()-Table3[[#This Row],[Date of Update]]
)&lt;=0,
TODAY()-Table3[[#This Row],[Date of Update]],
IFERROR(
  IF(
    COUNTIF(A$2:A$1997, A737) &gt; 1,
    MIN(IF(A$2:A$1997=A737, IF(B$2:B$1997&gt;B737, B$2:B$1997))) - B737,
    TODAY() - Table3[[#This Row],[Date of Update]]
  ),
  TODAY()-Table3[[#This Row],[Date of Update]]
)))</f>
        <v>45</v>
      </c>
      <c r="G737" s="7" t="str">
        <f>IF(Table3[[#This Row],[Stage]]="Closed",Table3[[#This Row],[Date of Update]]-(_xlfn.MINIFS(Table3[Date of Update],Table3[Ref], Table3[[#This Row],[Ref]])),"")</f>
        <v/>
      </c>
    </row>
    <row r="738" spans="1:7" x14ac:dyDescent="0.25">
      <c r="A738" s="4" t="s">
        <v>542</v>
      </c>
      <c r="B738" s="5">
        <v>45279</v>
      </c>
      <c r="C738" s="6" t="s">
        <v>8</v>
      </c>
      <c r="D738" s="6" t="s">
        <v>9</v>
      </c>
      <c r="E738" s="6" t="s">
        <v>212</v>
      </c>
      <c r="F738" s="6" cm="1">
        <f t="array" aca="1" ref="F738" ca="1">IF(Table3[[#This Row],[Stage]]="Closed",0,IF(IFERROR(
  IF(
    COUNTIF(A$2:A$1997, A738) &gt; 1,
    MIN(IF(A$2:A$1997=A738, IF(B$2:B$1997&gt;B738, B$2:B$1997))) - B738,
    TODAY() - Table3[[#This Row],[Date of Update]]
  ),
  TODAY()-Table3[[#This Row],[Date of Update]]
)&lt;=0,
TODAY()-Table3[[#This Row],[Date of Update]],
IFERROR(
  IF(
    COUNTIF(A$2:A$1997, A738) &gt; 1,
    MIN(IF(A$2:A$1997=A738, IF(B$2:B$1997&gt;B738, B$2:B$1997))) - B738,
    TODAY() - Table3[[#This Row],[Date of Update]]
  ),
  TODAY()-Table3[[#This Row],[Date of Update]]
)))</f>
        <v>2</v>
      </c>
      <c r="G738" s="7" t="str">
        <f>IF(Table3[[#This Row],[Stage]]="Closed",Table3[[#This Row],[Date of Update]]-(_xlfn.MINIFS(Table3[Date of Update],Table3[Ref], Table3[[#This Row],[Ref]])),"")</f>
        <v/>
      </c>
    </row>
    <row r="739" spans="1:7" x14ac:dyDescent="0.25">
      <c r="A739" s="4" t="s">
        <v>527</v>
      </c>
      <c r="B739" s="5">
        <v>45280</v>
      </c>
      <c r="C739" s="6" t="s">
        <v>17</v>
      </c>
      <c r="D739" s="6" t="s">
        <v>9</v>
      </c>
      <c r="E739" s="6" t="s">
        <v>106</v>
      </c>
      <c r="F739" s="6" cm="1">
        <f t="array" aca="1" ref="F739" ca="1">IF(Table3[[#This Row],[Stage]]="Closed",0,IF(IFERROR(
  IF(
    COUNTIF(A$2:A$1997, A739) &gt; 1,
    MIN(IF(A$2:A$1997=A739, IF(B$2:B$1997&gt;B739, B$2:B$1997))) - B739,
    TODAY() - Table3[[#This Row],[Date of Update]]
  ),
  TODAY()-Table3[[#This Row],[Date of Update]]
)&lt;=0,
TODAY()-Table3[[#This Row],[Date of Update]],
IFERROR(
  IF(
    COUNTIF(A$2:A$1997, A739) &gt; 1,
    MIN(IF(A$2:A$1997=A739, IF(B$2:B$1997&gt;B739, B$2:B$1997))) - B739,
    TODAY() - Table3[[#This Row],[Date of Update]]
  ),
  TODAY()-Table3[[#This Row],[Date of Update]]
)))</f>
        <v>0</v>
      </c>
      <c r="G739" s="7">
        <f>IF(Table3[[#This Row],[Stage]]="Closed",Table3[[#This Row],[Date of Update]]-(_xlfn.MINIFS(Table3[Date of Update],Table3[Ref], Table3[[#This Row],[Ref]])),"")</f>
        <v>27</v>
      </c>
    </row>
    <row r="740" spans="1:7" x14ac:dyDescent="0.25">
      <c r="A740" s="4" t="s">
        <v>529</v>
      </c>
      <c r="B740" s="5">
        <v>45280</v>
      </c>
      <c r="C740" s="6" t="s">
        <v>17</v>
      </c>
      <c r="D740" s="6" t="s">
        <v>9</v>
      </c>
      <c r="E740" s="6" t="s">
        <v>80</v>
      </c>
      <c r="F740" s="6" cm="1">
        <f t="array" aca="1" ref="F740" ca="1">IF(Table3[[#This Row],[Stage]]="Closed",0,IF(IFERROR(
  IF(
    COUNTIF(A$2:A$1997, A740) &gt; 1,
    MIN(IF(A$2:A$1997=A740, IF(B$2:B$1997&gt;B740, B$2:B$1997))) - B740,
    TODAY() - Table3[[#This Row],[Date of Update]]
  ),
  TODAY()-Table3[[#This Row],[Date of Update]]
)&lt;=0,
TODAY()-Table3[[#This Row],[Date of Update]],
IFERROR(
  IF(
    COUNTIF(A$2:A$1997, A740) &gt; 1,
    MIN(IF(A$2:A$1997=A740, IF(B$2:B$1997&gt;B740, B$2:B$1997))) - B740,
    TODAY() - Table3[[#This Row],[Date of Update]]
  ),
  TODAY()-Table3[[#This Row],[Date of Update]]
)))</f>
        <v>0</v>
      </c>
      <c r="G740" s="7">
        <f>IF(Table3[[#This Row],[Stage]]="Closed",Table3[[#This Row],[Date of Update]]-(_xlfn.MINIFS(Table3[Date of Update],Table3[Ref], Table3[[#This Row],[Ref]])),"")</f>
        <v>27</v>
      </c>
    </row>
    <row r="741" spans="1:7" x14ac:dyDescent="0.25">
      <c r="A741" s="4" t="s">
        <v>531</v>
      </c>
      <c r="B741" s="5">
        <v>45280</v>
      </c>
      <c r="C741" s="6" t="s">
        <v>17</v>
      </c>
      <c r="D741" s="6" t="s">
        <v>9</v>
      </c>
      <c r="E741" s="6" t="s">
        <v>106</v>
      </c>
      <c r="F741" s="6" cm="1">
        <f t="array" aca="1" ref="F741" ca="1">IF(Table3[[#This Row],[Stage]]="Closed",0,IF(IFERROR(
  IF(
    COUNTIF(A$2:A$1997, A741) &gt; 1,
    MIN(IF(A$2:A$1997=A741, IF(B$2:B$1997&gt;B741, B$2:B$1997))) - B741,
    TODAY() - Table3[[#This Row],[Date of Update]]
  ),
  TODAY()-Table3[[#This Row],[Date of Update]]
)&lt;=0,
TODAY()-Table3[[#This Row],[Date of Update]],
IFERROR(
  IF(
    COUNTIF(A$2:A$1997, A741) &gt; 1,
    MIN(IF(A$2:A$1997=A741, IF(B$2:B$1997&gt;B741, B$2:B$1997))) - B741,
    TODAY() - Table3[[#This Row],[Date of Update]]
  ),
  TODAY()-Table3[[#This Row],[Date of Update]]
)))</f>
        <v>0</v>
      </c>
      <c r="G741" s="7">
        <f>IF(Table3[[#This Row],[Stage]]="Closed",Table3[[#This Row],[Date of Update]]-(_xlfn.MINIFS(Table3[Date of Update],Table3[Ref], Table3[[#This Row],[Ref]])),"")</f>
        <v>27</v>
      </c>
    </row>
    <row r="742" spans="1:7" x14ac:dyDescent="0.25">
      <c r="A742" s="4" t="s">
        <v>542</v>
      </c>
      <c r="B742" s="5">
        <v>45281</v>
      </c>
      <c r="C742" s="6" t="s">
        <v>17</v>
      </c>
      <c r="D742" s="6" t="s">
        <v>9</v>
      </c>
      <c r="E742" s="6" t="s">
        <v>212</v>
      </c>
      <c r="F742" s="6" cm="1">
        <f t="array" aca="1" ref="F742" ca="1">IF(Table3[[#This Row],[Stage]]="Closed",0,IF(IFERROR(
  IF(
    COUNTIF(A$2:A$1997, A742) &gt; 1,
    MIN(IF(A$2:A$1997=A742, IF(B$2:B$1997&gt;B742, B$2:B$1997))) - B742,
    TODAY() - Table3[[#This Row],[Date of Update]]
  ),
  TODAY()-Table3[[#This Row],[Date of Update]]
)&lt;=0,
TODAY()-Table3[[#This Row],[Date of Update]],
IFERROR(
  IF(
    COUNTIF(A$2:A$1997, A742) &gt; 1,
    MIN(IF(A$2:A$1997=A742, IF(B$2:B$1997&gt;B742, B$2:B$1997))) - B742,
    TODAY() - Table3[[#This Row],[Date of Update]]
  ),
  TODAY()-Table3[[#This Row],[Date of Update]]
)))</f>
        <v>0</v>
      </c>
      <c r="G742" s="7">
        <f>IF(Table3[[#This Row],[Stage]]="Closed",Table3[[#This Row],[Date of Update]]-(_xlfn.MINIFS(Table3[Date of Update],Table3[Ref], Table3[[#This Row],[Ref]])),"")</f>
        <v>2</v>
      </c>
    </row>
    <row r="743" spans="1:7" x14ac:dyDescent="0.25">
      <c r="A743" s="4" t="s">
        <v>543</v>
      </c>
      <c r="B743" s="5">
        <v>45301</v>
      </c>
      <c r="C743" s="6" t="s">
        <v>8</v>
      </c>
      <c r="D743" s="6" t="s">
        <v>9</v>
      </c>
      <c r="E743" s="6" t="s">
        <v>80</v>
      </c>
      <c r="F743" s="6" cm="1">
        <f t="array" aca="1" ref="F743" ca="1">IF(Table3[[#This Row],[Stage]]="Closed",0,IF(IFERROR(
  IF(
    COUNTIF(A$2:A$1997, A743) &gt; 1,
    MIN(IF(A$2:A$1997=A743, IF(B$2:B$1997&gt;B743, B$2:B$1997))) - B743,
    TODAY() - Table3[[#This Row],[Date of Update]]
  ),
  TODAY()-Table3[[#This Row],[Date of Update]]
)&lt;=0,
TODAY()-Table3[[#This Row],[Date of Update]],
IFERROR(
  IF(
    COUNTIF(A$2:A$1997, A743) &gt; 1,
    MIN(IF(A$2:A$1997=A743, IF(B$2:B$1997&gt;B743, B$2:B$1997))) - B743,
    TODAY() - Table3[[#This Row],[Date of Update]]
  ),
  TODAY()-Table3[[#This Row],[Date of Update]]
)))</f>
        <v>63</v>
      </c>
      <c r="G743" s="7" t="str">
        <f>IF(Table3[[#This Row],[Stage]]="Closed",Table3[[#This Row],[Date of Update]]-(_xlfn.MINIFS(Table3[Date of Update],Table3[Ref], Table3[[#This Row],[Ref]])),"")</f>
        <v/>
      </c>
    </row>
    <row r="744" spans="1:7" x14ac:dyDescent="0.25">
      <c r="A744" s="4" t="s">
        <v>516</v>
      </c>
      <c r="B744" s="5">
        <v>45302</v>
      </c>
      <c r="C744" s="6" t="s">
        <v>17</v>
      </c>
      <c r="D744" s="6" t="s">
        <v>9</v>
      </c>
      <c r="E744" s="6"/>
      <c r="F744" s="6" cm="1">
        <f t="array" aca="1" ref="F744" ca="1">IF(Table3[[#This Row],[Stage]]="Closed",0,IF(IFERROR(
  IF(
    COUNTIF(A$2:A$1997, A744) &gt; 1,
    MIN(IF(A$2:A$1997=A744, IF(B$2:B$1997&gt;B744, B$2:B$1997))) - B744,
    TODAY() - Table3[[#This Row],[Date of Update]]
  ),
  TODAY()-Table3[[#This Row],[Date of Update]]
)&lt;=0,
TODAY()-Table3[[#This Row],[Date of Update]],
IFERROR(
  IF(
    COUNTIF(A$2:A$1997, A744) &gt; 1,
    MIN(IF(A$2:A$1997=A744, IF(B$2:B$1997&gt;B744, B$2:B$1997))) - B744,
    TODAY() - Table3[[#This Row],[Date of Update]]
  ),
  TODAY()-Table3[[#This Row],[Date of Update]]
)))</f>
        <v>0</v>
      </c>
      <c r="G744" s="7">
        <f>IF(Table3[[#This Row],[Stage]]="Closed",Table3[[#This Row],[Date of Update]]-(_xlfn.MINIFS(Table3[Date of Update],Table3[Ref], Table3[[#This Row],[Ref]])),"")</f>
        <v>63</v>
      </c>
    </row>
    <row r="745" spans="1:7" x14ac:dyDescent="0.25">
      <c r="A745" s="4" t="s">
        <v>517</v>
      </c>
      <c r="B745" s="5">
        <v>45302</v>
      </c>
      <c r="C745" s="6" t="s">
        <v>17</v>
      </c>
      <c r="D745" s="6" t="s">
        <v>9</v>
      </c>
      <c r="E745" s="6" t="s">
        <v>80</v>
      </c>
      <c r="F745" s="6" cm="1">
        <f t="array" aca="1" ref="F745" ca="1">IF(Table3[[#This Row],[Stage]]="Closed",0,IF(IFERROR(
  IF(
    COUNTIF(A$2:A$1997, A745) &gt; 1,
    MIN(IF(A$2:A$1997=A745, IF(B$2:B$1997&gt;B745, B$2:B$1997))) - B745,
    TODAY() - Table3[[#This Row],[Date of Update]]
  ),
  TODAY()-Table3[[#This Row],[Date of Update]]
)&lt;=0,
TODAY()-Table3[[#This Row],[Date of Update]],
IFERROR(
  IF(
    COUNTIF(A$2:A$1997, A745) &gt; 1,
    MIN(IF(A$2:A$1997=A745, IF(B$2:B$1997&gt;B745, B$2:B$1997))) - B745,
    TODAY() - Table3[[#This Row],[Date of Update]]
  ),
  TODAY()-Table3[[#This Row],[Date of Update]]
)))</f>
        <v>0</v>
      </c>
      <c r="G745" s="7">
        <f>IF(Table3[[#This Row],[Stage]]="Closed",Table3[[#This Row],[Date of Update]]-(_xlfn.MINIFS(Table3[Date of Update],Table3[Ref], Table3[[#This Row],[Ref]])),"")</f>
        <v>63</v>
      </c>
    </row>
    <row r="746" spans="1:7" x14ac:dyDescent="0.25">
      <c r="A746" s="4" t="s">
        <v>525</v>
      </c>
      <c r="B746" s="5">
        <v>45303</v>
      </c>
      <c r="C746" s="6" t="s">
        <v>17</v>
      </c>
      <c r="D746" s="6" t="s">
        <v>9</v>
      </c>
      <c r="E746" s="6" t="s">
        <v>80</v>
      </c>
      <c r="F746" s="6" cm="1">
        <f t="array" aca="1" ref="F746" ca="1">IF(Table3[[#This Row],[Stage]]="Closed",0,IF(IFERROR(
  IF(
    COUNTIF(A$2:A$1997, A746) &gt; 1,
    MIN(IF(A$2:A$1997=A746, IF(B$2:B$1997&gt;B746, B$2:B$1997))) - B746,
    TODAY() - Table3[[#This Row],[Date of Update]]
  ),
  TODAY()-Table3[[#This Row],[Date of Update]]
)&lt;=0,
TODAY()-Table3[[#This Row],[Date of Update]],
IFERROR(
  IF(
    COUNTIF(A$2:A$1997, A746) &gt; 1,
    MIN(IF(A$2:A$1997=A746, IF(B$2:B$1997&gt;B746, B$2:B$1997))) - B746,
    TODAY() - Table3[[#This Row],[Date of Update]]
  ),
  TODAY()-Table3[[#This Row],[Date of Update]]
)))</f>
        <v>0</v>
      </c>
      <c r="G746" s="7">
        <f>IF(Table3[[#This Row],[Stage]]="Closed",Table3[[#This Row],[Date of Update]]-(_xlfn.MINIFS(Table3[Date of Update],Table3[Ref], Table3[[#This Row],[Ref]])),"")</f>
        <v>53</v>
      </c>
    </row>
    <row r="747" spans="1:7" x14ac:dyDescent="0.25">
      <c r="A747" s="4" t="s">
        <v>544</v>
      </c>
      <c r="B747" s="5">
        <v>45308</v>
      </c>
      <c r="C747" s="6" t="s">
        <v>8</v>
      </c>
      <c r="D747" s="6" t="s">
        <v>9</v>
      </c>
      <c r="E747" s="6" t="s">
        <v>80</v>
      </c>
      <c r="F747" s="6" cm="1">
        <f t="array" aca="1" ref="F747" ca="1">IF(Table3[[#This Row],[Stage]]="Closed",0,IF(IFERROR(
  IF(
    COUNTIF(A$2:A$1997, A747) &gt; 1,
    MIN(IF(A$2:A$1997=A747, IF(B$2:B$1997&gt;B747, B$2:B$1997))) - B747,
    TODAY() - Table3[[#This Row],[Date of Update]]
  ),
  TODAY()-Table3[[#This Row],[Date of Update]]
)&lt;=0,
TODAY()-Table3[[#This Row],[Date of Update]],
IFERROR(
  IF(
    COUNTIF(A$2:A$1997, A747) &gt; 1,
    MIN(IF(A$2:A$1997=A747, IF(B$2:B$1997&gt;B747, B$2:B$1997))) - B747,
    TODAY() - Table3[[#This Row],[Date of Update]]
  ),
  TODAY()-Table3[[#This Row],[Date of Update]]
)))</f>
        <v>14</v>
      </c>
      <c r="G747" s="7" t="str">
        <f>IF(Table3[[#This Row],[Stage]]="Closed",Table3[[#This Row],[Date of Update]]-(_xlfn.MINIFS(Table3[Date of Update],Table3[Ref], Table3[[#This Row],[Ref]])),"")</f>
        <v/>
      </c>
    </row>
    <row r="748" spans="1:7" x14ac:dyDescent="0.25">
      <c r="A748" s="4" t="s">
        <v>534</v>
      </c>
      <c r="B748" s="5">
        <v>45309</v>
      </c>
      <c r="C748" s="6" t="s">
        <v>17</v>
      </c>
      <c r="D748" s="6" t="s">
        <v>9</v>
      </c>
      <c r="E748" s="6" t="s">
        <v>535</v>
      </c>
      <c r="F748" s="6" cm="1">
        <f t="array" aca="1" ref="F748" ca="1">IF(Table3[[#This Row],[Stage]]="Closed",0,IF(IFERROR(
  IF(
    COUNTIF(A$2:A$1997, A748) &gt; 1,
    MIN(IF(A$2:A$1997=A748, IF(B$2:B$1997&gt;B748, B$2:B$1997))) - B748,
    TODAY() - Table3[[#This Row],[Date of Update]]
  ),
  TODAY()-Table3[[#This Row],[Date of Update]]
)&lt;=0,
TODAY()-Table3[[#This Row],[Date of Update]],
IFERROR(
  IF(
    COUNTIF(A$2:A$1997, A748) &gt; 1,
    MIN(IF(A$2:A$1997=A748, IF(B$2:B$1997&gt;B748, B$2:B$1997))) - B748,
    TODAY() - Table3[[#This Row],[Date of Update]]
  ),
  TODAY()-Table3[[#This Row],[Date of Update]]
)))</f>
        <v>0</v>
      </c>
      <c r="G748" s="7">
        <f>IF(Table3[[#This Row],[Stage]]="Closed",Table3[[#This Row],[Date of Update]]-(_xlfn.MINIFS(Table3[Date of Update],Table3[Ref], Table3[[#This Row],[Ref]])),"")</f>
        <v>37</v>
      </c>
    </row>
    <row r="749" spans="1:7" x14ac:dyDescent="0.25">
      <c r="A749" s="4" t="s">
        <v>536</v>
      </c>
      <c r="B749" s="5">
        <v>45309</v>
      </c>
      <c r="C749" s="6" t="s">
        <v>17</v>
      </c>
      <c r="D749" s="6" t="s">
        <v>9</v>
      </c>
      <c r="E749" s="6" t="s">
        <v>537</v>
      </c>
      <c r="F749" s="6" cm="1">
        <f t="array" aca="1" ref="F749" ca="1">IF(Table3[[#This Row],[Stage]]="Closed",0,IF(IFERROR(
  IF(
    COUNTIF(A$2:A$1997, A749) &gt; 1,
    MIN(IF(A$2:A$1997=A749, IF(B$2:B$1997&gt;B749, B$2:B$1997))) - B749,
    TODAY() - Table3[[#This Row],[Date of Update]]
  ),
  TODAY()-Table3[[#This Row],[Date of Update]]
)&lt;=0,
TODAY()-Table3[[#This Row],[Date of Update]],
IFERROR(
  IF(
    COUNTIF(A$2:A$1997, A749) &gt; 1,
    MIN(IF(A$2:A$1997=A749, IF(B$2:B$1997&gt;B749, B$2:B$1997))) - B749,
    TODAY() - Table3[[#This Row],[Date of Update]]
  ),
  TODAY()-Table3[[#This Row],[Date of Update]]
)))</f>
        <v>0</v>
      </c>
      <c r="G749" s="7">
        <f>IF(Table3[[#This Row],[Stage]]="Closed",Table3[[#This Row],[Date of Update]]-(_xlfn.MINIFS(Table3[Date of Update],Table3[Ref], Table3[[#This Row],[Ref]])),"")</f>
        <v>37</v>
      </c>
    </row>
    <row r="750" spans="1:7" x14ac:dyDescent="0.25">
      <c r="A750" s="4" t="s">
        <v>545</v>
      </c>
      <c r="B750" s="5">
        <v>45313</v>
      </c>
      <c r="C750" s="6" t="s">
        <v>8</v>
      </c>
      <c r="D750" s="6" t="s">
        <v>9</v>
      </c>
      <c r="E750" s="6" t="s">
        <v>546</v>
      </c>
      <c r="F750" s="6" cm="1">
        <f t="array" aca="1" ref="F750" ca="1">IF(Table3[[#This Row],[Stage]]="Closed",0,IF(IFERROR(
  IF(
    COUNTIF(A$2:A$1997, A750) &gt; 1,
    MIN(IF(A$2:A$1997=A750, IF(B$2:B$1997&gt;B750, B$2:B$1997))) - B750,
    TODAY() - Table3[[#This Row],[Date of Update]]
  ),
  TODAY()-Table3[[#This Row],[Date of Update]]
)&lt;=0,
TODAY()-Table3[[#This Row],[Date of Update]],
IFERROR(
  IF(
    COUNTIF(A$2:A$1997, A750) &gt; 1,
    MIN(IF(A$2:A$1997=A750, IF(B$2:B$1997&gt;B750, B$2:B$1997))) - B750,
    TODAY() - Table3[[#This Row],[Date of Update]]
  ),
  TODAY()-Table3[[#This Row],[Date of Update]]
)))</f>
        <v>2</v>
      </c>
      <c r="G750" s="7" t="str">
        <f>IF(Table3[[#This Row],[Stage]]="Closed",Table3[[#This Row],[Date of Update]]-(_xlfn.MINIFS(Table3[Date of Update],Table3[Ref], Table3[[#This Row],[Ref]])),"")</f>
        <v/>
      </c>
    </row>
    <row r="751" spans="1:7" x14ac:dyDescent="0.25">
      <c r="A751" s="4" t="s">
        <v>532</v>
      </c>
      <c r="B751" s="5">
        <v>45313</v>
      </c>
      <c r="C751" s="6" t="s">
        <v>17</v>
      </c>
      <c r="D751" s="6" t="s">
        <v>9</v>
      </c>
      <c r="E751" s="6" t="s">
        <v>533</v>
      </c>
      <c r="F751" s="6" cm="1">
        <f t="array" aca="1" ref="F751" ca="1">IF(Table3[[#This Row],[Stage]]="Closed",0,IF(IFERROR(
  IF(
    COUNTIF(A$2:A$1997, A751) &gt; 1,
    MIN(IF(A$2:A$1997=A751, IF(B$2:B$1997&gt;B751, B$2:B$1997))) - B751,
    TODAY() - Table3[[#This Row],[Date of Update]]
  ),
  TODAY()-Table3[[#This Row],[Date of Update]]
)&lt;=0,
TODAY()-Table3[[#This Row],[Date of Update]],
IFERROR(
  IF(
    COUNTIF(A$2:A$1997, A751) &gt; 1,
    MIN(IF(A$2:A$1997=A751, IF(B$2:B$1997&gt;B751, B$2:B$1997))) - B751,
    TODAY() - Table3[[#This Row],[Date of Update]]
  ),
  TODAY()-Table3[[#This Row],[Date of Update]]
)))</f>
        <v>0</v>
      </c>
      <c r="G751" s="7">
        <f>IF(Table3[[#This Row],[Stage]]="Closed",Table3[[#This Row],[Date of Update]]-(_xlfn.MINIFS(Table3[Date of Update],Table3[Ref], Table3[[#This Row],[Ref]])),"")</f>
        <v>49</v>
      </c>
    </row>
    <row r="752" spans="1:7" x14ac:dyDescent="0.25">
      <c r="A752" s="4" t="s">
        <v>547</v>
      </c>
      <c r="B752" s="5">
        <v>45315</v>
      </c>
      <c r="C752" s="6" t="s">
        <v>8</v>
      </c>
      <c r="D752" s="6" t="s">
        <v>9</v>
      </c>
      <c r="E752" s="6" t="s">
        <v>548</v>
      </c>
      <c r="F752" s="6" cm="1">
        <f t="array" aca="1" ref="F752" ca="1">IF(Table3[[#This Row],[Stage]]="Closed",0,IF(IFERROR(
  IF(
    COUNTIF(A$2:A$1997, A752) &gt; 1,
    MIN(IF(A$2:A$1997=A752, IF(B$2:B$1997&gt;B752, B$2:B$1997))) - B752,
    TODAY() - Table3[[#This Row],[Date of Update]]
  ),
  TODAY()-Table3[[#This Row],[Date of Update]]
)&lt;=0,
TODAY()-Table3[[#This Row],[Date of Update]],
IFERROR(
  IF(
    COUNTIF(A$2:A$1997, A752) &gt; 1,
    MIN(IF(A$2:A$1997=A752, IF(B$2:B$1997&gt;B752, B$2:B$1997))) - B752,
    TODAY() - Table3[[#This Row],[Date of Update]]
  ),
  TODAY()-Table3[[#This Row],[Date of Update]]
)))</f>
        <v>8</v>
      </c>
      <c r="G752" s="7" t="str">
        <f>IF(Table3[[#This Row],[Stage]]="Closed",Table3[[#This Row],[Date of Update]]-(_xlfn.MINIFS(Table3[Date of Update],Table3[Ref], Table3[[#This Row],[Ref]])),"")</f>
        <v/>
      </c>
    </row>
    <row r="753" spans="1:7" x14ac:dyDescent="0.25">
      <c r="A753" s="4" t="s">
        <v>545</v>
      </c>
      <c r="B753" s="5">
        <v>45315</v>
      </c>
      <c r="C753" s="6" t="s">
        <v>8</v>
      </c>
      <c r="D753" s="6" t="s">
        <v>549</v>
      </c>
      <c r="E753" s="6" t="s">
        <v>550</v>
      </c>
      <c r="F753" s="6" cm="1">
        <f t="array" aca="1" ref="F753" ca="1">IF(Table3[[#This Row],[Stage]]="Closed",0,IF(IFERROR(
  IF(
    COUNTIF(A$2:A$1997, A753) &gt; 1,
    MIN(IF(A$2:A$1997=A753, IF(B$2:B$1997&gt;B753, B$2:B$1997))) - B753,
    TODAY() - Table3[[#This Row],[Date of Update]]
  ),
  TODAY()-Table3[[#This Row],[Date of Update]]
)&lt;=0,
TODAY()-Table3[[#This Row],[Date of Update]],
IFERROR(
  IF(
    COUNTIF(A$2:A$1997, A753) &gt; 1,
    MIN(IF(A$2:A$1997=A753, IF(B$2:B$1997&gt;B753, B$2:B$1997))) - B753,
    TODAY() - Table3[[#This Row],[Date of Update]]
  ),
  TODAY()-Table3[[#This Row],[Date of Update]]
)))</f>
        <v>26</v>
      </c>
      <c r="G753" s="7" t="str">
        <f>IF(Table3[[#This Row],[Stage]]="Closed",Table3[[#This Row],[Date of Update]]-(_xlfn.MINIFS(Table3[Date of Update],Table3[Ref], Table3[[#This Row],[Ref]])),"")</f>
        <v/>
      </c>
    </row>
    <row r="754" spans="1:7" x14ac:dyDescent="0.25">
      <c r="A754" s="4" t="s">
        <v>518</v>
      </c>
      <c r="B754" s="5">
        <v>45316</v>
      </c>
      <c r="C754" s="6" t="s">
        <v>17</v>
      </c>
      <c r="D754" s="6" t="s">
        <v>9</v>
      </c>
      <c r="E754" s="6" t="s">
        <v>304</v>
      </c>
      <c r="F754" s="6" cm="1">
        <f t="array" aca="1" ref="F754" ca="1">IF(Table3[[#This Row],[Stage]]="Closed",0,IF(IFERROR(
  IF(
    COUNTIF(A$2:A$1997, A754) &gt; 1,
    MIN(IF(A$2:A$1997=A754, IF(B$2:B$1997&gt;B754, B$2:B$1997))) - B754,
    TODAY() - Table3[[#This Row],[Date of Update]]
  ),
  TODAY()-Table3[[#This Row],[Date of Update]]
)&lt;=0,
TODAY()-Table3[[#This Row],[Date of Update]],
IFERROR(
  IF(
    COUNTIF(A$2:A$1997, A754) &gt; 1,
    MIN(IF(A$2:A$1997=A754, IF(B$2:B$1997&gt;B754, B$2:B$1997))) - B754,
    TODAY() - Table3[[#This Row],[Date of Update]]
  ),
  TODAY()-Table3[[#This Row],[Date of Update]]
)))</f>
        <v>0</v>
      </c>
      <c r="G754" s="7">
        <f>IF(Table3[[#This Row],[Stage]]="Closed",Table3[[#This Row],[Date of Update]]-(_xlfn.MINIFS(Table3[Date of Update],Table3[Ref], Table3[[#This Row],[Ref]])),"")</f>
        <v>76</v>
      </c>
    </row>
    <row r="755" spans="1:7" x14ac:dyDescent="0.25">
      <c r="A755" s="4" t="s">
        <v>551</v>
      </c>
      <c r="B755" s="5">
        <v>45317</v>
      </c>
      <c r="C755" s="6" t="s">
        <v>8</v>
      </c>
      <c r="D755" s="6" t="s">
        <v>9</v>
      </c>
      <c r="E755" s="6" t="s">
        <v>80</v>
      </c>
      <c r="F755" s="6" cm="1">
        <f t="array" aca="1" ref="F755" ca="1">IF(Table3[[#This Row],[Stage]]="Closed",0,IF(IFERROR(
  IF(
    COUNTIF(A$2:A$1997, A755) &gt; 1,
    MIN(IF(A$2:A$1997=A755, IF(B$2:B$1997&gt;B755, B$2:B$1997))) - B755,
    TODAY() - Table3[[#This Row],[Date of Update]]
  ),
  TODAY()-Table3[[#This Row],[Date of Update]]
)&lt;=0,
TODAY()-Table3[[#This Row],[Date of Update]],
IFERROR(
  IF(
    COUNTIF(A$2:A$1997, A755) &gt; 1,
    MIN(IF(A$2:A$1997=A755, IF(B$2:B$1997&gt;B755, B$2:B$1997))) - B755,
    TODAY() - Table3[[#This Row],[Date of Update]]
  ),
  TODAY()-Table3[[#This Row],[Date of Update]]
)))</f>
        <v>35</v>
      </c>
      <c r="G755" s="7" t="str">
        <f>IF(Table3[[#This Row],[Stage]]="Closed",Table3[[#This Row],[Date of Update]]-(_xlfn.MINIFS(Table3[Date of Update],Table3[Ref], Table3[[#This Row],[Ref]])),"")</f>
        <v/>
      </c>
    </row>
    <row r="756" spans="1:7" x14ac:dyDescent="0.25">
      <c r="A756" s="4" t="s">
        <v>552</v>
      </c>
      <c r="B756" s="5">
        <v>45320</v>
      </c>
      <c r="C756" s="6" t="s">
        <v>8</v>
      </c>
      <c r="D756" s="6" t="s">
        <v>9</v>
      </c>
      <c r="E756" s="6" t="s">
        <v>304</v>
      </c>
      <c r="F756" s="6" cm="1">
        <f t="array" aca="1" ref="F756" ca="1">IF(Table3[[#This Row],[Stage]]="Closed",0,IF(IFERROR(
  IF(
    COUNTIF(A$2:A$1997, A756) &gt; 1,
    MIN(IF(A$2:A$1997=A756, IF(B$2:B$1997&gt;B756, B$2:B$1997))) - B756,
    TODAY() - Table3[[#This Row],[Date of Update]]
  ),
  TODAY()-Table3[[#This Row],[Date of Update]]
)&lt;=0,
TODAY()-Table3[[#This Row],[Date of Update]],
IFERROR(
  IF(
    COUNTIF(A$2:A$1997, A756) &gt; 1,
    MIN(IF(A$2:A$1997=A756, IF(B$2:B$1997&gt;B756, B$2:B$1997))) - B756,
    TODAY() - Table3[[#This Row],[Date of Update]]
  ),
  TODAY()-Table3[[#This Row],[Date of Update]]
)))</f>
        <v>9</v>
      </c>
      <c r="G756" s="7" t="str">
        <f>IF(Table3[[#This Row],[Stage]]="Closed",Table3[[#This Row],[Date of Update]]-(_xlfn.MINIFS(Table3[Date of Update],Table3[Ref], Table3[[#This Row],[Ref]])),"")</f>
        <v/>
      </c>
    </row>
    <row r="757" spans="1:7" x14ac:dyDescent="0.25">
      <c r="A757" s="4" t="s">
        <v>553</v>
      </c>
      <c r="B757" s="5">
        <v>45320</v>
      </c>
      <c r="C757" s="6" t="s">
        <v>8</v>
      </c>
      <c r="D757" s="6" t="s">
        <v>9</v>
      </c>
      <c r="E757" s="6" t="s">
        <v>80</v>
      </c>
      <c r="F757" s="6" cm="1">
        <f t="array" aca="1" ref="F757" ca="1">IF(Table3[[#This Row],[Stage]]="Closed",0,IF(IFERROR(
  IF(
    COUNTIF(A$2:A$1997, A757) &gt; 1,
    MIN(IF(A$2:A$1997=A757, IF(B$2:B$1997&gt;B757, B$2:B$1997))) - B757,
    TODAY() - Table3[[#This Row],[Date of Update]]
  ),
  TODAY()-Table3[[#This Row],[Date of Update]]
)&lt;=0,
TODAY()-Table3[[#This Row],[Date of Update]],
IFERROR(
  IF(
    COUNTIF(A$2:A$1997, A757) &gt; 1,
    MIN(IF(A$2:A$1997=A757, IF(B$2:B$1997&gt;B757, B$2:B$1997))) - B757,
    TODAY() - Table3[[#This Row],[Date of Update]]
  ),
  TODAY()-Table3[[#This Row],[Date of Update]]
)))</f>
        <v>107</v>
      </c>
      <c r="G757" s="7" t="str">
        <f>IF(Table3[[#This Row],[Stage]]="Closed",Table3[[#This Row],[Date of Update]]-(_xlfn.MINIFS(Table3[Date of Update],Table3[Ref], Table3[[#This Row],[Ref]])),"")</f>
        <v/>
      </c>
    </row>
    <row r="758" spans="1:7" x14ac:dyDescent="0.25">
      <c r="A758" s="4" t="s">
        <v>554</v>
      </c>
      <c r="B758" s="5">
        <v>45320</v>
      </c>
      <c r="C758" s="6" t="s">
        <v>8</v>
      </c>
      <c r="D758" s="6" t="s">
        <v>9</v>
      </c>
      <c r="E758" s="6" t="s">
        <v>555</v>
      </c>
      <c r="F758" s="6" cm="1">
        <f t="array" aca="1" ref="F758" ca="1">IF(Table3[[#This Row],[Stage]]="Closed",0,IF(IFERROR(
  IF(
    COUNTIF(A$2:A$1997, A758) &gt; 1,
    MIN(IF(A$2:A$1997=A758, IF(B$2:B$1997&gt;B758, B$2:B$1997))) - B758,
    TODAY() - Table3[[#This Row],[Date of Update]]
  ),
  TODAY()-Table3[[#This Row],[Date of Update]]
)&lt;=0,
TODAY()-Table3[[#This Row],[Date of Update]],
IFERROR(
  IF(
    COUNTIF(A$2:A$1997, A758) &gt; 1,
    MIN(IF(A$2:A$1997=A758, IF(B$2:B$1997&gt;B758, B$2:B$1997))) - B758,
    TODAY() - Table3[[#This Row],[Date of Update]]
  ),
  TODAY()-Table3[[#This Row],[Date of Update]]
)))</f>
        <v>4</v>
      </c>
      <c r="G758" s="7" t="str">
        <f>IF(Table3[[#This Row],[Stage]]="Closed",Table3[[#This Row],[Date of Update]]-(_xlfn.MINIFS(Table3[Date of Update],Table3[Ref], Table3[[#This Row],[Ref]])),"")</f>
        <v/>
      </c>
    </row>
    <row r="759" spans="1:7" x14ac:dyDescent="0.25">
      <c r="A759" s="4" t="s">
        <v>544</v>
      </c>
      <c r="B759" s="5">
        <v>45322</v>
      </c>
      <c r="C759" s="6" t="s">
        <v>17</v>
      </c>
      <c r="D759" s="6" t="s">
        <v>9</v>
      </c>
      <c r="E759" s="6" t="s">
        <v>80</v>
      </c>
      <c r="F759" s="6" cm="1">
        <f t="array" aca="1" ref="F759" ca="1">IF(Table3[[#This Row],[Stage]]="Closed",0,IF(IFERROR(
  IF(
    COUNTIF(A$2:A$1997, A759) &gt; 1,
    MIN(IF(A$2:A$1997=A759, IF(B$2:B$1997&gt;B759, B$2:B$1997))) - B759,
    TODAY() - Table3[[#This Row],[Date of Update]]
  ),
  TODAY()-Table3[[#This Row],[Date of Update]]
)&lt;=0,
TODAY()-Table3[[#This Row],[Date of Update]],
IFERROR(
  IF(
    COUNTIF(A$2:A$1997, A759) &gt; 1,
    MIN(IF(A$2:A$1997=A759, IF(B$2:B$1997&gt;B759, B$2:B$1997))) - B759,
    TODAY() - Table3[[#This Row],[Date of Update]]
  ),
  TODAY()-Table3[[#This Row],[Date of Update]]
)))</f>
        <v>0</v>
      </c>
      <c r="G759" s="7">
        <f>IF(Table3[[#This Row],[Stage]]="Closed",Table3[[#This Row],[Date of Update]]-(_xlfn.MINIFS(Table3[Date of Update],Table3[Ref], Table3[[#This Row],[Ref]])),"")</f>
        <v>14</v>
      </c>
    </row>
    <row r="760" spans="1:7" x14ac:dyDescent="0.25">
      <c r="A760" s="4" t="s">
        <v>556</v>
      </c>
      <c r="B760" s="5">
        <v>45322</v>
      </c>
      <c r="C760" s="6" t="s">
        <v>8</v>
      </c>
      <c r="D760" s="6" t="s">
        <v>9</v>
      </c>
      <c r="E760" s="6" t="s">
        <v>557</v>
      </c>
      <c r="F760" s="6" cm="1">
        <f t="array" aca="1" ref="F760" ca="1">IF(Table3[[#This Row],[Stage]]="Closed",0,IF(IFERROR(
  IF(
    COUNTIF(A$2:A$1997, A760) &gt; 1,
    MIN(IF(A$2:A$1997=A760, IF(B$2:B$1997&gt;B760, B$2:B$1997))) - B760,
    TODAY() - Table3[[#This Row],[Date of Update]]
  ),
  TODAY()-Table3[[#This Row],[Date of Update]]
)&lt;=0,
TODAY()-Table3[[#This Row],[Date of Update]],
IFERROR(
  IF(
    COUNTIF(A$2:A$1997, A760) &gt; 1,
    MIN(IF(A$2:A$1997=A760, IF(B$2:B$1997&gt;B760, B$2:B$1997))) - B760,
    TODAY() - Table3[[#This Row],[Date of Update]]
  ),
  TODAY()-Table3[[#This Row],[Date of Update]]
)))</f>
        <v>1</v>
      </c>
      <c r="G760" s="7" t="str">
        <f>IF(Table3[[#This Row],[Stage]]="Closed",Table3[[#This Row],[Date of Update]]-(_xlfn.MINIFS(Table3[Date of Update],Table3[Ref], Table3[[#This Row],[Ref]])),"")</f>
        <v/>
      </c>
    </row>
    <row r="761" spans="1:7" x14ac:dyDescent="0.25">
      <c r="A761" s="4" t="s">
        <v>538</v>
      </c>
      <c r="B761" s="5">
        <v>45322</v>
      </c>
      <c r="C761" s="6" t="s">
        <v>17</v>
      </c>
      <c r="D761" s="6" t="s">
        <v>9</v>
      </c>
      <c r="E761" s="6" t="s">
        <v>539</v>
      </c>
      <c r="F761" s="6" cm="1">
        <f t="array" aca="1" ref="F761" ca="1">IF(Table3[[#This Row],[Stage]]="Closed",0,IF(IFERROR(
  IF(
    COUNTIF(A$2:A$1997, A761) &gt; 1,
    MIN(IF(A$2:A$1997=A761, IF(B$2:B$1997&gt;B761, B$2:B$1997))) - B761,
    TODAY() - Table3[[#This Row],[Date of Update]]
  ),
  TODAY()-Table3[[#This Row],[Date of Update]]
)&lt;=0,
TODAY()-Table3[[#This Row],[Date of Update]],
IFERROR(
  IF(
    COUNTIF(A$2:A$1997, A761) &gt; 1,
    MIN(IF(A$2:A$1997=A761, IF(B$2:B$1997&gt;B761, B$2:B$1997))) - B761,
    TODAY() - Table3[[#This Row],[Date of Update]]
  ),
  TODAY()-Table3[[#This Row],[Date of Update]]
)))</f>
        <v>0</v>
      </c>
      <c r="G761" s="7">
        <f>IF(Table3[[#This Row],[Stage]]="Closed",Table3[[#This Row],[Date of Update]]-(_xlfn.MINIFS(Table3[Date of Update],Table3[Ref], Table3[[#This Row],[Ref]])),"")</f>
        <v>47</v>
      </c>
    </row>
    <row r="762" spans="1:7" x14ac:dyDescent="0.25">
      <c r="A762" s="4" t="s">
        <v>540</v>
      </c>
      <c r="B762" s="5">
        <v>45323</v>
      </c>
      <c r="C762" s="6" t="s">
        <v>17</v>
      </c>
      <c r="D762" s="6" t="s">
        <v>9</v>
      </c>
      <c r="E762" s="6" t="s">
        <v>541</v>
      </c>
      <c r="F762" s="6" cm="1">
        <f t="array" aca="1" ref="F762" ca="1">IF(Table3[[#This Row],[Stage]]="Closed",0,IF(IFERROR(
  IF(
    COUNTIF(A$2:A$1997, A762) &gt; 1,
    MIN(IF(A$2:A$1997=A762, IF(B$2:B$1997&gt;B762, B$2:B$1997))) - B762,
    TODAY() - Table3[[#This Row],[Date of Update]]
  ),
  TODAY()-Table3[[#This Row],[Date of Update]]
)&lt;=0,
TODAY()-Table3[[#This Row],[Date of Update]],
IFERROR(
  IF(
    COUNTIF(A$2:A$1997, A762) &gt; 1,
    MIN(IF(A$2:A$1997=A762, IF(B$2:B$1997&gt;B762, B$2:B$1997))) - B762,
    TODAY() - Table3[[#This Row],[Date of Update]]
  ),
  TODAY()-Table3[[#This Row],[Date of Update]]
)))</f>
        <v>0</v>
      </c>
      <c r="G762" s="7">
        <f>IF(Table3[[#This Row],[Stage]]="Closed",Table3[[#This Row],[Date of Update]]-(_xlfn.MINIFS(Table3[Date of Update],Table3[Ref], Table3[[#This Row],[Ref]])),"")</f>
        <v>45</v>
      </c>
    </row>
    <row r="763" spans="1:7" x14ac:dyDescent="0.25">
      <c r="A763" s="4" t="s">
        <v>547</v>
      </c>
      <c r="B763" s="5">
        <v>45323</v>
      </c>
      <c r="C763" s="6" t="s">
        <v>17</v>
      </c>
      <c r="D763" s="6" t="s">
        <v>9</v>
      </c>
      <c r="E763" s="6" t="s">
        <v>548</v>
      </c>
      <c r="F763" s="6" cm="1">
        <f t="array" aca="1" ref="F763" ca="1">IF(Table3[[#This Row],[Stage]]="Closed",0,IF(IFERROR(
  IF(
    COUNTIF(A$2:A$1997, A763) &gt; 1,
    MIN(IF(A$2:A$1997=A763, IF(B$2:B$1997&gt;B763, B$2:B$1997))) - B763,
    TODAY() - Table3[[#This Row],[Date of Update]]
  ),
  TODAY()-Table3[[#This Row],[Date of Update]]
)&lt;=0,
TODAY()-Table3[[#This Row],[Date of Update]],
IFERROR(
  IF(
    COUNTIF(A$2:A$1997, A763) &gt; 1,
    MIN(IF(A$2:A$1997=A763, IF(B$2:B$1997&gt;B763, B$2:B$1997))) - B763,
    TODAY() - Table3[[#This Row],[Date of Update]]
  ),
  TODAY()-Table3[[#This Row],[Date of Update]]
)))</f>
        <v>0</v>
      </c>
      <c r="G763" s="7">
        <f>IF(Table3[[#This Row],[Stage]]="Closed",Table3[[#This Row],[Date of Update]]-(_xlfn.MINIFS(Table3[Date of Update],Table3[Ref], Table3[[#This Row],[Ref]])),"")</f>
        <v>8</v>
      </c>
    </row>
    <row r="764" spans="1:7" x14ac:dyDescent="0.25">
      <c r="A764" s="4" t="s">
        <v>519</v>
      </c>
      <c r="B764" s="5">
        <v>45323</v>
      </c>
      <c r="C764" s="6" t="s">
        <v>17</v>
      </c>
      <c r="D764" s="6" t="s">
        <v>9</v>
      </c>
      <c r="E764" s="6" t="s">
        <v>520</v>
      </c>
      <c r="F764" s="6" cm="1">
        <f t="array" aca="1" ref="F764" ca="1">IF(Table3[[#This Row],[Stage]]="Closed",0,IF(IFERROR(
  IF(
    COUNTIF(A$2:A$1997, A764) &gt; 1,
    MIN(IF(A$2:A$1997=A764, IF(B$2:B$1997&gt;B764, B$2:B$1997))) - B764,
    TODAY() - Table3[[#This Row],[Date of Update]]
  ),
  TODAY()-Table3[[#This Row],[Date of Update]]
)&lt;=0,
TODAY()-Table3[[#This Row],[Date of Update]],
IFERROR(
  IF(
    COUNTIF(A$2:A$1997, A764) &gt; 1,
    MIN(IF(A$2:A$1997=A764, IF(B$2:B$1997&gt;B764, B$2:B$1997))) - B764,
    TODAY() - Table3[[#This Row],[Date of Update]]
  ),
  TODAY()-Table3[[#This Row],[Date of Update]]
)))</f>
        <v>0</v>
      </c>
      <c r="G764" s="7">
        <f>IF(Table3[[#This Row],[Stage]]="Closed",Table3[[#This Row],[Date of Update]]-(_xlfn.MINIFS(Table3[Date of Update],Table3[Ref], Table3[[#This Row],[Ref]])),"")</f>
        <v>79</v>
      </c>
    </row>
    <row r="765" spans="1:7" x14ac:dyDescent="0.25">
      <c r="A765" s="4" t="s">
        <v>556</v>
      </c>
      <c r="B765" s="5">
        <v>45323</v>
      </c>
      <c r="C765" s="6" t="s">
        <v>17</v>
      </c>
      <c r="D765" s="6" t="s">
        <v>9</v>
      </c>
      <c r="E765" s="6" t="s">
        <v>557</v>
      </c>
      <c r="F765" s="6" cm="1">
        <f t="array" aca="1" ref="F765" ca="1">IF(Table3[[#This Row],[Stage]]="Closed",0,IF(IFERROR(
  IF(
    COUNTIF(A$2:A$1997, A765) &gt; 1,
    MIN(IF(A$2:A$1997=A765, IF(B$2:B$1997&gt;B765, B$2:B$1997))) - B765,
    TODAY() - Table3[[#This Row],[Date of Update]]
  ),
  TODAY()-Table3[[#This Row],[Date of Update]]
)&lt;=0,
TODAY()-Table3[[#This Row],[Date of Update]],
IFERROR(
  IF(
    COUNTIF(A$2:A$1997, A765) &gt; 1,
    MIN(IF(A$2:A$1997=A765, IF(B$2:B$1997&gt;B765, B$2:B$1997))) - B765,
    TODAY() - Table3[[#This Row],[Date of Update]]
  ),
  TODAY()-Table3[[#This Row],[Date of Update]]
)))</f>
        <v>0</v>
      </c>
      <c r="G765" s="7">
        <f>IF(Table3[[#This Row],[Stage]]="Closed",Table3[[#This Row],[Date of Update]]-(_xlfn.MINIFS(Table3[Date of Update],Table3[Ref], Table3[[#This Row],[Ref]])),"")</f>
        <v>1</v>
      </c>
    </row>
    <row r="766" spans="1:7" x14ac:dyDescent="0.25">
      <c r="A766" s="4" t="s">
        <v>554</v>
      </c>
      <c r="B766" s="5">
        <v>45324</v>
      </c>
      <c r="C766" s="6" t="s">
        <v>17</v>
      </c>
      <c r="D766" s="6" t="s">
        <v>9</v>
      </c>
      <c r="E766" s="6" t="s">
        <v>555</v>
      </c>
      <c r="F766" s="6" cm="1">
        <f t="array" aca="1" ref="F766" ca="1">IF(Table3[[#This Row],[Stage]]="Closed",0,IF(IFERROR(
  IF(
    COUNTIF(A$2:A$1997, A766) &gt; 1,
    MIN(IF(A$2:A$1997=A766, IF(B$2:B$1997&gt;B766, B$2:B$1997))) - B766,
    TODAY() - Table3[[#This Row],[Date of Update]]
  ),
  TODAY()-Table3[[#This Row],[Date of Update]]
)&lt;=0,
TODAY()-Table3[[#This Row],[Date of Update]],
IFERROR(
  IF(
    COUNTIF(A$2:A$1997, A766) &gt; 1,
    MIN(IF(A$2:A$1997=A766, IF(B$2:B$1997&gt;B766, B$2:B$1997))) - B766,
    TODAY() - Table3[[#This Row],[Date of Update]]
  ),
  TODAY()-Table3[[#This Row],[Date of Update]]
)))</f>
        <v>0</v>
      </c>
      <c r="G766" s="7">
        <f>IF(Table3[[#This Row],[Stage]]="Closed",Table3[[#This Row],[Date of Update]]-(_xlfn.MINIFS(Table3[Date of Update],Table3[Ref], Table3[[#This Row],[Ref]])),"")</f>
        <v>4</v>
      </c>
    </row>
    <row r="767" spans="1:7" x14ac:dyDescent="0.25">
      <c r="A767" s="4" t="s">
        <v>458</v>
      </c>
      <c r="B767" s="5">
        <v>45324</v>
      </c>
      <c r="C767" s="6" t="s">
        <v>17</v>
      </c>
      <c r="D767" s="6" t="s">
        <v>9</v>
      </c>
      <c r="E767" s="6" t="s">
        <v>304</v>
      </c>
      <c r="F767" s="6" cm="1">
        <f t="array" aca="1" ref="F767" ca="1">IF(Table3[[#This Row],[Stage]]="Closed",0,IF(IFERROR(
  IF(
    COUNTIF(A$2:A$1997, A767) &gt; 1,
    MIN(IF(A$2:A$1997=A767, IF(B$2:B$1997&gt;B767, B$2:B$1997))) - B767,
    TODAY() - Table3[[#This Row],[Date of Update]]
  ),
  TODAY()-Table3[[#This Row],[Date of Update]]
)&lt;=0,
TODAY()-Table3[[#This Row],[Date of Update]],
IFERROR(
  IF(
    COUNTIF(A$2:A$1997, A767) &gt; 1,
    MIN(IF(A$2:A$1997=A767, IF(B$2:B$1997&gt;B767, B$2:B$1997))) - B767,
    TODAY() - Table3[[#This Row],[Date of Update]]
  ),
  TODAY()-Table3[[#This Row],[Date of Update]]
)))</f>
        <v>0</v>
      </c>
      <c r="G767" s="7">
        <f>IF(Table3[[#This Row],[Stage]]="Closed",Table3[[#This Row],[Date of Update]]-(_xlfn.MINIFS(Table3[Date of Update],Table3[Ref], Table3[[#This Row],[Ref]])),"")</f>
        <v>184</v>
      </c>
    </row>
    <row r="768" spans="1:7" x14ac:dyDescent="0.25">
      <c r="A768" s="4" t="s">
        <v>436</v>
      </c>
      <c r="B768" s="5">
        <v>45324</v>
      </c>
      <c r="C768" s="6" t="s">
        <v>17</v>
      </c>
      <c r="D768" s="6" t="s">
        <v>9</v>
      </c>
      <c r="E768" s="6" t="s">
        <v>304</v>
      </c>
      <c r="F768" s="6" cm="1">
        <f t="array" aca="1" ref="F768" ca="1">IF(Table3[[#This Row],[Stage]]="Closed",0,IF(IFERROR(
  IF(
    COUNTIF(A$2:A$1997, A768) &gt; 1,
    MIN(IF(A$2:A$1997=A768, IF(B$2:B$1997&gt;B768, B$2:B$1997))) - B768,
    TODAY() - Table3[[#This Row],[Date of Update]]
  ),
  TODAY()-Table3[[#This Row],[Date of Update]]
)&lt;=0,
TODAY()-Table3[[#This Row],[Date of Update]],
IFERROR(
  IF(
    COUNTIF(A$2:A$1997, A768) &gt; 1,
    MIN(IF(A$2:A$1997=A768, IF(B$2:B$1997&gt;B768, B$2:B$1997))) - B768,
    TODAY() - Table3[[#This Row],[Date of Update]]
  ),
  TODAY()-Table3[[#This Row],[Date of Update]]
)))</f>
        <v>0</v>
      </c>
      <c r="G768" s="7">
        <f>IF(Table3[[#This Row],[Stage]]="Closed",Table3[[#This Row],[Date of Update]]-(_xlfn.MINIFS(Table3[Date of Update],Table3[Ref], Table3[[#This Row],[Ref]])),"")</f>
        <v>214</v>
      </c>
    </row>
    <row r="769" spans="1:7" x14ac:dyDescent="0.25">
      <c r="A769" s="4" t="s">
        <v>261</v>
      </c>
      <c r="B769" s="5">
        <v>45324</v>
      </c>
      <c r="C769" s="6" t="s">
        <v>17</v>
      </c>
      <c r="D769" s="6" t="s">
        <v>9</v>
      </c>
      <c r="E769" s="6" t="s">
        <v>262</v>
      </c>
      <c r="F769" s="6" cm="1">
        <f t="array" aca="1" ref="F769" ca="1">IF(Table3[[#This Row],[Stage]]="Closed",0,IF(IFERROR(
  IF(
    COUNTIF(A$2:A$1997, A769) &gt; 1,
    MIN(IF(A$2:A$1997=A769, IF(B$2:B$1997&gt;B769, B$2:B$1997))) - B769,
    TODAY() - Table3[[#This Row],[Date of Update]]
  ),
  TODAY()-Table3[[#This Row],[Date of Update]]
)&lt;=0,
TODAY()-Table3[[#This Row],[Date of Update]],
IFERROR(
  IF(
    COUNTIF(A$2:A$1997, A769) &gt; 1,
    MIN(IF(A$2:A$1997=A769, IF(B$2:B$1997&gt;B769, B$2:B$1997))) - B769,
    TODAY() - Table3[[#This Row],[Date of Update]]
  ),
  TODAY()-Table3[[#This Row],[Date of Update]]
)))</f>
        <v>0</v>
      </c>
      <c r="G769" s="7">
        <f>IF(Table3[[#This Row],[Stage]]="Closed",Table3[[#This Row],[Date of Update]]-(_xlfn.MINIFS(Table3[Date of Update],Table3[Ref], Table3[[#This Row],[Ref]])),"")</f>
        <v>395</v>
      </c>
    </row>
    <row r="770" spans="1:7" x14ac:dyDescent="0.25">
      <c r="A770" s="4" t="s">
        <v>487</v>
      </c>
      <c r="B770" s="5">
        <v>45327</v>
      </c>
      <c r="C770" s="6" t="s">
        <v>17</v>
      </c>
      <c r="D770" s="6" t="s">
        <v>9</v>
      </c>
      <c r="E770" s="6" t="s">
        <v>488</v>
      </c>
      <c r="F770" s="6" cm="1">
        <f t="array" aca="1" ref="F770" ca="1">IF(Table3[[#This Row],[Stage]]="Closed",0,IF(IFERROR(
  IF(
    COUNTIF(A$2:A$1997, A770) &gt; 1,
    MIN(IF(A$2:A$1997=A770, IF(B$2:B$1997&gt;B770, B$2:B$1997))) - B770,
    TODAY() - Table3[[#This Row],[Date of Update]]
  ),
  TODAY()-Table3[[#This Row],[Date of Update]]
)&lt;=0,
TODAY()-Table3[[#This Row],[Date of Update]],
IFERROR(
  IF(
    COUNTIF(A$2:A$1997, A770) &gt; 1,
    MIN(IF(A$2:A$1997=A770, IF(B$2:B$1997&gt;B770, B$2:B$1997))) - B770,
    TODAY() - Table3[[#This Row],[Date of Update]]
  ),
  TODAY()-Table3[[#This Row],[Date of Update]]
)))</f>
        <v>0</v>
      </c>
      <c r="G770" s="7">
        <f>IF(Table3[[#This Row],[Stage]]="Closed",Table3[[#This Row],[Date of Update]]-(_xlfn.MINIFS(Table3[Date of Update],Table3[Ref], Table3[[#This Row],[Ref]])),"")</f>
        <v>143</v>
      </c>
    </row>
    <row r="771" spans="1:7" x14ac:dyDescent="0.25">
      <c r="A771" s="4" t="s">
        <v>552</v>
      </c>
      <c r="B771" s="5">
        <v>45329</v>
      </c>
      <c r="C771" s="6" t="s">
        <v>17</v>
      </c>
      <c r="D771" s="6" t="s">
        <v>9</v>
      </c>
      <c r="E771" s="6" t="s">
        <v>304</v>
      </c>
      <c r="F771" s="6" cm="1">
        <f t="array" aca="1" ref="F771" ca="1">IF(Table3[[#This Row],[Stage]]="Closed",0,IF(IFERROR(
  IF(
    COUNTIF(A$2:A$1997, A771) &gt; 1,
    MIN(IF(A$2:A$1997=A771, IF(B$2:B$1997&gt;B771, B$2:B$1997))) - B771,
    TODAY() - Table3[[#This Row],[Date of Update]]
  ),
  TODAY()-Table3[[#This Row],[Date of Update]]
)&lt;=0,
TODAY()-Table3[[#This Row],[Date of Update]],
IFERROR(
  IF(
    COUNTIF(A$2:A$1997, A771) &gt; 1,
    MIN(IF(A$2:A$1997=A771, IF(B$2:B$1997&gt;B771, B$2:B$1997))) - B771,
    TODAY() - Table3[[#This Row],[Date of Update]]
  ),
  TODAY()-Table3[[#This Row],[Date of Update]]
)))</f>
        <v>0</v>
      </c>
      <c r="G771" s="7">
        <f>IF(Table3[[#This Row],[Stage]]="Closed",Table3[[#This Row],[Date of Update]]-(_xlfn.MINIFS(Table3[Date of Update],Table3[Ref], Table3[[#This Row],[Ref]])),"")</f>
        <v>9</v>
      </c>
    </row>
    <row r="772" spans="1:7" x14ac:dyDescent="0.25">
      <c r="A772" s="4" t="s">
        <v>558</v>
      </c>
      <c r="B772" s="5">
        <v>45329</v>
      </c>
      <c r="C772" s="6" t="s">
        <v>8</v>
      </c>
      <c r="D772" s="6" t="s">
        <v>9</v>
      </c>
      <c r="E772" s="6" t="s">
        <v>559</v>
      </c>
      <c r="F772" s="6" cm="1">
        <f t="array" aca="1" ref="F772" ca="1">IF(Table3[[#This Row],[Stage]]="Closed",0,IF(IFERROR(
  IF(
    COUNTIF(A$2:A$1997, A772) &gt; 1,
    MIN(IF(A$2:A$1997=A772, IF(B$2:B$1997&gt;B772, B$2:B$1997))) - B772,
    TODAY() - Table3[[#This Row],[Date of Update]]
  ),
  TODAY()-Table3[[#This Row],[Date of Update]]
)&lt;=0,
TODAY()-Table3[[#This Row],[Date of Update]],
IFERROR(
  IF(
    COUNTIF(A$2:A$1997, A772) &gt; 1,
    MIN(IF(A$2:A$1997=A772, IF(B$2:B$1997&gt;B772, B$2:B$1997))) - B772,
    TODAY() - Table3[[#This Row],[Date of Update]]
  ),
  TODAY()-Table3[[#This Row],[Date of Update]]
)))</f>
        <v>1</v>
      </c>
      <c r="G772" s="7" t="str">
        <f>IF(Table3[[#This Row],[Stage]]="Closed",Table3[[#This Row],[Date of Update]]-(_xlfn.MINIFS(Table3[Date of Update],Table3[Ref], Table3[[#This Row],[Ref]])),"")</f>
        <v/>
      </c>
    </row>
    <row r="773" spans="1:7" x14ac:dyDescent="0.25">
      <c r="A773" s="4" t="s">
        <v>503</v>
      </c>
      <c r="B773" s="5">
        <v>45329</v>
      </c>
      <c r="C773" s="6" t="s">
        <v>17</v>
      </c>
      <c r="D773" s="6" t="s">
        <v>9</v>
      </c>
      <c r="E773" s="6" t="s">
        <v>304</v>
      </c>
      <c r="F773" s="6" cm="1">
        <f t="array" aca="1" ref="F773" ca="1">IF(Table3[[#This Row],[Stage]]="Closed",0,IF(IFERROR(
  IF(
    COUNTIF(A$2:A$1997, A773) &gt; 1,
    MIN(IF(A$2:A$1997=A773, IF(B$2:B$1997&gt;B773, B$2:B$1997))) - B773,
    TODAY() - Table3[[#This Row],[Date of Update]]
  ),
  TODAY()-Table3[[#This Row],[Date of Update]]
)&lt;=0,
TODAY()-Table3[[#This Row],[Date of Update]],
IFERROR(
  IF(
    COUNTIF(A$2:A$1997, A773) &gt; 1,
    MIN(IF(A$2:A$1997=A773, IF(B$2:B$1997&gt;B773, B$2:B$1997))) - B773,
    TODAY() - Table3[[#This Row],[Date of Update]]
  ),
  TODAY()-Table3[[#This Row],[Date of Update]]
)))</f>
        <v>0</v>
      </c>
      <c r="G773" s="7">
        <f>IF(Table3[[#This Row],[Stage]]="Closed",Table3[[#This Row],[Date of Update]]-(_xlfn.MINIFS(Table3[Date of Update],Table3[Ref], Table3[[#This Row],[Ref]])),"")</f>
        <v>119</v>
      </c>
    </row>
    <row r="774" spans="1:7" x14ac:dyDescent="0.25">
      <c r="A774" s="4" t="s">
        <v>500</v>
      </c>
      <c r="B774" s="5">
        <v>45329</v>
      </c>
      <c r="C774" s="6" t="s">
        <v>17</v>
      </c>
      <c r="D774" s="6" t="s">
        <v>9</v>
      </c>
      <c r="E774" s="6" t="s">
        <v>304</v>
      </c>
      <c r="F774" s="6" cm="1">
        <f t="array" aca="1" ref="F774" ca="1">IF(Table3[[#This Row],[Stage]]="Closed",0,IF(IFERROR(
  IF(
    COUNTIF(A$2:A$1997, A774) &gt; 1,
    MIN(IF(A$2:A$1997=A774, IF(B$2:B$1997&gt;B774, B$2:B$1997))) - B774,
    TODAY() - Table3[[#This Row],[Date of Update]]
  ),
  TODAY()-Table3[[#This Row],[Date of Update]]
)&lt;=0,
TODAY()-Table3[[#This Row],[Date of Update]],
IFERROR(
  IF(
    COUNTIF(A$2:A$1997, A774) &gt; 1,
    MIN(IF(A$2:A$1997=A774, IF(B$2:B$1997&gt;B774, B$2:B$1997))) - B774,
    TODAY() - Table3[[#This Row],[Date of Update]]
  ),
  TODAY()-Table3[[#This Row],[Date of Update]]
)))</f>
        <v>0</v>
      </c>
      <c r="G774" s="7">
        <f>IF(Table3[[#This Row],[Stage]]="Closed",Table3[[#This Row],[Date of Update]]-(_xlfn.MINIFS(Table3[Date of Update],Table3[Ref], Table3[[#This Row],[Ref]])),"")</f>
        <v>121</v>
      </c>
    </row>
    <row r="775" spans="1:7" x14ac:dyDescent="0.25">
      <c r="A775" s="4" t="s">
        <v>560</v>
      </c>
      <c r="B775" s="5">
        <v>45329</v>
      </c>
      <c r="C775" s="6" t="s">
        <v>8</v>
      </c>
      <c r="D775" s="6" t="s">
        <v>9</v>
      </c>
      <c r="E775" s="6" t="s">
        <v>456</v>
      </c>
      <c r="F775" s="6" cm="1">
        <f t="array" aca="1" ref="F775" ca="1">IF(Table3[[#This Row],[Stage]]="Closed",0,IF(IFERROR(
  IF(
    COUNTIF(A$2:A$1997, A775) &gt; 1,
    MIN(IF(A$2:A$1997=A775, IF(B$2:B$1997&gt;B775, B$2:B$1997))) - B775,
    TODAY() - Table3[[#This Row],[Date of Update]]
  ),
  TODAY()-Table3[[#This Row],[Date of Update]]
)&lt;=0,
TODAY()-Table3[[#This Row],[Date of Update]],
IFERROR(
  IF(
    COUNTIF(A$2:A$1997, A775) &gt; 1,
    MIN(IF(A$2:A$1997=A775, IF(B$2:B$1997&gt;B775, B$2:B$1997))) - B775,
    TODAY() - Table3[[#This Row],[Date of Update]]
  ),
  TODAY()-Table3[[#This Row],[Date of Update]]
)))</f>
        <v>637</v>
      </c>
      <c r="G775" s="7" t="str">
        <f>IF(Table3[[#This Row],[Stage]]="Closed",Table3[[#This Row],[Date of Update]]-(_xlfn.MINIFS(Table3[Date of Update],Table3[Ref], Table3[[#This Row],[Ref]])),"")</f>
        <v/>
      </c>
    </row>
    <row r="776" spans="1:7" x14ac:dyDescent="0.25">
      <c r="A776" s="4" t="s">
        <v>560</v>
      </c>
      <c r="B776" s="5">
        <v>45329</v>
      </c>
      <c r="C776" s="6" t="s">
        <v>17</v>
      </c>
      <c r="D776" s="6" t="s">
        <v>9</v>
      </c>
      <c r="E776" s="6" t="s">
        <v>456</v>
      </c>
      <c r="F776" s="6" cm="1">
        <f t="array" aca="1" ref="F776" ca="1">IF(Table3[[#This Row],[Stage]]="Closed",0,IF(IFERROR(
  IF(
    COUNTIF(A$2:A$1997, A776) &gt; 1,
    MIN(IF(A$2:A$1997=A776, IF(B$2:B$1997&gt;B776, B$2:B$1997))) - B776,
    TODAY() - Table3[[#This Row],[Date of Update]]
  ),
  TODAY()-Table3[[#This Row],[Date of Update]]
)&lt;=0,
TODAY()-Table3[[#This Row],[Date of Update]],
IFERROR(
  IF(
    COUNTIF(A$2:A$1997, A776) &gt; 1,
    MIN(IF(A$2:A$1997=A776, IF(B$2:B$1997&gt;B776, B$2:B$1997))) - B776,
    TODAY() - Table3[[#This Row],[Date of Update]]
  ),
  TODAY()-Table3[[#This Row],[Date of Update]]
)))</f>
        <v>0</v>
      </c>
      <c r="G776" s="7">
        <f>IF(Table3[[#This Row],[Stage]]="Closed",Table3[[#This Row],[Date of Update]]-(_xlfn.MINIFS(Table3[Date of Update],Table3[Ref], Table3[[#This Row],[Ref]])),"")</f>
        <v>0</v>
      </c>
    </row>
    <row r="777" spans="1:7" x14ac:dyDescent="0.25">
      <c r="A777" s="4" t="s">
        <v>561</v>
      </c>
      <c r="B777" s="5">
        <v>45330</v>
      </c>
      <c r="C777" s="6" t="s">
        <v>8</v>
      </c>
      <c r="D777" s="6" t="s">
        <v>9</v>
      </c>
      <c r="E777" s="6" t="s">
        <v>80</v>
      </c>
      <c r="F777" s="6" cm="1">
        <f t="array" aca="1" ref="F777" ca="1">IF(Table3[[#This Row],[Stage]]="Closed",0,IF(IFERROR(
  IF(
    COUNTIF(A$2:A$1997, A777) &gt; 1,
    MIN(IF(A$2:A$1997=A777, IF(B$2:B$1997&gt;B777, B$2:B$1997))) - B777,
    TODAY() - Table3[[#This Row],[Date of Update]]
  ),
  TODAY()-Table3[[#This Row],[Date of Update]]
)&lt;=0,
TODAY()-Table3[[#This Row],[Date of Update]],
IFERROR(
  IF(
    COUNTIF(A$2:A$1997, A777) &gt; 1,
    MIN(IF(A$2:A$1997=A777, IF(B$2:B$1997&gt;B777, B$2:B$1997))) - B777,
    TODAY() - Table3[[#This Row],[Date of Update]]
  ),
  TODAY()-Table3[[#This Row],[Date of Update]]
)))</f>
        <v>25</v>
      </c>
      <c r="G777" s="7" t="str">
        <f>IF(Table3[[#This Row],[Stage]]="Closed",Table3[[#This Row],[Date of Update]]-(_xlfn.MINIFS(Table3[Date of Update],Table3[Ref], Table3[[#This Row],[Ref]])),"")</f>
        <v/>
      </c>
    </row>
    <row r="778" spans="1:7" x14ac:dyDescent="0.25">
      <c r="A778" s="4" t="s">
        <v>558</v>
      </c>
      <c r="B778" s="5">
        <v>45330</v>
      </c>
      <c r="C778" s="6" t="s">
        <v>17</v>
      </c>
      <c r="D778" s="6" t="s">
        <v>9</v>
      </c>
      <c r="E778" s="6" t="s">
        <v>559</v>
      </c>
      <c r="F778" s="6" cm="1">
        <f t="array" aca="1" ref="F778" ca="1">IF(Table3[[#This Row],[Stage]]="Closed",0,IF(IFERROR(
  IF(
    COUNTIF(A$2:A$1997, A778) &gt; 1,
    MIN(IF(A$2:A$1997=A778, IF(B$2:B$1997&gt;B778, B$2:B$1997))) - B778,
    TODAY() - Table3[[#This Row],[Date of Update]]
  ),
  TODAY()-Table3[[#This Row],[Date of Update]]
)&lt;=0,
TODAY()-Table3[[#This Row],[Date of Update]],
IFERROR(
  IF(
    COUNTIF(A$2:A$1997, A778) &gt; 1,
    MIN(IF(A$2:A$1997=A778, IF(B$2:B$1997&gt;B778, B$2:B$1997))) - B778,
    TODAY() - Table3[[#This Row],[Date of Update]]
  ),
  TODAY()-Table3[[#This Row],[Date of Update]]
)))</f>
        <v>0</v>
      </c>
      <c r="G778" s="7">
        <f>IF(Table3[[#This Row],[Stage]]="Closed",Table3[[#This Row],[Date of Update]]-(_xlfn.MINIFS(Table3[Date of Update],Table3[Ref], Table3[[#This Row],[Ref]])),"")</f>
        <v>1</v>
      </c>
    </row>
    <row r="779" spans="1:7" x14ac:dyDescent="0.25">
      <c r="A779" s="4" t="s">
        <v>395</v>
      </c>
      <c r="B779" s="5">
        <v>45331</v>
      </c>
      <c r="C779" s="6" t="s">
        <v>17</v>
      </c>
      <c r="D779" s="6" t="s">
        <v>9</v>
      </c>
      <c r="E779" s="6" t="s">
        <v>304</v>
      </c>
      <c r="F779" s="6" cm="1">
        <f t="array" aca="1" ref="F779" ca="1">IF(Table3[[#This Row],[Stage]]="Closed",0,IF(IFERROR(
  IF(
    COUNTIF(A$2:A$1997, A779) &gt; 1,
    MIN(IF(A$2:A$1997=A779, IF(B$2:B$1997&gt;B779, B$2:B$1997))) - B779,
    TODAY() - Table3[[#This Row],[Date of Update]]
  ),
  TODAY()-Table3[[#This Row],[Date of Update]]
)&lt;=0,
TODAY()-Table3[[#This Row],[Date of Update]],
IFERROR(
  IF(
    COUNTIF(A$2:A$1997, A779) &gt; 1,
    MIN(IF(A$2:A$1997=A779, IF(B$2:B$1997&gt;B779, B$2:B$1997))) - B779,
    TODAY() - Table3[[#This Row],[Date of Update]]
  ),
  TODAY()-Table3[[#This Row],[Date of Update]]
)))</f>
        <v>0</v>
      </c>
      <c r="G779" s="7">
        <f>IF(Table3[[#This Row],[Stage]]="Closed",Table3[[#This Row],[Date of Update]]-(_xlfn.MINIFS(Table3[Date of Update],Table3[Ref], Table3[[#This Row],[Ref]])),"")</f>
        <v>268</v>
      </c>
    </row>
    <row r="780" spans="1:7" x14ac:dyDescent="0.25">
      <c r="A780" s="4" t="s">
        <v>562</v>
      </c>
      <c r="B780" s="5">
        <v>45334</v>
      </c>
      <c r="C780" s="6" t="s">
        <v>8</v>
      </c>
      <c r="D780" s="6" t="s">
        <v>9</v>
      </c>
      <c r="E780" s="6" t="s">
        <v>563</v>
      </c>
      <c r="F780" s="6" cm="1">
        <f t="array" aca="1" ref="F780" ca="1">IF(Table3[[#This Row],[Stage]]="Closed",0,IF(IFERROR(
  IF(
    COUNTIF(A$2:A$1997, A780) &gt; 1,
    MIN(IF(A$2:A$1997=A780, IF(B$2:B$1997&gt;B780, B$2:B$1997))) - B780,
    TODAY() - Table3[[#This Row],[Date of Update]]
  ),
  TODAY()-Table3[[#This Row],[Date of Update]]
)&lt;=0,
TODAY()-Table3[[#This Row],[Date of Update]],
IFERROR(
  IF(
    COUNTIF(A$2:A$1997, A780) &gt; 1,
    MIN(IF(A$2:A$1997=A780, IF(B$2:B$1997&gt;B780, B$2:B$1997))) - B780,
    TODAY() - Table3[[#This Row],[Date of Update]]
  ),
  TODAY()-Table3[[#This Row],[Date of Update]]
)))</f>
        <v>1</v>
      </c>
      <c r="G780" s="7" t="str">
        <f>IF(Table3[[#This Row],[Stage]]="Closed",Table3[[#This Row],[Date of Update]]-(_xlfn.MINIFS(Table3[Date of Update],Table3[Ref], Table3[[#This Row],[Ref]])),"")</f>
        <v/>
      </c>
    </row>
    <row r="781" spans="1:7" x14ac:dyDescent="0.25">
      <c r="A781" s="4" t="s">
        <v>562</v>
      </c>
      <c r="B781" s="5">
        <v>45335</v>
      </c>
      <c r="C781" s="6" t="s">
        <v>564</v>
      </c>
      <c r="D781" s="6" t="s">
        <v>549</v>
      </c>
      <c r="E781" s="6" t="s">
        <v>565</v>
      </c>
      <c r="F781" s="6" cm="1">
        <f t="array" aca="1" ref="F781" ca="1">IF(Table3[[#This Row],[Stage]]="Closed",0,IF(IFERROR(
  IF(
    COUNTIF(A$2:A$1997, A781) &gt; 1,
    MIN(IF(A$2:A$1997=A781, IF(B$2:B$1997&gt;B781, B$2:B$1997))) - B781,
    TODAY() - Table3[[#This Row],[Date of Update]]
  ),
  TODAY()-Table3[[#This Row],[Date of Update]]
)&lt;=0,
TODAY()-Table3[[#This Row],[Date of Update]],
IFERROR(
  IF(
    COUNTIF(A$2:A$1997, A781) &gt; 1,
    MIN(IF(A$2:A$1997=A781, IF(B$2:B$1997&gt;B781, B$2:B$1997))) - B781,
    TODAY() - Table3[[#This Row],[Date of Update]]
  ),
  TODAY()-Table3[[#This Row],[Date of Update]]
)))</f>
        <v>16</v>
      </c>
      <c r="G781" s="7" t="str">
        <f>IF(Table3[[#This Row],[Stage]]="Closed",Table3[[#This Row],[Date of Update]]-(_xlfn.MINIFS(Table3[Date of Update],Table3[Ref], Table3[[#This Row],[Ref]])),"")</f>
        <v/>
      </c>
    </row>
    <row r="782" spans="1:7" x14ac:dyDescent="0.25">
      <c r="A782" s="4" t="s">
        <v>566</v>
      </c>
      <c r="B782" s="5">
        <v>45338</v>
      </c>
      <c r="C782" s="6" t="s">
        <v>8</v>
      </c>
      <c r="D782" s="6" t="s">
        <v>9</v>
      </c>
      <c r="E782" s="6" t="s">
        <v>567</v>
      </c>
      <c r="F782" s="6" cm="1">
        <f t="array" aca="1" ref="F782" ca="1">IF(Table3[[#This Row],[Stage]]="Closed",0,IF(IFERROR(
  IF(
    COUNTIF(A$2:A$1997, A782) &gt; 1,
    MIN(IF(A$2:A$1997=A782, IF(B$2:B$1997&gt;B782, B$2:B$1997))) - B782,
    TODAY() - Table3[[#This Row],[Date of Update]]
  ),
  TODAY()-Table3[[#This Row],[Date of Update]]
)&lt;=0,
TODAY()-Table3[[#This Row],[Date of Update]],
IFERROR(
  IF(
    COUNTIF(A$2:A$1997, A782) &gt; 1,
    MIN(IF(A$2:A$1997=A782, IF(B$2:B$1997&gt;B782, B$2:B$1997))) - B782,
    TODAY() - Table3[[#This Row],[Date of Update]]
  ),
  TODAY()-Table3[[#This Row],[Date of Update]]
)))</f>
        <v>35</v>
      </c>
      <c r="G782" s="7" t="str">
        <f>IF(Table3[[#This Row],[Stage]]="Closed",Table3[[#This Row],[Date of Update]]-(_xlfn.MINIFS(Table3[Date of Update],Table3[Ref], Table3[[#This Row],[Ref]])),"")</f>
        <v/>
      </c>
    </row>
    <row r="783" spans="1:7" x14ac:dyDescent="0.25">
      <c r="A783" s="4" t="s">
        <v>568</v>
      </c>
      <c r="B783" s="5">
        <v>45338</v>
      </c>
      <c r="C783" s="6" t="s">
        <v>8</v>
      </c>
      <c r="D783" s="6" t="s">
        <v>9</v>
      </c>
      <c r="E783" s="6" t="s">
        <v>569</v>
      </c>
      <c r="F783" s="6" cm="1">
        <f t="array" aca="1" ref="F783" ca="1">IF(Table3[[#This Row],[Stage]]="Closed",0,IF(IFERROR(
  IF(
    COUNTIF(A$2:A$1997, A783) &gt; 1,
    MIN(IF(A$2:A$1997=A783, IF(B$2:B$1997&gt;B783, B$2:B$1997))) - B783,
    TODAY() - Table3[[#This Row],[Date of Update]]
  ),
  TODAY()-Table3[[#This Row],[Date of Update]]
)&lt;=0,
TODAY()-Table3[[#This Row],[Date of Update]],
IFERROR(
  IF(
    COUNTIF(A$2:A$1997, A783) &gt; 1,
    MIN(IF(A$2:A$1997=A783, IF(B$2:B$1997&gt;B783, B$2:B$1997))) - B783,
    TODAY() - Table3[[#This Row],[Date of Update]]
  ),
  TODAY()-Table3[[#This Row],[Date of Update]]
)))</f>
        <v>59</v>
      </c>
      <c r="G783" s="7" t="str">
        <f>IF(Table3[[#This Row],[Stage]]="Closed",Table3[[#This Row],[Date of Update]]-(_xlfn.MINIFS(Table3[Date of Update],Table3[Ref], Table3[[#This Row],[Ref]])),"")</f>
        <v/>
      </c>
    </row>
    <row r="784" spans="1:7" x14ac:dyDescent="0.25">
      <c r="A784" s="4" t="s">
        <v>545</v>
      </c>
      <c r="B784" s="5">
        <v>45341</v>
      </c>
      <c r="C784" s="6" t="s">
        <v>8</v>
      </c>
      <c r="D784" s="6" t="s">
        <v>9</v>
      </c>
      <c r="E784" s="6" t="s">
        <v>570</v>
      </c>
      <c r="F784" s="6" cm="1">
        <f t="array" aca="1" ref="F784" ca="1">IF(Table3[[#This Row],[Stage]]="Closed",0,IF(IFERROR(
  IF(
    COUNTIF(A$2:A$1997, A784) &gt; 1,
    MIN(IF(A$2:A$1997=A784, IF(B$2:B$1997&gt;B784, B$2:B$1997))) - B784,
    TODAY() - Table3[[#This Row],[Date of Update]]
  ),
  TODAY()-Table3[[#This Row],[Date of Update]]
)&lt;=0,
TODAY()-Table3[[#This Row],[Date of Update]],
IFERROR(
  IF(
    COUNTIF(A$2:A$1997, A784) &gt; 1,
    MIN(IF(A$2:A$1997=A784, IF(B$2:B$1997&gt;B784, B$2:B$1997))) - B784,
    TODAY() - Table3[[#This Row],[Date of Update]]
  ),
  TODAY()-Table3[[#This Row],[Date of Update]]
)))</f>
        <v>11</v>
      </c>
      <c r="G784" s="7" t="str">
        <f>IF(Table3[[#This Row],[Stage]]="Closed",Table3[[#This Row],[Date of Update]]-(_xlfn.MINIFS(Table3[Date of Update],Table3[Ref], Table3[[#This Row],[Ref]])),"")</f>
        <v/>
      </c>
    </row>
    <row r="785" spans="1:7" x14ac:dyDescent="0.25">
      <c r="A785" s="4" t="s">
        <v>571</v>
      </c>
      <c r="B785" s="5">
        <v>45341</v>
      </c>
      <c r="C785" s="6" t="s">
        <v>8</v>
      </c>
      <c r="D785" s="6" t="s">
        <v>9</v>
      </c>
      <c r="E785" s="6" t="s">
        <v>572</v>
      </c>
      <c r="F785" s="6" cm="1">
        <f t="array" aca="1" ref="F785" ca="1">IF(Table3[[#This Row],[Stage]]="Closed",0,IF(IFERROR(
  IF(
    COUNTIF(A$2:A$1997, A785) &gt; 1,
    MIN(IF(A$2:A$1997=A785, IF(B$2:B$1997&gt;B785, B$2:B$1997))) - B785,
    TODAY() - Table3[[#This Row],[Date of Update]]
  ),
  TODAY()-Table3[[#This Row],[Date of Update]]
)&lt;=0,
TODAY()-Table3[[#This Row],[Date of Update]],
IFERROR(
  IF(
    COUNTIF(A$2:A$1997, A785) &gt; 1,
    MIN(IF(A$2:A$1997=A785, IF(B$2:B$1997&gt;B785, B$2:B$1997))) - B785,
    TODAY() - Table3[[#This Row],[Date of Update]]
  ),
  TODAY()-Table3[[#This Row],[Date of Update]]
)))</f>
        <v>1</v>
      </c>
      <c r="G785" s="7" t="str">
        <f>IF(Table3[[#This Row],[Stage]]="Closed",Table3[[#This Row],[Date of Update]]-(_xlfn.MINIFS(Table3[Date of Update],Table3[Ref], Table3[[#This Row],[Ref]])),"")</f>
        <v/>
      </c>
    </row>
    <row r="786" spans="1:7" x14ac:dyDescent="0.25">
      <c r="A786" s="4" t="s">
        <v>573</v>
      </c>
      <c r="B786" s="5">
        <v>45341</v>
      </c>
      <c r="C786" s="6" t="s">
        <v>8</v>
      </c>
      <c r="D786" s="6" t="s">
        <v>9</v>
      </c>
      <c r="E786" s="6" t="s">
        <v>574</v>
      </c>
      <c r="F786" s="6" cm="1">
        <f t="array" aca="1" ref="F786" ca="1">IF(Table3[[#This Row],[Stage]]="Closed",0,IF(IFERROR(
  IF(
    COUNTIF(A$2:A$1997, A786) &gt; 1,
    MIN(IF(A$2:A$1997=A786, IF(B$2:B$1997&gt;B786, B$2:B$1997))) - B786,
    TODAY() - Table3[[#This Row],[Date of Update]]
  ),
  TODAY()-Table3[[#This Row],[Date of Update]]
)&lt;=0,
TODAY()-Table3[[#This Row],[Date of Update]],
IFERROR(
  IF(
    COUNTIF(A$2:A$1997, A786) &gt; 1,
    MIN(IF(A$2:A$1997=A786, IF(B$2:B$1997&gt;B786, B$2:B$1997))) - B786,
    TODAY() - Table3[[#This Row],[Date of Update]]
  ),
  TODAY()-Table3[[#This Row],[Date of Update]]
)))</f>
        <v>2</v>
      </c>
      <c r="G786" s="7" t="str">
        <f>IF(Table3[[#This Row],[Stage]]="Closed",Table3[[#This Row],[Date of Update]]-(_xlfn.MINIFS(Table3[Date of Update],Table3[Ref], Table3[[#This Row],[Ref]])),"")</f>
        <v/>
      </c>
    </row>
    <row r="787" spans="1:7" x14ac:dyDescent="0.25">
      <c r="A787" s="4" t="s">
        <v>571</v>
      </c>
      <c r="B787" s="5">
        <v>45342</v>
      </c>
      <c r="C787" s="6" t="s">
        <v>564</v>
      </c>
      <c r="D787" s="6" t="s">
        <v>575</v>
      </c>
      <c r="E787" s="6" t="s">
        <v>576</v>
      </c>
      <c r="F787" s="6" cm="1">
        <f t="array" aca="1" ref="F787" ca="1">IF(Table3[[#This Row],[Stage]]="Closed",0,IF(IFERROR(
  IF(
    COUNTIF(A$2:A$1997, A787) &gt; 1,
    MIN(IF(A$2:A$1997=A787, IF(B$2:B$1997&gt;B787, B$2:B$1997))) - B787,
    TODAY() - Table3[[#This Row],[Date of Update]]
  ),
  TODAY()-Table3[[#This Row],[Date of Update]]
)&lt;=0,
TODAY()-Table3[[#This Row],[Date of Update]],
IFERROR(
  IF(
    COUNTIF(A$2:A$1997, A787) &gt; 1,
    MIN(IF(A$2:A$1997=A787, IF(B$2:B$1997&gt;B787, B$2:B$1997))) - B787,
    TODAY() - Table3[[#This Row],[Date of Update]]
  ),
  TODAY()-Table3[[#This Row],[Date of Update]]
)))</f>
        <v>624</v>
      </c>
      <c r="G787" s="7" t="str">
        <f>IF(Table3[[#This Row],[Stage]]="Closed",Table3[[#This Row],[Date of Update]]-(_xlfn.MINIFS(Table3[Date of Update],Table3[Ref], Table3[[#This Row],[Ref]])),"")</f>
        <v/>
      </c>
    </row>
    <row r="788" spans="1:7" x14ac:dyDescent="0.25">
      <c r="A788" s="4" t="s">
        <v>573</v>
      </c>
      <c r="B788" s="5">
        <v>45343</v>
      </c>
      <c r="C788" s="6" t="s">
        <v>17</v>
      </c>
      <c r="D788" s="6" t="s">
        <v>9</v>
      </c>
      <c r="E788" s="6" t="s">
        <v>574</v>
      </c>
      <c r="F788" s="6" cm="1">
        <f t="array" aca="1" ref="F788" ca="1">IF(Table3[[#This Row],[Stage]]="Closed",0,IF(IFERROR(
  IF(
    COUNTIF(A$2:A$1997, A788) &gt; 1,
    MIN(IF(A$2:A$1997=A788, IF(B$2:B$1997&gt;B788, B$2:B$1997))) - B788,
    TODAY() - Table3[[#This Row],[Date of Update]]
  ),
  TODAY()-Table3[[#This Row],[Date of Update]]
)&lt;=0,
TODAY()-Table3[[#This Row],[Date of Update]],
IFERROR(
  IF(
    COUNTIF(A$2:A$1997, A788) &gt; 1,
    MIN(IF(A$2:A$1997=A788, IF(B$2:B$1997&gt;B788, B$2:B$1997))) - B788,
    TODAY() - Table3[[#This Row],[Date of Update]]
  ),
  TODAY()-Table3[[#This Row],[Date of Update]]
)))</f>
        <v>0</v>
      </c>
      <c r="G788" s="7">
        <f>IF(Table3[[#This Row],[Stage]]="Closed",Table3[[#This Row],[Date of Update]]-(_xlfn.MINIFS(Table3[Date of Update],Table3[Ref], Table3[[#This Row],[Ref]])),"")</f>
        <v>2</v>
      </c>
    </row>
    <row r="789" spans="1:7" x14ac:dyDescent="0.25">
      <c r="A789" s="4" t="s">
        <v>577</v>
      </c>
      <c r="B789" s="5">
        <v>45345</v>
      </c>
      <c r="C789" s="6" t="s">
        <v>8</v>
      </c>
      <c r="D789" s="6" t="s">
        <v>9</v>
      </c>
      <c r="E789" s="6" t="s">
        <v>578</v>
      </c>
      <c r="F789" s="6" cm="1">
        <f t="array" aca="1" ref="F789" ca="1">IF(Table3[[#This Row],[Stage]]="Closed",0,IF(IFERROR(
  IF(
    COUNTIF(A$2:A$1997, A789) &gt; 1,
    MIN(IF(A$2:A$1997=A789, IF(B$2:B$1997&gt;B789, B$2:B$1997))) - B789,
    TODAY() - Table3[[#This Row],[Date of Update]]
  ),
  TODAY()-Table3[[#This Row],[Date of Update]]
)&lt;=0,
TODAY()-Table3[[#This Row],[Date of Update]],
IFERROR(
  IF(
    COUNTIF(A$2:A$1997, A789) &gt; 1,
    MIN(IF(A$2:A$1997=A789, IF(B$2:B$1997&gt;B789, B$2:B$1997))) - B789,
    TODAY() - Table3[[#This Row],[Date of Update]]
  ),
  TODAY()-Table3[[#This Row],[Date of Update]]
)))</f>
        <v>3</v>
      </c>
      <c r="G789" s="7" t="str">
        <f>IF(Table3[[#This Row],[Stage]]="Closed",Table3[[#This Row],[Date of Update]]-(_xlfn.MINIFS(Table3[Date of Update],Table3[Ref], Table3[[#This Row],[Ref]])),"")</f>
        <v/>
      </c>
    </row>
    <row r="790" spans="1:7" x14ac:dyDescent="0.25">
      <c r="A790" s="4" t="s">
        <v>577</v>
      </c>
      <c r="B790" s="5">
        <v>45345</v>
      </c>
      <c r="C790" s="6" t="s">
        <v>564</v>
      </c>
      <c r="D790" s="6" t="s">
        <v>549</v>
      </c>
      <c r="E790" s="6" t="s">
        <v>579</v>
      </c>
      <c r="F790" s="6" cm="1">
        <f t="array" aca="1" ref="F790" ca="1">IF(Table3[[#This Row],[Stage]]="Closed",0,IF(IFERROR(
  IF(
    COUNTIF(A$2:A$1997, A790) &gt; 1,
    MIN(IF(A$2:A$1997=A790, IF(B$2:B$1997&gt;B790, B$2:B$1997))) - B790,
    TODAY() - Table3[[#This Row],[Date of Update]]
  ),
  TODAY()-Table3[[#This Row],[Date of Update]]
)&lt;=0,
TODAY()-Table3[[#This Row],[Date of Update]],
IFERROR(
  IF(
    COUNTIF(A$2:A$1997, A790) &gt; 1,
    MIN(IF(A$2:A$1997=A790, IF(B$2:B$1997&gt;B790, B$2:B$1997))) - B790,
    TODAY() - Table3[[#This Row],[Date of Update]]
  ),
  TODAY()-Table3[[#This Row],[Date of Update]]
)))</f>
        <v>3</v>
      </c>
      <c r="G790" s="7" t="str">
        <f>IF(Table3[[#This Row],[Stage]]="Closed",Table3[[#This Row],[Date of Update]]-(_xlfn.MINIFS(Table3[Date of Update],Table3[Ref], Table3[[#This Row],[Ref]])),"")</f>
        <v/>
      </c>
    </row>
    <row r="791" spans="1:7" x14ac:dyDescent="0.25">
      <c r="A791" s="4" t="s">
        <v>577</v>
      </c>
      <c r="B791" s="5">
        <v>45348</v>
      </c>
      <c r="C791" s="6" t="s">
        <v>580</v>
      </c>
      <c r="D791" s="6" t="s">
        <v>549</v>
      </c>
      <c r="E791" s="6" t="s">
        <v>581</v>
      </c>
      <c r="F791" s="6" cm="1">
        <f t="array" aca="1" ref="F791" ca="1">IF(Table3[[#This Row],[Stage]]="Closed",0,IF(IFERROR(
  IF(
    COUNTIF(A$2:A$1997, A791) &gt; 1,
    MIN(IF(A$2:A$1997=A791, IF(B$2:B$1997&gt;B791, B$2:B$1997))) - B791,
    TODAY() - Table3[[#This Row],[Date of Update]]
  ),
  TODAY()-Table3[[#This Row],[Date of Update]]
)&lt;=0,
TODAY()-Table3[[#This Row],[Date of Update]],
IFERROR(
  IF(
    COUNTIF(A$2:A$1997, A791) &gt; 1,
    MIN(IF(A$2:A$1997=A791, IF(B$2:B$1997&gt;B791, B$2:B$1997))) - B791,
    TODAY() - Table3[[#This Row],[Date of Update]]
  ),
  TODAY()-Table3[[#This Row],[Date of Update]]
)))</f>
        <v>51</v>
      </c>
      <c r="G791" s="7" t="str">
        <f>IF(Table3[[#This Row],[Stage]]="Closed",Table3[[#This Row],[Date of Update]]-(_xlfn.MINIFS(Table3[Date of Update],Table3[Ref], Table3[[#This Row],[Ref]])),"")</f>
        <v/>
      </c>
    </row>
    <row r="792" spans="1:7" x14ac:dyDescent="0.25">
      <c r="A792" s="4" t="s">
        <v>582</v>
      </c>
      <c r="B792" s="5">
        <v>45349</v>
      </c>
      <c r="C792" s="6" t="s">
        <v>8</v>
      </c>
      <c r="D792" s="6" t="s">
        <v>9</v>
      </c>
      <c r="E792" s="6" t="s">
        <v>583</v>
      </c>
      <c r="F792" s="6" cm="1">
        <f t="array" aca="1" ref="F792" ca="1">IF(Table3[[#This Row],[Stage]]="Closed",0,IF(IFERROR(
  IF(
    COUNTIF(A$2:A$1997, A792) &gt; 1,
    MIN(IF(A$2:A$1997=A792, IF(B$2:B$1997&gt;B792, B$2:B$1997))) - B792,
    TODAY() - Table3[[#This Row],[Date of Update]]
  ),
  TODAY()-Table3[[#This Row],[Date of Update]]
)&lt;=0,
TODAY()-Table3[[#This Row],[Date of Update]],
IFERROR(
  IF(
    COUNTIF(A$2:A$1997, A792) &gt; 1,
    MIN(IF(A$2:A$1997=A792, IF(B$2:B$1997&gt;B792, B$2:B$1997))) - B792,
    TODAY() - Table3[[#This Row],[Date of Update]]
  ),
  TODAY()-Table3[[#This Row],[Date of Update]]
)))</f>
        <v>10</v>
      </c>
      <c r="G792" s="7" t="str">
        <f>IF(Table3[[#This Row],[Stage]]="Closed",Table3[[#This Row],[Date of Update]]-(_xlfn.MINIFS(Table3[Date of Update],Table3[Ref], Table3[[#This Row],[Ref]])),"")</f>
        <v/>
      </c>
    </row>
    <row r="793" spans="1:7" x14ac:dyDescent="0.25">
      <c r="A793" s="4" t="s">
        <v>584</v>
      </c>
      <c r="B793" s="5">
        <v>45349</v>
      </c>
      <c r="C793" s="6" t="s">
        <v>8</v>
      </c>
      <c r="D793" s="6" t="s">
        <v>9</v>
      </c>
      <c r="E793" s="6" t="s">
        <v>80</v>
      </c>
      <c r="F793" s="6" cm="1">
        <f t="array" aca="1" ref="F793" ca="1">IF(Table3[[#This Row],[Stage]]="Closed",0,IF(IFERROR(
  IF(
    COUNTIF(A$2:A$1997, A793) &gt; 1,
    MIN(IF(A$2:A$1997=A793, IF(B$2:B$1997&gt;B793, B$2:B$1997))) - B793,
    TODAY() - Table3[[#This Row],[Date of Update]]
  ),
  TODAY()-Table3[[#This Row],[Date of Update]]
)&lt;=0,
TODAY()-Table3[[#This Row],[Date of Update]],
IFERROR(
  IF(
    COUNTIF(A$2:A$1997, A793) &gt; 1,
    MIN(IF(A$2:A$1997=A793, IF(B$2:B$1997&gt;B793, B$2:B$1997))) - B793,
    TODAY() - Table3[[#This Row],[Date of Update]]
  ),
  TODAY()-Table3[[#This Row],[Date of Update]]
)))</f>
        <v>3</v>
      </c>
      <c r="G793" s="7" t="str">
        <f>IF(Table3[[#This Row],[Stage]]="Closed",Table3[[#This Row],[Date of Update]]-(_xlfn.MINIFS(Table3[Date of Update],Table3[Ref], Table3[[#This Row],[Ref]])),"")</f>
        <v/>
      </c>
    </row>
    <row r="794" spans="1:7" x14ac:dyDescent="0.25">
      <c r="A794" s="4" t="s">
        <v>585</v>
      </c>
      <c r="B794" s="5">
        <v>45349</v>
      </c>
      <c r="C794" s="6" t="s">
        <v>8</v>
      </c>
      <c r="D794" s="6" t="s">
        <v>9</v>
      </c>
      <c r="E794" s="6" t="s">
        <v>586</v>
      </c>
      <c r="F794" s="6" cm="1">
        <f t="array" aca="1" ref="F794" ca="1">IF(Table3[[#This Row],[Stage]]="Closed",0,IF(IFERROR(
  IF(
    COUNTIF(A$2:A$1997, A794) &gt; 1,
    MIN(IF(A$2:A$1997=A794, IF(B$2:B$1997&gt;B794, B$2:B$1997))) - B794,
    TODAY() - Table3[[#This Row],[Date of Update]]
  ),
  TODAY()-Table3[[#This Row],[Date of Update]]
)&lt;=0,
TODAY()-Table3[[#This Row],[Date of Update]],
IFERROR(
  IF(
    COUNTIF(A$2:A$1997, A794) &gt; 1,
    MIN(IF(A$2:A$1997=A794, IF(B$2:B$1997&gt;B794, B$2:B$1997))) - B794,
    TODAY() - Table3[[#This Row],[Date of Update]]
  ),
  TODAY()-Table3[[#This Row],[Date of Update]]
)))</f>
        <v>49</v>
      </c>
      <c r="G794" s="7" t="str">
        <f>IF(Table3[[#This Row],[Stage]]="Closed",Table3[[#This Row],[Date of Update]]-(_xlfn.MINIFS(Table3[Date of Update],Table3[Ref], Table3[[#This Row],[Ref]])),"")</f>
        <v/>
      </c>
    </row>
    <row r="795" spans="1:7" x14ac:dyDescent="0.25">
      <c r="A795" s="4" t="s">
        <v>587</v>
      </c>
      <c r="B795" s="5">
        <v>45349</v>
      </c>
      <c r="C795" s="6" t="s">
        <v>8</v>
      </c>
      <c r="D795" s="6" t="s">
        <v>9</v>
      </c>
      <c r="E795" s="6" t="s">
        <v>256</v>
      </c>
      <c r="F795" s="6" cm="1">
        <f t="array" aca="1" ref="F795" ca="1">IF(Table3[[#This Row],[Stage]]="Closed",0,IF(IFERROR(
  IF(
    COUNTIF(A$2:A$1997, A795) &gt; 1,
    MIN(IF(A$2:A$1997=A795, IF(B$2:B$1997&gt;B795, B$2:B$1997))) - B795,
    TODAY() - Table3[[#This Row],[Date of Update]]
  ),
  TODAY()-Table3[[#This Row],[Date of Update]]
)&lt;=0,
TODAY()-Table3[[#This Row],[Date of Update]],
IFERROR(
  IF(
    COUNTIF(A$2:A$1997, A795) &gt; 1,
    MIN(IF(A$2:A$1997=A795, IF(B$2:B$1997&gt;B795, B$2:B$1997))) - B795,
    TODAY() - Table3[[#This Row],[Date of Update]]
  ),
  TODAY()-Table3[[#This Row],[Date of Update]]
)))</f>
        <v>10</v>
      </c>
      <c r="G795" s="7" t="str">
        <f>IF(Table3[[#This Row],[Stage]]="Closed",Table3[[#This Row],[Date of Update]]-(_xlfn.MINIFS(Table3[Date of Update],Table3[Ref], Table3[[#This Row],[Ref]])),"")</f>
        <v/>
      </c>
    </row>
    <row r="796" spans="1:7" x14ac:dyDescent="0.25">
      <c r="A796" s="4" t="s">
        <v>513</v>
      </c>
      <c r="B796" s="5">
        <v>45349</v>
      </c>
      <c r="C796" s="6" t="s">
        <v>17</v>
      </c>
      <c r="D796" s="6" t="s">
        <v>9</v>
      </c>
      <c r="E796" s="6" t="s">
        <v>514</v>
      </c>
      <c r="F796" s="6" cm="1">
        <f t="array" aca="1" ref="F796" ca="1">IF(Table3[[#This Row],[Stage]]="Closed",0,IF(IFERROR(
  IF(
    COUNTIF(A$2:A$1997, A796) &gt; 1,
    MIN(IF(A$2:A$1997=A796, IF(B$2:B$1997&gt;B796, B$2:B$1997))) - B796,
    TODAY() - Table3[[#This Row],[Date of Update]]
  ),
  TODAY()-Table3[[#This Row],[Date of Update]]
)&lt;=0,
TODAY()-Table3[[#This Row],[Date of Update]],
IFERROR(
  IF(
    COUNTIF(A$2:A$1997, A796) &gt; 1,
    MIN(IF(A$2:A$1997=A796, IF(B$2:B$1997&gt;B796, B$2:B$1997))) - B796,
    TODAY() - Table3[[#This Row],[Date of Update]]
  ),
  TODAY()-Table3[[#This Row],[Date of Update]]
)))</f>
        <v>0</v>
      </c>
      <c r="G796" s="7">
        <f>IF(Table3[[#This Row],[Stage]]="Closed",Table3[[#This Row],[Date of Update]]-(_xlfn.MINIFS(Table3[Date of Update],Table3[Ref], Table3[[#This Row],[Ref]])),"")</f>
        <v>118</v>
      </c>
    </row>
    <row r="797" spans="1:7" x14ac:dyDescent="0.25">
      <c r="A797" s="4" t="s">
        <v>588</v>
      </c>
      <c r="B797" s="5">
        <v>45350</v>
      </c>
      <c r="C797" s="6" t="s">
        <v>8</v>
      </c>
      <c r="D797" s="6" t="s">
        <v>9</v>
      </c>
      <c r="E797" s="6" t="s">
        <v>589</v>
      </c>
      <c r="F797" s="6" cm="1">
        <f t="array" aca="1" ref="F797" ca="1">IF(Table3[[#This Row],[Stage]]="Closed",0,IF(IFERROR(
  IF(
    COUNTIF(A$2:A$1997, A797) &gt; 1,
    MIN(IF(A$2:A$1997=A797, IF(B$2:B$1997&gt;B797, B$2:B$1997))) - B797,
    TODAY() - Table3[[#This Row],[Date of Update]]
  ),
  TODAY()-Table3[[#This Row],[Date of Update]]
)&lt;=0,
TODAY()-Table3[[#This Row],[Date of Update]],
IFERROR(
  IF(
    COUNTIF(A$2:A$1997, A797) &gt; 1,
    MIN(IF(A$2:A$1997=A797, IF(B$2:B$1997&gt;B797, B$2:B$1997))) - B797,
    TODAY() - Table3[[#This Row],[Date of Update]]
  ),
  TODAY()-Table3[[#This Row],[Date of Update]]
)))</f>
        <v>19</v>
      </c>
      <c r="G797" s="7" t="str">
        <f>IF(Table3[[#This Row],[Stage]]="Closed",Table3[[#This Row],[Date of Update]]-(_xlfn.MINIFS(Table3[Date of Update],Table3[Ref], Table3[[#This Row],[Ref]])),"")</f>
        <v/>
      </c>
    </row>
    <row r="798" spans="1:7" x14ac:dyDescent="0.25">
      <c r="A798" s="4" t="s">
        <v>562</v>
      </c>
      <c r="B798" s="5">
        <v>45351</v>
      </c>
      <c r="C798" s="6" t="s">
        <v>580</v>
      </c>
      <c r="D798" s="6" t="s">
        <v>9</v>
      </c>
      <c r="E798" s="6" t="s">
        <v>590</v>
      </c>
      <c r="F798" s="6" cm="1">
        <f t="array" aca="1" ref="F798" ca="1">IF(Table3[[#This Row],[Stage]]="Closed",0,IF(IFERROR(
  IF(
    COUNTIF(A$2:A$1997, A798) &gt; 1,
    MIN(IF(A$2:A$1997=A798, IF(B$2:B$1997&gt;B798, B$2:B$1997))) - B798,
    TODAY() - Table3[[#This Row],[Date of Update]]
  ),
  TODAY()-Table3[[#This Row],[Date of Update]]
)&lt;=0,
TODAY()-Table3[[#This Row],[Date of Update]],
IFERROR(
  IF(
    COUNTIF(A$2:A$1997, A798) &gt; 1,
    MIN(IF(A$2:A$1997=A798, IF(B$2:B$1997&gt;B798, B$2:B$1997))) - B798,
    TODAY() - Table3[[#This Row],[Date of Update]]
  ),
  TODAY()-Table3[[#This Row],[Date of Update]]
)))</f>
        <v>1</v>
      </c>
      <c r="G798" s="7" t="str">
        <f>IF(Table3[[#This Row],[Stage]]="Closed",Table3[[#This Row],[Date of Update]]-(_xlfn.MINIFS(Table3[Date of Update],Table3[Ref], Table3[[#This Row],[Ref]])),"")</f>
        <v/>
      </c>
    </row>
    <row r="799" spans="1:7" x14ac:dyDescent="0.25">
      <c r="A799" s="4" t="s">
        <v>562</v>
      </c>
      <c r="B799" s="5">
        <v>45352</v>
      </c>
      <c r="C799" s="6" t="s">
        <v>580</v>
      </c>
      <c r="D799" s="6" t="s">
        <v>549</v>
      </c>
      <c r="E799" s="6" t="s">
        <v>563</v>
      </c>
      <c r="F799" s="6" cm="1">
        <f t="array" aca="1" ref="F799" ca="1">IF(Table3[[#This Row],[Stage]]="Closed",0,IF(IFERROR(
  IF(
    COUNTIF(A$2:A$1997, A799) &gt; 1,
    MIN(IF(A$2:A$1997=A799, IF(B$2:B$1997&gt;B799, B$2:B$1997))) - B799,
    TODAY() - Table3[[#This Row],[Date of Update]]
  ),
  TODAY()-Table3[[#This Row],[Date of Update]]
)&lt;=0,
TODAY()-Table3[[#This Row],[Date of Update]],
IFERROR(
  IF(
    COUNTIF(A$2:A$1997, A799) &gt; 1,
    MIN(IF(A$2:A$1997=A799, IF(B$2:B$1997&gt;B799, B$2:B$1997))) - B799,
    TODAY() - Table3[[#This Row],[Date of Update]]
  ),
  TODAY()-Table3[[#This Row],[Date of Update]]
)))</f>
        <v>614</v>
      </c>
      <c r="G799" s="7" t="str">
        <f>IF(Table3[[#This Row],[Stage]]="Closed",Table3[[#This Row],[Date of Update]]-(_xlfn.MINIFS(Table3[Date of Update],Table3[Ref], Table3[[#This Row],[Ref]])),"")</f>
        <v/>
      </c>
    </row>
    <row r="800" spans="1:7" x14ac:dyDescent="0.25">
      <c r="A800" s="4" t="s">
        <v>545</v>
      </c>
      <c r="B800" s="5">
        <v>45352</v>
      </c>
      <c r="C800" s="6" t="s">
        <v>564</v>
      </c>
      <c r="D800" s="6" t="s">
        <v>575</v>
      </c>
      <c r="E800" s="6" t="s">
        <v>591</v>
      </c>
      <c r="F800" s="6" cm="1">
        <f t="array" aca="1" ref="F800" ca="1">IF(Table3[[#This Row],[Stage]]="Closed",0,IF(IFERROR(
  IF(
    COUNTIF(A$2:A$1997, A800) &gt; 1,
    MIN(IF(A$2:A$1997=A800, IF(B$2:B$1997&gt;B800, B$2:B$1997))) - B800,
    TODAY() - Table3[[#This Row],[Date of Update]]
  ),
  TODAY()-Table3[[#This Row],[Date of Update]]
)&lt;=0,
TODAY()-Table3[[#This Row],[Date of Update]],
IFERROR(
  IF(
    COUNTIF(A$2:A$1997, A800) &gt; 1,
    MIN(IF(A$2:A$1997=A800, IF(B$2:B$1997&gt;B800, B$2:B$1997))) - B800,
    TODAY() - Table3[[#This Row],[Date of Update]]
  ),
  TODAY()-Table3[[#This Row],[Date of Update]]
)))</f>
        <v>5</v>
      </c>
      <c r="G800" s="7" t="str">
        <f>IF(Table3[[#This Row],[Stage]]="Closed",Table3[[#This Row],[Date of Update]]-(_xlfn.MINIFS(Table3[Date of Update],Table3[Ref], Table3[[#This Row],[Ref]])),"")</f>
        <v/>
      </c>
    </row>
    <row r="801" spans="1:7" x14ac:dyDescent="0.25">
      <c r="A801" s="4" t="s">
        <v>551</v>
      </c>
      <c r="B801" s="5">
        <v>45352</v>
      </c>
      <c r="C801" s="6" t="s">
        <v>17</v>
      </c>
      <c r="D801" s="6" t="s">
        <v>9</v>
      </c>
      <c r="E801" s="6" t="s">
        <v>80</v>
      </c>
      <c r="F801" s="6" cm="1">
        <f t="array" aca="1" ref="F801" ca="1">IF(Table3[[#This Row],[Stage]]="Closed",0,IF(IFERROR(
  IF(
    COUNTIF(A$2:A$1997, A801) &gt; 1,
    MIN(IF(A$2:A$1997=A801, IF(B$2:B$1997&gt;B801, B$2:B$1997))) - B801,
    TODAY() - Table3[[#This Row],[Date of Update]]
  ),
  TODAY()-Table3[[#This Row],[Date of Update]]
)&lt;=0,
TODAY()-Table3[[#This Row],[Date of Update]],
IFERROR(
  IF(
    COUNTIF(A$2:A$1997, A801) &gt; 1,
    MIN(IF(A$2:A$1997=A801, IF(B$2:B$1997&gt;B801, B$2:B$1997))) - B801,
    TODAY() - Table3[[#This Row],[Date of Update]]
  ),
  TODAY()-Table3[[#This Row],[Date of Update]]
)))</f>
        <v>0</v>
      </c>
      <c r="G801" s="7">
        <f>IF(Table3[[#This Row],[Stage]]="Closed",Table3[[#This Row],[Date of Update]]-(_xlfn.MINIFS(Table3[Date of Update],Table3[Ref], Table3[[#This Row],[Ref]])),"")</f>
        <v>35</v>
      </c>
    </row>
    <row r="802" spans="1:7" x14ac:dyDescent="0.25">
      <c r="A802" s="4" t="s">
        <v>584</v>
      </c>
      <c r="B802" s="5">
        <v>45352</v>
      </c>
      <c r="C802" s="6" t="s">
        <v>17</v>
      </c>
      <c r="D802" s="6" t="s">
        <v>9</v>
      </c>
      <c r="E802" s="6" t="s">
        <v>80</v>
      </c>
      <c r="F802" s="6" cm="1">
        <f t="array" aca="1" ref="F802" ca="1">IF(Table3[[#This Row],[Stage]]="Closed",0,IF(IFERROR(
  IF(
    COUNTIF(A$2:A$1997, A802) &gt; 1,
    MIN(IF(A$2:A$1997=A802, IF(B$2:B$1997&gt;B802, B$2:B$1997))) - B802,
    TODAY() - Table3[[#This Row],[Date of Update]]
  ),
  TODAY()-Table3[[#This Row],[Date of Update]]
)&lt;=0,
TODAY()-Table3[[#This Row],[Date of Update]],
IFERROR(
  IF(
    COUNTIF(A$2:A$1997, A802) &gt; 1,
    MIN(IF(A$2:A$1997=A802, IF(B$2:B$1997&gt;B802, B$2:B$1997))) - B802,
    TODAY() - Table3[[#This Row],[Date of Update]]
  ),
  TODAY()-Table3[[#This Row],[Date of Update]]
)))</f>
        <v>0</v>
      </c>
      <c r="G802" s="7">
        <f>IF(Table3[[#This Row],[Stage]]="Closed",Table3[[#This Row],[Date of Update]]-(_xlfn.MINIFS(Table3[Date of Update],Table3[Ref], Table3[[#This Row],[Ref]])),"")</f>
        <v>3</v>
      </c>
    </row>
    <row r="803" spans="1:7" x14ac:dyDescent="0.25">
      <c r="A803" s="4" t="s">
        <v>561</v>
      </c>
      <c r="B803" s="5">
        <v>45355</v>
      </c>
      <c r="C803" s="6" t="s">
        <v>17</v>
      </c>
      <c r="D803" s="6" t="s">
        <v>9</v>
      </c>
      <c r="E803" s="6" t="s">
        <v>80</v>
      </c>
      <c r="F803" s="6" cm="1">
        <f t="array" aca="1" ref="F803" ca="1">IF(Table3[[#This Row],[Stage]]="Closed",0,IF(IFERROR(
  IF(
    COUNTIF(A$2:A$1997, A803) &gt; 1,
    MIN(IF(A$2:A$1997=A803, IF(B$2:B$1997&gt;B803, B$2:B$1997))) - B803,
    TODAY() - Table3[[#This Row],[Date of Update]]
  ),
  TODAY()-Table3[[#This Row],[Date of Update]]
)&lt;=0,
TODAY()-Table3[[#This Row],[Date of Update]],
IFERROR(
  IF(
    COUNTIF(A$2:A$1997, A803) &gt; 1,
    MIN(IF(A$2:A$1997=A803, IF(B$2:B$1997&gt;B803, B$2:B$1997))) - B803,
    TODAY() - Table3[[#This Row],[Date of Update]]
  ),
  TODAY()-Table3[[#This Row],[Date of Update]]
)))</f>
        <v>0</v>
      </c>
      <c r="G803" s="7">
        <f>IF(Table3[[#This Row],[Stage]]="Closed",Table3[[#This Row],[Date of Update]]-(_xlfn.MINIFS(Table3[Date of Update],Table3[Ref], Table3[[#This Row],[Ref]])),"")</f>
        <v>25</v>
      </c>
    </row>
    <row r="804" spans="1:7" x14ac:dyDescent="0.25">
      <c r="A804" s="4" t="s">
        <v>530</v>
      </c>
      <c r="B804" s="5">
        <v>45355</v>
      </c>
      <c r="C804" s="6" t="s">
        <v>17</v>
      </c>
      <c r="D804" s="6" t="s">
        <v>9</v>
      </c>
      <c r="E804" s="6" t="s">
        <v>256</v>
      </c>
      <c r="F804" s="6" cm="1">
        <f t="array" aca="1" ref="F804" ca="1">IF(Table3[[#This Row],[Stage]]="Closed",0,IF(IFERROR(
  IF(
    COUNTIF(A$2:A$1997, A804) &gt; 1,
    MIN(IF(A$2:A$1997=A804, IF(B$2:B$1997&gt;B804, B$2:B$1997))) - B804,
    TODAY() - Table3[[#This Row],[Date of Update]]
  ),
  TODAY()-Table3[[#This Row],[Date of Update]]
)&lt;=0,
TODAY()-Table3[[#This Row],[Date of Update]],
IFERROR(
  IF(
    COUNTIF(A$2:A$1997, A804) &gt; 1,
    MIN(IF(A$2:A$1997=A804, IF(B$2:B$1997&gt;B804, B$2:B$1997))) - B804,
    TODAY() - Table3[[#This Row],[Date of Update]]
  ),
  TODAY()-Table3[[#This Row],[Date of Update]]
)))</f>
        <v>0</v>
      </c>
      <c r="G804" s="7">
        <f>IF(Table3[[#This Row],[Stage]]="Closed",Table3[[#This Row],[Date of Update]]-(_xlfn.MINIFS(Table3[Date of Update],Table3[Ref], Table3[[#This Row],[Ref]])),"")</f>
        <v>102</v>
      </c>
    </row>
    <row r="805" spans="1:7" x14ac:dyDescent="0.25">
      <c r="A805" s="4" t="s">
        <v>592</v>
      </c>
      <c r="B805" s="5">
        <v>45355</v>
      </c>
      <c r="C805" s="6" t="s">
        <v>8</v>
      </c>
      <c r="D805" s="6" t="s">
        <v>9</v>
      </c>
      <c r="E805" s="6" t="s">
        <v>593</v>
      </c>
      <c r="F805" s="6" cm="1">
        <f t="array" aca="1" ref="F805" ca="1">IF(Table3[[#This Row],[Stage]]="Closed",0,IF(IFERROR(
  IF(
    COUNTIF(A$2:A$1997, A805) &gt; 1,
    MIN(IF(A$2:A$1997=A805, IF(B$2:B$1997&gt;B805, B$2:B$1997))) - B805,
    TODAY() - Table3[[#This Row],[Date of Update]]
  ),
  TODAY()-Table3[[#This Row],[Date of Update]]
)&lt;=0,
TODAY()-Table3[[#This Row],[Date of Update]],
IFERROR(
  IF(
    COUNTIF(A$2:A$1997, A805) &gt; 1,
    MIN(IF(A$2:A$1997=A805, IF(B$2:B$1997&gt;B805, B$2:B$1997))) - B805,
    TODAY() - Table3[[#This Row],[Date of Update]]
  ),
  TODAY()-Table3[[#This Row],[Date of Update]]
)))</f>
        <v>1</v>
      </c>
      <c r="G805" s="7" t="str">
        <f>IF(Table3[[#This Row],[Stage]]="Closed",Table3[[#This Row],[Date of Update]]-(_xlfn.MINIFS(Table3[Date of Update],Table3[Ref], Table3[[#This Row],[Ref]])),"")</f>
        <v/>
      </c>
    </row>
    <row r="806" spans="1:7" x14ac:dyDescent="0.25">
      <c r="A806" s="4" t="s">
        <v>592</v>
      </c>
      <c r="B806" s="5">
        <v>45356</v>
      </c>
      <c r="C806" s="6" t="s">
        <v>8</v>
      </c>
      <c r="D806" s="6" t="s">
        <v>549</v>
      </c>
      <c r="E806" s="6" t="s">
        <v>593</v>
      </c>
      <c r="F806" s="6" cm="1">
        <f t="array" aca="1" ref="F806" ca="1">IF(Table3[[#This Row],[Stage]]="Closed",0,IF(IFERROR(
  IF(
    COUNTIF(A$2:A$1997, A806) &gt; 1,
    MIN(IF(A$2:A$1997=A806, IF(B$2:B$1997&gt;B806, B$2:B$1997))) - B806,
    TODAY() - Table3[[#This Row],[Date of Update]]
  ),
  TODAY()-Table3[[#This Row],[Date of Update]]
)&lt;=0,
TODAY()-Table3[[#This Row],[Date of Update]],
IFERROR(
  IF(
    COUNTIF(A$2:A$1997, A806) &gt; 1,
    MIN(IF(A$2:A$1997=A806, IF(B$2:B$1997&gt;B806, B$2:B$1997))) - B806,
    TODAY() - Table3[[#This Row],[Date of Update]]
  ),
  TODAY()-Table3[[#This Row],[Date of Update]]
)))</f>
        <v>74</v>
      </c>
      <c r="G806" s="7" t="str">
        <f>IF(Table3[[#This Row],[Stage]]="Closed",Table3[[#This Row],[Date of Update]]-(_xlfn.MINIFS(Table3[Date of Update],Table3[Ref], Table3[[#This Row],[Ref]])),"")</f>
        <v/>
      </c>
    </row>
    <row r="807" spans="1:7" x14ac:dyDescent="0.25">
      <c r="A807" s="4" t="s">
        <v>545</v>
      </c>
      <c r="B807" s="5">
        <v>45357</v>
      </c>
      <c r="C807" s="6" t="s">
        <v>580</v>
      </c>
      <c r="D807" s="6" t="s">
        <v>9</v>
      </c>
      <c r="E807" s="6" t="s">
        <v>594</v>
      </c>
      <c r="F807" s="6" cm="1">
        <f t="array" aca="1" ref="F807" ca="1">IF(Table3[[#This Row],[Stage]]="Closed",0,IF(IFERROR(
  IF(
    COUNTIF(A$2:A$1997, A807) &gt; 1,
    MIN(IF(A$2:A$1997=A807, IF(B$2:B$1997&gt;B807, B$2:B$1997))) - B807,
    TODAY() - Table3[[#This Row],[Date of Update]]
  ),
  TODAY()-Table3[[#This Row],[Date of Update]]
)&lt;=0,
TODAY()-Table3[[#This Row],[Date of Update]],
IFERROR(
  IF(
    COUNTIF(A$2:A$1997, A807) &gt; 1,
    MIN(IF(A$2:A$1997=A807, IF(B$2:B$1997&gt;B807, B$2:B$1997))) - B807,
    TODAY() - Table3[[#This Row],[Date of Update]]
  ),
  TODAY()-Table3[[#This Row],[Date of Update]]
)))</f>
        <v>6</v>
      </c>
      <c r="G807" s="7" t="str">
        <f>IF(Table3[[#This Row],[Stage]]="Closed",Table3[[#This Row],[Date of Update]]-(_xlfn.MINIFS(Table3[Date of Update],Table3[Ref], Table3[[#This Row],[Ref]])),"")</f>
        <v/>
      </c>
    </row>
    <row r="808" spans="1:7" x14ac:dyDescent="0.25">
      <c r="A808" s="4" t="s">
        <v>595</v>
      </c>
      <c r="B808" s="5">
        <v>45357</v>
      </c>
      <c r="C808" s="6" t="s">
        <v>8</v>
      </c>
      <c r="D808" s="6" t="s">
        <v>9</v>
      </c>
      <c r="E808" s="6" t="s">
        <v>596</v>
      </c>
      <c r="F808" s="6" cm="1">
        <f t="array" aca="1" ref="F808" ca="1">IF(Table3[[#This Row],[Stage]]="Closed",0,IF(IFERROR(
  IF(
    COUNTIF(A$2:A$1997, A808) &gt; 1,
    MIN(IF(A$2:A$1997=A808, IF(B$2:B$1997&gt;B808, B$2:B$1997))) - B808,
    TODAY() - Table3[[#This Row],[Date of Update]]
  ),
  TODAY()-Table3[[#This Row],[Date of Update]]
)&lt;=0,
TODAY()-Table3[[#This Row],[Date of Update]],
IFERROR(
  IF(
    COUNTIF(A$2:A$1997, A808) &gt; 1,
    MIN(IF(A$2:A$1997=A808, IF(B$2:B$1997&gt;B808, B$2:B$1997))) - B808,
    TODAY() - Table3[[#This Row],[Date of Update]]
  ),
  TODAY()-Table3[[#This Row],[Date of Update]]
)))</f>
        <v>93</v>
      </c>
      <c r="G808" s="7" t="str">
        <f>IF(Table3[[#This Row],[Stage]]="Closed",Table3[[#This Row],[Date of Update]]-(_xlfn.MINIFS(Table3[Date of Update],Table3[Ref], Table3[[#This Row],[Ref]])),"")</f>
        <v/>
      </c>
    </row>
    <row r="809" spans="1:7" x14ac:dyDescent="0.25">
      <c r="A809" s="4" t="s">
        <v>597</v>
      </c>
      <c r="B809" s="5">
        <v>45359</v>
      </c>
      <c r="C809" s="6" t="s">
        <v>8</v>
      </c>
      <c r="D809" s="6" t="s">
        <v>9</v>
      </c>
      <c r="E809" s="6" t="s">
        <v>453</v>
      </c>
      <c r="F809" s="6" cm="1">
        <f t="array" aca="1" ref="F809" ca="1">IF(Table3[[#This Row],[Stage]]="Closed",0,IF(IFERROR(
  IF(
    COUNTIF(A$2:A$1997, A809) &gt; 1,
    MIN(IF(A$2:A$1997=A809, IF(B$2:B$1997&gt;B809, B$2:B$1997))) - B809,
    TODAY() - Table3[[#This Row],[Date of Update]]
  ),
  TODAY()-Table3[[#This Row],[Date of Update]]
)&lt;=0,
TODAY()-Table3[[#This Row],[Date of Update]],
IFERROR(
  IF(
    COUNTIF(A$2:A$1997, A809) &gt; 1,
    MIN(IF(A$2:A$1997=A809, IF(B$2:B$1997&gt;B809, B$2:B$1997))) - B809,
    TODAY() - Table3[[#This Row],[Date of Update]]
  ),
  TODAY()-Table3[[#This Row],[Date of Update]]
)))</f>
        <v>27</v>
      </c>
      <c r="G809" s="7" t="str">
        <f>IF(Table3[[#This Row],[Stage]]="Closed",Table3[[#This Row],[Date of Update]]-(_xlfn.MINIFS(Table3[Date of Update],Table3[Ref], Table3[[#This Row],[Ref]])),"")</f>
        <v/>
      </c>
    </row>
    <row r="810" spans="1:7" x14ac:dyDescent="0.25">
      <c r="A810" s="4" t="s">
        <v>582</v>
      </c>
      <c r="B810" s="5">
        <v>45359</v>
      </c>
      <c r="C810" s="6" t="s">
        <v>17</v>
      </c>
      <c r="D810" s="6" t="s">
        <v>9</v>
      </c>
      <c r="E810" s="6" t="s">
        <v>583</v>
      </c>
      <c r="F810" s="6" cm="1">
        <f t="array" aca="1" ref="F810" ca="1">IF(Table3[[#This Row],[Stage]]="Closed",0,IF(IFERROR(
  IF(
    COUNTIF(A$2:A$1997, A810) &gt; 1,
    MIN(IF(A$2:A$1997=A810, IF(B$2:B$1997&gt;B810, B$2:B$1997))) - B810,
    TODAY() - Table3[[#This Row],[Date of Update]]
  ),
  TODAY()-Table3[[#This Row],[Date of Update]]
)&lt;=0,
TODAY()-Table3[[#This Row],[Date of Update]],
IFERROR(
  IF(
    COUNTIF(A$2:A$1997, A810) &gt; 1,
    MIN(IF(A$2:A$1997=A810, IF(B$2:B$1997&gt;B810, B$2:B$1997))) - B810,
    TODAY() - Table3[[#This Row],[Date of Update]]
  ),
  TODAY()-Table3[[#This Row],[Date of Update]]
)))</f>
        <v>0</v>
      </c>
      <c r="G810" s="7">
        <f>IF(Table3[[#This Row],[Stage]]="Closed",Table3[[#This Row],[Date of Update]]-(_xlfn.MINIFS(Table3[Date of Update],Table3[Ref], Table3[[#This Row],[Ref]])),"")</f>
        <v>10</v>
      </c>
    </row>
    <row r="811" spans="1:7" x14ac:dyDescent="0.25">
      <c r="A811" s="4" t="s">
        <v>587</v>
      </c>
      <c r="B811" s="5">
        <v>45359</v>
      </c>
      <c r="C811" s="6" t="s">
        <v>17</v>
      </c>
      <c r="D811" s="6" t="s">
        <v>9</v>
      </c>
      <c r="E811" s="6" t="s">
        <v>256</v>
      </c>
      <c r="F811" s="6" cm="1">
        <f t="array" aca="1" ref="F811" ca="1">IF(Table3[[#This Row],[Stage]]="Closed",0,IF(IFERROR(
  IF(
    COUNTIF(A$2:A$1997, A811) &gt; 1,
    MIN(IF(A$2:A$1997=A811, IF(B$2:B$1997&gt;B811, B$2:B$1997))) - B811,
    TODAY() - Table3[[#This Row],[Date of Update]]
  ),
  TODAY()-Table3[[#This Row],[Date of Update]]
)&lt;=0,
TODAY()-Table3[[#This Row],[Date of Update]],
IFERROR(
  IF(
    COUNTIF(A$2:A$1997, A811) &gt; 1,
    MIN(IF(A$2:A$1997=A811, IF(B$2:B$1997&gt;B811, B$2:B$1997))) - B811,
    TODAY() - Table3[[#This Row],[Date of Update]]
  ),
  TODAY()-Table3[[#This Row],[Date of Update]]
)))</f>
        <v>0</v>
      </c>
      <c r="G811" s="7">
        <f>IF(Table3[[#This Row],[Stage]]="Closed",Table3[[#This Row],[Date of Update]]-(_xlfn.MINIFS(Table3[Date of Update],Table3[Ref], Table3[[#This Row],[Ref]])),"")</f>
        <v>10</v>
      </c>
    </row>
    <row r="812" spans="1:7" x14ac:dyDescent="0.25">
      <c r="A812" s="4" t="s">
        <v>598</v>
      </c>
      <c r="B812" s="5">
        <v>45359</v>
      </c>
      <c r="C812" s="6" t="s">
        <v>8</v>
      </c>
      <c r="D812" s="6" t="s">
        <v>9</v>
      </c>
      <c r="E812" s="6" t="s">
        <v>80</v>
      </c>
      <c r="F812" s="6" cm="1">
        <f t="array" aca="1" ref="F812" ca="1">IF(Table3[[#This Row],[Stage]]="Closed",0,IF(IFERROR(
  IF(
    COUNTIF(A$2:A$1997, A812) &gt; 1,
    MIN(IF(A$2:A$1997=A812, IF(B$2:B$1997&gt;B812, B$2:B$1997))) - B812,
    TODAY() - Table3[[#This Row],[Date of Update]]
  ),
  TODAY()-Table3[[#This Row],[Date of Update]]
)&lt;=0,
TODAY()-Table3[[#This Row],[Date of Update]],
IFERROR(
  IF(
    COUNTIF(A$2:A$1997, A812) &gt; 1,
    MIN(IF(A$2:A$1997=A812, IF(B$2:B$1997&gt;B812, B$2:B$1997))) - B812,
    TODAY() - Table3[[#This Row],[Date of Update]]
  ),
  TODAY()-Table3[[#This Row],[Date of Update]]
)))</f>
        <v>61</v>
      </c>
      <c r="G812" s="7" t="str">
        <f>IF(Table3[[#This Row],[Stage]]="Closed",Table3[[#This Row],[Date of Update]]-(_xlfn.MINIFS(Table3[Date of Update],Table3[Ref], Table3[[#This Row],[Ref]])),"")</f>
        <v/>
      </c>
    </row>
    <row r="813" spans="1:7" x14ac:dyDescent="0.25">
      <c r="A813" s="4" t="s">
        <v>545</v>
      </c>
      <c r="B813" s="5">
        <v>45363</v>
      </c>
      <c r="C813" s="6" t="s">
        <v>599</v>
      </c>
      <c r="D813" s="6" t="s">
        <v>575</v>
      </c>
      <c r="E813" s="6" t="s">
        <v>600</v>
      </c>
      <c r="F813" s="6" cm="1">
        <f t="array" aca="1" ref="F813" ca="1">IF(Table3[[#This Row],[Stage]]="Closed",0,IF(IFERROR(
  IF(
    COUNTIF(A$2:A$1997, A813) &gt; 1,
    MIN(IF(A$2:A$1997=A813, IF(B$2:B$1997&gt;B813, B$2:B$1997))) - B813,
    TODAY() - Table3[[#This Row],[Date of Update]]
  ),
  TODAY()-Table3[[#This Row],[Date of Update]]
)&lt;=0,
TODAY()-Table3[[#This Row],[Date of Update]],
IFERROR(
  IF(
    COUNTIF(A$2:A$1997, A813) &gt; 1,
    MIN(IF(A$2:A$1997=A813, IF(B$2:B$1997&gt;B813, B$2:B$1997))) - B813,
    TODAY() - Table3[[#This Row],[Date of Update]]
  ),
  TODAY()-Table3[[#This Row],[Date of Update]]
)))</f>
        <v>603</v>
      </c>
      <c r="G813" s="7" t="str">
        <f>IF(Table3[[#This Row],[Stage]]="Closed",Table3[[#This Row],[Date of Update]]-(_xlfn.MINIFS(Table3[Date of Update],Table3[Ref], Table3[[#This Row],[Ref]])),"")</f>
        <v/>
      </c>
    </row>
    <row r="814" spans="1:7" x14ac:dyDescent="0.25">
      <c r="A814" s="4" t="s">
        <v>543</v>
      </c>
      <c r="B814" s="5">
        <v>45364</v>
      </c>
      <c r="C814" s="6" t="s">
        <v>17</v>
      </c>
      <c r="D814" s="6" t="s">
        <v>9</v>
      </c>
      <c r="E814" s="6" t="s">
        <v>80</v>
      </c>
      <c r="F814" s="6" cm="1">
        <f t="array" aca="1" ref="F814" ca="1">IF(Table3[[#This Row],[Stage]]="Closed",0,IF(IFERROR(
  IF(
    COUNTIF(A$2:A$1997, A814) &gt; 1,
    MIN(IF(A$2:A$1997=A814, IF(B$2:B$1997&gt;B814, B$2:B$1997))) - B814,
    TODAY() - Table3[[#This Row],[Date of Update]]
  ),
  TODAY()-Table3[[#This Row],[Date of Update]]
)&lt;=0,
TODAY()-Table3[[#This Row],[Date of Update]],
IFERROR(
  IF(
    COUNTIF(A$2:A$1997, A814) &gt; 1,
    MIN(IF(A$2:A$1997=A814, IF(B$2:B$1997&gt;B814, B$2:B$1997))) - B814,
    TODAY() - Table3[[#This Row],[Date of Update]]
  ),
  TODAY()-Table3[[#This Row],[Date of Update]]
)))</f>
        <v>0</v>
      </c>
      <c r="G814" s="7">
        <f>IF(Table3[[#This Row],[Stage]]="Closed",Table3[[#This Row],[Date of Update]]-(_xlfn.MINIFS(Table3[Date of Update],Table3[Ref], Table3[[#This Row],[Ref]])),"")</f>
        <v>63</v>
      </c>
    </row>
    <row r="815" spans="1:7" x14ac:dyDescent="0.25">
      <c r="A815" s="4" t="s">
        <v>601</v>
      </c>
      <c r="B815" s="5">
        <v>45365</v>
      </c>
      <c r="C815" s="6" t="s">
        <v>8</v>
      </c>
      <c r="D815" s="6" t="s">
        <v>9</v>
      </c>
      <c r="E815" s="6" t="s">
        <v>602</v>
      </c>
      <c r="F815" s="6" cm="1">
        <f t="array" aca="1" ref="F815" ca="1">IF(Table3[[#This Row],[Stage]]="Closed",0,IF(IFERROR(
  IF(
    COUNTIF(A$2:A$1997, A815) &gt; 1,
    MIN(IF(A$2:A$1997=A815, IF(B$2:B$1997&gt;B815, B$2:B$1997))) - B815,
    TODAY() - Table3[[#This Row],[Date of Update]]
  ),
  TODAY()-Table3[[#This Row],[Date of Update]]
)&lt;=0,
TODAY()-Table3[[#This Row],[Date of Update]],
IFERROR(
  IF(
    COUNTIF(A$2:A$1997, A815) &gt; 1,
    MIN(IF(A$2:A$1997=A815, IF(B$2:B$1997&gt;B815, B$2:B$1997))) - B815,
    TODAY() - Table3[[#This Row],[Date of Update]]
  ),
  TODAY()-Table3[[#This Row],[Date of Update]]
)))</f>
        <v>4</v>
      </c>
      <c r="G815" s="7" t="str">
        <f>IF(Table3[[#This Row],[Stage]]="Closed",Table3[[#This Row],[Date of Update]]-(_xlfn.MINIFS(Table3[Date of Update],Table3[Ref], Table3[[#This Row],[Ref]])),"")</f>
        <v/>
      </c>
    </row>
    <row r="816" spans="1:7" x14ac:dyDescent="0.25">
      <c r="A816" s="4" t="s">
        <v>588</v>
      </c>
      <c r="B816" s="5">
        <v>45369</v>
      </c>
      <c r="C816" s="6" t="s">
        <v>17</v>
      </c>
      <c r="D816" s="6" t="s">
        <v>9</v>
      </c>
      <c r="E816" s="6" t="s">
        <v>589</v>
      </c>
      <c r="F816" s="6" cm="1">
        <f t="array" aca="1" ref="F816" ca="1">IF(Table3[[#This Row],[Stage]]="Closed",0,IF(IFERROR(
  IF(
    COUNTIF(A$2:A$1997, A816) &gt; 1,
    MIN(IF(A$2:A$1997=A816, IF(B$2:B$1997&gt;B816, B$2:B$1997))) - B816,
    TODAY() - Table3[[#This Row],[Date of Update]]
  ),
  TODAY()-Table3[[#This Row],[Date of Update]]
)&lt;=0,
TODAY()-Table3[[#This Row],[Date of Update]],
IFERROR(
  IF(
    COUNTIF(A$2:A$1997, A816) &gt; 1,
    MIN(IF(A$2:A$1997=A816, IF(B$2:B$1997&gt;B816, B$2:B$1997))) - B816,
    TODAY() - Table3[[#This Row],[Date of Update]]
  ),
  TODAY()-Table3[[#This Row],[Date of Update]]
)))</f>
        <v>0</v>
      </c>
      <c r="G816" s="7">
        <f>IF(Table3[[#This Row],[Stage]]="Closed",Table3[[#This Row],[Date of Update]]-(_xlfn.MINIFS(Table3[Date of Update],Table3[Ref], Table3[[#This Row],[Ref]])),"")</f>
        <v>19</v>
      </c>
    </row>
    <row r="817" spans="1:7" x14ac:dyDescent="0.25">
      <c r="A817" s="4" t="s">
        <v>603</v>
      </c>
      <c r="B817" s="5">
        <v>45369</v>
      </c>
      <c r="C817" s="6" t="s">
        <v>8</v>
      </c>
      <c r="D817" s="6" t="s">
        <v>9</v>
      </c>
      <c r="E817" s="6" t="s">
        <v>604</v>
      </c>
      <c r="F817" s="6" cm="1">
        <f t="array" aca="1" ref="F817" ca="1">IF(Table3[[#This Row],[Stage]]="Closed",0,IF(IFERROR(
  IF(
    COUNTIF(A$2:A$1997, A817) &gt; 1,
    MIN(IF(A$2:A$1997=A817, IF(B$2:B$1997&gt;B817, B$2:B$1997))) - B817,
    TODAY() - Table3[[#This Row],[Date of Update]]
  ),
  TODAY()-Table3[[#This Row],[Date of Update]]
)&lt;=0,
TODAY()-Table3[[#This Row],[Date of Update]],
IFERROR(
  IF(
    COUNTIF(A$2:A$1997, A817) &gt; 1,
    MIN(IF(A$2:A$1997=A817, IF(B$2:B$1997&gt;B817, B$2:B$1997))) - B817,
    TODAY() - Table3[[#This Row],[Date of Update]]
  ),
  TODAY()-Table3[[#This Row],[Date of Update]]
)))</f>
        <v>52</v>
      </c>
      <c r="G817" s="7" t="str">
        <f>IF(Table3[[#This Row],[Stage]]="Closed",Table3[[#This Row],[Date of Update]]-(_xlfn.MINIFS(Table3[Date of Update],Table3[Ref], Table3[[#This Row],[Ref]])),"")</f>
        <v/>
      </c>
    </row>
    <row r="818" spans="1:7" x14ac:dyDescent="0.25">
      <c r="A818" s="4" t="s">
        <v>601</v>
      </c>
      <c r="B818" s="5">
        <v>45369</v>
      </c>
      <c r="C818" s="6" t="s">
        <v>564</v>
      </c>
      <c r="D818" s="6" t="s">
        <v>549</v>
      </c>
      <c r="E818" s="6" t="s">
        <v>605</v>
      </c>
      <c r="F818" s="6" cm="1">
        <f t="array" aca="1" ref="F818" ca="1">IF(Table3[[#This Row],[Stage]]="Closed",0,IF(IFERROR(
  IF(
    COUNTIF(A$2:A$1997, A818) &gt; 1,
    MIN(IF(A$2:A$1997=A818, IF(B$2:B$1997&gt;B818, B$2:B$1997))) - B818,
    TODAY() - Table3[[#This Row],[Date of Update]]
  ),
  TODAY()-Table3[[#This Row],[Date of Update]]
)&lt;=0,
TODAY()-Table3[[#This Row],[Date of Update]],
IFERROR(
  IF(
    COUNTIF(A$2:A$1997, A818) &gt; 1,
    MIN(IF(A$2:A$1997=A818, IF(B$2:B$1997&gt;B818, B$2:B$1997))) - B818,
    TODAY() - Table3[[#This Row],[Date of Update]]
  ),
  TODAY()-Table3[[#This Row],[Date of Update]]
)))</f>
        <v>597</v>
      </c>
      <c r="G818" s="7" t="str">
        <f>IF(Table3[[#This Row],[Stage]]="Closed",Table3[[#This Row],[Date of Update]]-(_xlfn.MINIFS(Table3[Date of Update],Table3[Ref], Table3[[#This Row],[Ref]])),"")</f>
        <v/>
      </c>
    </row>
    <row r="819" spans="1:7" x14ac:dyDescent="0.25">
      <c r="A819" s="4" t="s">
        <v>606</v>
      </c>
      <c r="B819" s="5">
        <v>45370</v>
      </c>
      <c r="C819" s="6" t="s">
        <v>8</v>
      </c>
      <c r="D819" s="6" t="s">
        <v>9</v>
      </c>
      <c r="E819" s="6" t="s">
        <v>607</v>
      </c>
      <c r="F819" s="6" cm="1">
        <f t="array" aca="1" ref="F819" ca="1">IF(Table3[[#This Row],[Stage]]="Closed",0,IF(IFERROR(
  IF(
    COUNTIF(A$2:A$1997, A819) &gt; 1,
    MIN(IF(A$2:A$1997=A819, IF(B$2:B$1997&gt;B819, B$2:B$1997))) - B819,
    TODAY() - Table3[[#This Row],[Date of Update]]
  ),
  TODAY()-Table3[[#This Row],[Date of Update]]
)&lt;=0,
TODAY()-Table3[[#This Row],[Date of Update]],
IFERROR(
  IF(
    COUNTIF(A$2:A$1997, A819) &gt; 1,
    MIN(IF(A$2:A$1997=A819, IF(B$2:B$1997&gt;B819, B$2:B$1997))) - B819,
    TODAY() - Table3[[#This Row],[Date of Update]]
  ),
  TODAY()-Table3[[#This Row],[Date of Update]]
)))</f>
        <v>44</v>
      </c>
      <c r="G819" s="7" t="str">
        <f>IF(Table3[[#This Row],[Stage]]="Closed",Table3[[#This Row],[Date of Update]]-(_xlfn.MINIFS(Table3[Date of Update],Table3[Ref], Table3[[#This Row],[Ref]])),"")</f>
        <v/>
      </c>
    </row>
    <row r="820" spans="1:7" x14ac:dyDescent="0.25">
      <c r="A820" s="4" t="s">
        <v>608</v>
      </c>
      <c r="B820" s="5">
        <v>45370</v>
      </c>
      <c r="C820" s="6" t="s">
        <v>8</v>
      </c>
      <c r="D820" s="6" t="s">
        <v>9</v>
      </c>
      <c r="E820" s="6" t="s">
        <v>607</v>
      </c>
      <c r="F820" s="6" cm="1">
        <f t="array" aca="1" ref="F820" ca="1">IF(Table3[[#This Row],[Stage]]="Closed",0,IF(IFERROR(
  IF(
    COUNTIF(A$2:A$1997, A820) &gt; 1,
    MIN(IF(A$2:A$1997=A820, IF(B$2:B$1997&gt;B820, B$2:B$1997))) - B820,
    TODAY() - Table3[[#This Row],[Date of Update]]
  ),
  TODAY()-Table3[[#This Row],[Date of Update]]
)&lt;=0,
TODAY()-Table3[[#This Row],[Date of Update]],
IFERROR(
  IF(
    COUNTIF(A$2:A$1997, A820) &gt; 1,
    MIN(IF(A$2:A$1997=A820, IF(B$2:B$1997&gt;B820, B$2:B$1997))) - B820,
    TODAY() - Table3[[#This Row],[Date of Update]]
  ),
  TODAY()-Table3[[#This Row],[Date of Update]]
)))</f>
        <v>44</v>
      </c>
      <c r="G820" s="7" t="str">
        <f>IF(Table3[[#This Row],[Stage]]="Closed",Table3[[#This Row],[Date of Update]]-(_xlfn.MINIFS(Table3[Date of Update],Table3[Ref], Table3[[#This Row],[Ref]])),"")</f>
        <v/>
      </c>
    </row>
    <row r="821" spans="1:7" x14ac:dyDescent="0.25">
      <c r="A821" s="4" t="s">
        <v>609</v>
      </c>
      <c r="B821" s="5">
        <v>45370</v>
      </c>
      <c r="C821" s="6" t="s">
        <v>8</v>
      </c>
      <c r="D821" s="6" t="s">
        <v>9</v>
      </c>
      <c r="E821" s="6" t="s">
        <v>607</v>
      </c>
      <c r="F821" s="6" cm="1">
        <f t="array" aca="1" ref="F821" ca="1">IF(Table3[[#This Row],[Stage]]="Closed",0,IF(IFERROR(
  IF(
    COUNTIF(A$2:A$1997, A821) &gt; 1,
    MIN(IF(A$2:A$1997=A821, IF(B$2:B$1997&gt;B821, B$2:B$1997))) - B821,
    TODAY() - Table3[[#This Row],[Date of Update]]
  ),
  TODAY()-Table3[[#This Row],[Date of Update]]
)&lt;=0,
TODAY()-Table3[[#This Row],[Date of Update]],
IFERROR(
  IF(
    COUNTIF(A$2:A$1997, A821) &gt; 1,
    MIN(IF(A$2:A$1997=A821, IF(B$2:B$1997&gt;B821, B$2:B$1997))) - B821,
    TODAY() - Table3[[#This Row],[Date of Update]]
  ),
  TODAY()-Table3[[#This Row],[Date of Update]]
)))</f>
        <v>44</v>
      </c>
      <c r="G821" s="7" t="str">
        <f>IF(Table3[[#This Row],[Stage]]="Closed",Table3[[#This Row],[Date of Update]]-(_xlfn.MINIFS(Table3[Date of Update],Table3[Ref], Table3[[#This Row],[Ref]])),"")</f>
        <v/>
      </c>
    </row>
    <row r="822" spans="1:7" x14ac:dyDescent="0.25">
      <c r="A822" s="4" t="s">
        <v>610</v>
      </c>
      <c r="B822" s="5">
        <v>45370</v>
      </c>
      <c r="C822" s="6" t="s">
        <v>8</v>
      </c>
      <c r="D822" s="6" t="s">
        <v>9</v>
      </c>
      <c r="E822" s="6" t="s">
        <v>607</v>
      </c>
      <c r="F822" s="6" cm="1">
        <f t="array" aca="1" ref="F822" ca="1">IF(Table3[[#This Row],[Stage]]="Closed",0,IF(IFERROR(
  IF(
    COUNTIF(A$2:A$1997, A822) &gt; 1,
    MIN(IF(A$2:A$1997=A822, IF(B$2:B$1997&gt;B822, B$2:B$1997))) - B822,
    TODAY() - Table3[[#This Row],[Date of Update]]
  ),
  TODAY()-Table3[[#This Row],[Date of Update]]
)&lt;=0,
TODAY()-Table3[[#This Row],[Date of Update]],
IFERROR(
  IF(
    COUNTIF(A$2:A$1997, A822) &gt; 1,
    MIN(IF(A$2:A$1997=A822, IF(B$2:B$1997&gt;B822, B$2:B$1997))) - B822,
    TODAY() - Table3[[#This Row],[Date of Update]]
  ),
  TODAY()-Table3[[#This Row],[Date of Update]]
)))</f>
        <v>44</v>
      </c>
      <c r="G822" s="7" t="str">
        <f>IF(Table3[[#This Row],[Stage]]="Closed",Table3[[#This Row],[Date of Update]]-(_xlfn.MINIFS(Table3[Date of Update],Table3[Ref], Table3[[#This Row],[Ref]])),"")</f>
        <v/>
      </c>
    </row>
    <row r="823" spans="1:7" x14ac:dyDescent="0.25">
      <c r="A823" s="4" t="s">
        <v>566</v>
      </c>
      <c r="B823" s="5">
        <v>45373</v>
      </c>
      <c r="C823" s="6" t="s">
        <v>17</v>
      </c>
      <c r="D823" s="6" t="s">
        <v>9</v>
      </c>
      <c r="E823" s="6" t="s">
        <v>567</v>
      </c>
      <c r="F823" s="6" cm="1">
        <f t="array" aca="1" ref="F823" ca="1">IF(Table3[[#This Row],[Stage]]="Closed",0,IF(IFERROR(
  IF(
    COUNTIF(A$2:A$1997, A823) &gt; 1,
    MIN(IF(A$2:A$1997=A823, IF(B$2:B$1997&gt;B823, B$2:B$1997))) - B823,
    TODAY() - Table3[[#This Row],[Date of Update]]
  ),
  TODAY()-Table3[[#This Row],[Date of Update]]
)&lt;=0,
TODAY()-Table3[[#This Row],[Date of Update]],
IFERROR(
  IF(
    COUNTIF(A$2:A$1997, A823) &gt; 1,
    MIN(IF(A$2:A$1997=A823, IF(B$2:B$1997&gt;B823, B$2:B$1997))) - B823,
    TODAY() - Table3[[#This Row],[Date of Update]]
  ),
  TODAY()-Table3[[#This Row],[Date of Update]]
)))</f>
        <v>0</v>
      </c>
      <c r="G823" s="7">
        <f>IF(Table3[[#This Row],[Stage]]="Closed",Table3[[#This Row],[Date of Update]]-(_xlfn.MINIFS(Table3[Date of Update],Table3[Ref], Table3[[#This Row],[Ref]])),"")</f>
        <v>35</v>
      </c>
    </row>
    <row r="824" spans="1:7" x14ac:dyDescent="0.25">
      <c r="A824" s="4" t="s">
        <v>611</v>
      </c>
      <c r="B824" s="5">
        <v>45379</v>
      </c>
      <c r="C824" s="6" t="s">
        <v>8</v>
      </c>
      <c r="D824" s="6" t="s">
        <v>9</v>
      </c>
      <c r="E824" s="6" t="s">
        <v>612</v>
      </c>
      <c r="F824" s="6" cm="1">
        <f t="array" aca="1" ref="F824" ca="1">IF(Table3[[#This Row],[Stage]]="Closed",0,IF(IFERROR(
  IF(
    COUNTIF(A$2:A$1997, A824) &gt; 1,
    MIN(IF(A$2:A$1997=A824, IF(B$2:B$1997&gt;B824, B$2:B$1997))) - B824,
    TODAY() - Table3[[#This Row],[Date of Update]]
  ),
  TODAY()-Table3[[#This Row],[Date of Update]]
)&lt;=0,
TODAY()-Table3[[#This Row],[Date of Update]],
IFERROR(
  IF(
    COUNTIF(A$2:A$1997, A824) &gt; 1,
    MIN(IF(A$2:A$1997=A824, IF(B$2:B$1997&gt;B824, B$2:B$1997))) - B824,
    TODAY() - Table3[[#This Row],[Date of Update]]
  ),
  TODAY()-Table3[[#This Row],[Date of Update]]
)))</f>
        <v>8</v>
      </c>
      <c r="G824" s="7" t="str">
        <f>IF(Table3[[#This Row],[Stage]]="Closed",Table3[[#This Row],[Date of Update]]-(_xlfn.MINIFS(Table3[Date of Update],Table3[Ref], Table3[[#This Row],[Ref]])),"")</f>
        <v/>
      </c>
    </row>
    <row r="825" spans="1:7" x14ac:dyDescent="0.25">
      <c r="A825" s="4" t="s">
        <v>597</v>
      </c>
      <c r="B825" s="5">
        <v>45386</v>
      </c>
      <c r="C825" s="6" t="s">
        <v>17</v>
      </c>
      <c r="D825" s="6" t="s">
        <v>9</v>
      </c>
      <c r="E825" s="6" t="s">
        <v>453</v>
      </c>
      <c r="F825" s="6" cm="1">
        <f t="array" aca="1" ref="F825" ca="1">IF(Table3[[#This Row],[Stage]]="Closed",0,IF(IFERROR(
  IF(
    COUNTIF(A$2:A$1997, A825) &gt; 1,
    MIN(IF(A$2:A$1997=A825, IF(B$2:B$1997&gt;B825, B$2:B$1997))) - B825,
    TODAY() - Table3[[#This Row],[Date of Update]]
  ),
  TODAY()-Table3[[#This Row],[Date of Update]]
)&lt;=0,
TODAY()-Table3[[#This Row],[Date of Update]],
IFERROR(
  IF(
    COUNTIF(A$2:A$1997, A825) &gt; 1,
    MIN(IF(A$2:A$1997=A825, IF(B$2:B$1997&gt;B825, B$2:B$1997))) - B825,
    TODAY() - Table3[[#This Row],[Date of Update]]
  ),
  TODAY()-Table3[[#This Row],[Date of Update]]
)))</f>
        <v>0</v>
      </c>
      <c r="G825" s="7">
        <f>IF(Table3[[#This Row],[Stage]]="Closed",Table3[[#This Row],[Date of Update]]-(_xlfn.MINIFS(Table3[Date of Update],Table3[Ref], Table3[[#This Row],[Ref]])),"")</f>
        <v>27</v>
      </c>
    </row>
    <row r="826" spans="1:7" x14ac:dyDescent="0.25">
      <c r="A826" s="4" t="s">
        <v>611</v>
      </c>
      <c r="B826" s="5">
        <v>45387</v>
      </c>
      <c r="C826" s="6" t="s">
        <v>17</v>
      </c>
      <c r="D826" s="6" t="s">
        <v>9</v>
      </c>
      <c r="E826" s="6" t="s">
        <v>612</v>
      </c>
      <c r="F826" s="6" cm="1">
        <f t="array" aca="1" ref="F826" ca="1">IF(Table3[[#This Row],[Stage]]="Closed",0,IF(IFERROR(
  IF(
    COUNTIF(A$2:A$1997, A826) &gt; 1,
    MIN(IF(A$2:A$1997=A826, IF(B$2:B$1997&gt;B826, B$2:B$1997))) - B826,
    TODAY() - Table3[[#This Row],[Date of Update]]
  ),
  TODAY()-Table3[[#This Row],[Date of Update]]
)&lt;=0,
TODAY()-Table3[[#This Row],[Date of Update]],
IFERROR(
  IF(
    COUNTIF(A$2:A$1997, A826) &gt; 1,
    MIN(IF(A$2:A$1997=A826, IF(B$2:B$1997&gt;B826, B$2:B$1997))) - B826,
    TODAY() - Table3[[#This Row],[Date of Update]]
  ),
  TODAY()-Table3[[#This Row],[Date of Update]]
)))</f>
        <v>0</v>
      </c>
      <c r="G826" s="7">
        <f>IF(Table3[[#This Row],[Stage]]="Closed",Table3[[#This Row],[Date of Update]]-(_xlfn.MINIFS(Table3[Date of Update],Table3[Ref], Table3[[#This Row],[Ref]])),"")</f>
        <v>8</v>
      </c>
    </row>
    <row r="827" spans="1:7" x14ac:dyDescent="0.25">
      <c r="A827" s="4" t="s">
        <v>447</v>
      </c>
      <c r="B827" s="5">
        <v>45387</v>
      </c>
      <c r="C827" s="6" t="s">
        <v>17</v>
      </c>
      <c r="D827" s="6" t="s">
        <v>9</v>
      </c>
      <c r="E827" s="6" t="s">
        <v>448</v>
      </c>
      <c r="F827" s="6" cm="1">
        <f t="array" aca="1" ref="F827" ca="1">IF(Table3[[#This Row],[Stage]]="Closed",0,IF(IFERROR(
  IF(
    COUNTIF(A$2:A$1997, A827) &gt; 1,
    MIN(IF(A$2:A$1997=A827, IF(B$2:B$1997&gt;B827, B$2:B$1997))) - B827,
    TODAY() - Table3[[#This Row],[Date of Update]]
  ),
  TODAY()-Table3[[#This Row],[Date of Update]]
)&lt;=0,
TODAY()-Table3[[#This Row],[Date of Update]],
IFERROR(
  IF(
    COUNTIF(A$2:A$1997, A827) &gt; 1,
    MIN(IF(A$2:A$1997=A827, IF(B$2:B$1997&gt;B827, B$2:B$1997))) - B827,
    TODAY() - Table3[[#This Row],[Date of Update]]
  ),
  TODAY()-Table3[[#This Row],[Date of Update]]
)))</f>
        <v>0</v>
      </c>
      <c r="G827" s="7">
        <f>IF(Table3[[#This Row],[Stage]]="Closed",Table3[[#This Row],[Date of Update]]-(_xlfn.MINIFS(Table3[Date of Update],Table3[Ref], Table3[[#This Row],[Ref]])),"")</f>
        <v>255</v>
      </c>
    </row>
    <row r="828" spans="1:7" x14ac:dyDescent="0.25">
      <c r="A828" s="4" t="s">
        <v>568</v>
      </c>
      <c r="B828" s="5">
        <v>45397</v>
      </c>
      <c r="C828" s="6" t="s">
        <v>17</v>
      </c>
      <c r="D828" s="6" t="s">
        <v>9</v>
      </c>
      <c r="E828" s="6" t="s">
        <v>569</v>
      </c>
      <c r="F828" s="6" cm="1">
        <f t="array" aca="1" ref="F828" ca="1">IF(Table3[[#This Row],[Stage]]="Closed",0,IF(IFERROR(
  IF(
    COUNTIF(A$2:A$1997, A828) &gt; 1,
    MIN(IF(A$2:A$1997=A828, IF(B$2:B$1997&gt;B828, B$2:B$1997))) - B828,
    TODAY() - Table3[[#This Row],[Date of Update]]
  ),
  TODAY()-Table3[[#This Row],[Date of Update]]
)&lt;=0,
TODAY()-Table3[[#This Row],[Date of Update]],
IFERROR(
  IF(
    COUNTIF(A$2:A$1997, A828) &gt; 1,
    MIN(IF(A$2:A$1997=A828, IF(B$2:B$1997&gt;B828, B$2:B$1997))) - B828,
    TODAY() - Table3[[#This Row],[Date of Update]]
  ),
  TODAY()-Table3[[#This Row],[Date of Update]]
)))</f>
        <v>0</v>
      </c>
      <c r="G828" s="7">
        <f>IF(Table3[[#This Row],[Stage]]="Closed",Table3[[#This Row],[Date of Update]]-(_xlfn.MINIFS(Table3[Date of Update],Table3[Ref], Table3[[#This Row],[Ref]])),"")</f>
        <v>59</v>
      </c>
    </row>
    <row r="829" spans="1:7" x14ac:dyDescent="0.25">
      <c r="A829" s="4" t="s">
        <v>585</v>
      </c>
      <c r="B829" s="5">
        <v>45398</v>
      </c>
      <c r="C829" s="6" t="s">
        <v>17</v>
      </c>
      <c r="D829" s="6" t="s">
        <v>9</v>
      </c>
      <c r="E829" s="6" t="s">
        <v>586</v>
      </c>
      <c r="F829" s="6" cm="1">
        <f t="array" aca="1" ref="F829" ca="1">IF(Table3[[#This Row],[Stage]]="Closed",0,IF(IFERROR(
  IF(
    COUNTIF(A$2:A$1997, A829) &gt; 1,
    MIN(IF(A$2:A$1997=A829, IF(B$2:B$1997&gt;B829, B$2:B$1997))) - B829,
    TODAY() - Table3[[#This Row],[Date of Update]]
  ),
  TODAY()-Table3[[#This Row],[Date of Update]]
)&lt;=0,
TODAY()-Table3[[#This Row],[Date of Update]],
IFERROR(
  IF(
    COUNTIF(A$2:A$1997, A829) &gt; 1,
    MIN(IF(A$2:A$1997=A829, IF(B$2:B$1997&gt;B829, B$2:B$1997))) - B829,
    TODAY() - Table3[[#This Row],[Date of Update]]
  ),
  TODAY()-Table3[[#This Row],[Date of Update]]
)))</f>
        <v>0</v>
      </c>
      <c r="G829" s="7">
        <f>IF(Table3[[#This Row],[Stage]]="Closed",Table3[[#This Row],[Date of Update]]-(_xlfn.MINIFS(Table3[Date of Update],Table3[Ref], Table3[[#This Row],[Ref]])),"")</f>
        <v>49</v>
      </c>
    </row>
    <row r="830" spans="1:7" x14ac:dyDescent="0.25">
      <c r="A830" s="4" t="s">
        <v>577</v>
      </c>
      <c r="B830" s="5">
        <v>45399</v>
      </c>
      <c r="C830" s="6" t="s">
        <v>580</v>
      </c>
      <c r="D830" s="6" t="s">
        <v>575</v>
      </c>
      <c r="E830" s="6" t="s">
        <v>613</v>
      </c>
      <c r="F830" s="6" cm="1">
        <f t="array" aca="1" ref="F830" ca="1">IF(Table3[[#This Row],[Stage]]="Closed",0,IF(IFERROR(
  IF(
    COUNTIF(A$2:A$1997, A830) &gt; 1,
    MIN(IF(A$2:A$1997=A830, IF(B$2:B$1997&gt;B830, B$2:B$1997))) - B830,
    TODAY() - Table3[[#This Row],[Date of Update]]
  ),
  TODAY()-Table3[[#This Row],[Date of Update]]
)&lt;=0,
TODAY()-Table3[[#This Row],[Date of Update]],
IFERROR(
  IF(
    COUNTIF(A$2:A$1997, A830) &gt; 1,
    MIN(IF(A$2:A$1997=A830, IF(B$2:B$1997&gt;B830, B$2:B$1997))) - B830,
    TODAY() - Table3[[#This Row],[Date of Update]]
  ),
  TODAY()-Table3[[#This Row],[Date of Update]]
)))</f>
        <v>34</v>
      </c>
      <c r="G830" s="7" t="str">
        <f>IF(Table3[[#This Row],[Stage]]="Closed",Table3[[#This Row],[Date of Update]]-(_xlfn.MINIFS(Table3[Date of Update],Table3[Ref], Table3[[#This Row],[Ref]])),"")</f>
        <v/>
      </c>
    </row>
    <row r="831" spans="1:7" x14ac:dyDescent="0.25">
      <c r="A831" s="4" t="s">
        <v>606</v>
      </c>
      <c r="B831" s="5">
        <v>45414</v>
      </c>
      <c r="C831" s="6" t="s">
        <v>17</v>
      </c>
      <c r="D831" s="6" t="s">
        <v>9</v>
      </c>
      <c r="E831" s="6" t="s">
        <v>607</v>
      </c>
      <c r="F831" s="6" cm="1">
        <f t="array" aca="1" ref="F831" ca="1">IF(Table3[[#This Row],[Stage]]="Closed",0,IF(IFERROR(
  IF(
    COUNTIF(A$2:A$1997, A831) &gt; 1,
    MIN(IF(A$2:A$1997=A831, IF(B$2:B$1997&gt;B831, B$2:B$1997))) - B831,
    TODAY() - Table3[[#This Row],[Date of Update]]
  ),
  TODAY()-Table3[[#This Row],[Date of Update]]
)&lt;=0,
TODAY()-Table3[[#This Row],[Date of Update]],
IFERROR(
  IF(
    COUNTIF(A$2:A$1997, A831) &gt; 1,
    MIN(IF(A$2:A$1997=A831, IF(B$2:B$1997&gt;B831, B$2:B$1997))) - B831,
    TODAY() - Table3[[#This Row],[Date of Update]]
  ),
  TODAY()-Table3[[#This Row],[Date of Update]]
)))</f>
        <v>0</v>
      </c>
      <c r="G831" s="7">
        <f>IF(Table3[[#This Row],[Stage]]="Closed",Table3[[#This Row],[Date of Update]]-(_xlfn.MINIFS(Table3[Date of Update],Table3[Ref], Table3[[#This Row],[Ref]])),"")</f>
        <v>44</v>
      </c>
    </row>
    <row r="832" spans="1:7" x14ac:dyDescent="0.25">
      <c r="A832" s="4" t="s">
        <v>608</v>
      </c>
      <c r="B832" s="5">
        <v>45414</v>
      </c>
      <c r="C832" s="6" t="s">
        <v>17</v>
      </c>
      <c r="D832" s="6" t="s">
        <v>9</v>
      </c>
      <c r="E832" s="6" t="s">
        <v>607</v>
      </c>
      <c r="F832" s="6" cm="1">
        <f t="array" aca="1" ref="F832" ca="1">IF(Table3[[#This Row],[Stage]]="Closed",0,IF(IFERROR(
  IF(
    COUNTIF(A$2:A$1997, A832) &gt; 1,
    MIN(IF(A$2:A$1997=A832, IF(B$2:B$1997&gt;B832, B$2:B$1997))) - B832,
    TODAY() - Table3[[#This Row],[Date of Update]]
  ),
  TODAY()-Table3[[#This Row],[Date of Update]]
)&lt;=0,
TODAY()-Table3[[#This Row],[Date of Update]],
IFERROR(
  IF(
    COUNTIF(A$2:A$1997, A832) &gt; 1,
    MIN(IF(A$2:A$1997=A832, IF(B$2:B$1997&gt;B832, B$2:B$1997))) - B832,
    TODAY() - Table3[[#This Row],[Date of Update]]
  ),
  TODAY()-Table3[[#This Row],[Date of Update]]
)))</f>
        <v>0</v>
      </c>
      <c r="G832" s="7">
        <f>IF(Table3[[#This Row],[Stage]]="Closed",Table3[[#This Row],[Date of Update]]-(_xlfn.MINIFS(Table3[Date of Update],Table3[Ref], Table3[[#This Row],[Ref]])),"")</f>
        <v>44</v>
      </c>
    </row>
    <row r="833" spans="1:7" x14ac:dyDescent="0.25">
      <c r="A833" s="4" t="s">
        <v>609</v>
      </c>
      <c r="B833" s="5">
        <v>45414</v>
      </c>
      <c r="C833" s="6" t="s">
        <v>17</v>
      </c>
      <c r="D833" s="6" t="s">
        <v>9</v>
      </c>
      <c r="E833" s="6" t="s">
        <v>607</v>
      </c>
      <c r="F833" s="6" cm="1">
        <f t="array" aca="1" ref="F833" ca="1">IF(Table3[[#This Row],[Stage]]="Closed",0,IF(IFERROR(
  IF(
    COUNTIF(A$2:A$1997, A833) &gt; 1,
    MIN(IF(A$2:A$1997=A833, IF(B$2:B$1997&gt;B833, B$2:B$1997))) - B833,
    TODAY() - Table3[[#This Row],[Date of Update]]
  ),
  TODAY()-Table3[[#This Row],[Date of Update]]
)&lt;=0,
TODAY()-Table3[[#This Row],[Date of Update]],
IFERROR(
  IF(
    COUNTIF(A$2:A$1997, A833) &gt; 1,
    MIN(IF(A$2:A$1997=A833, IF(B$2:B$1997&gt;B833, B$2:B$1997))) - B833,
    TODAY() - Table3[[#This Row],[Date of Update]]
  ),
  TODAY()-Table3[[#This Row],[Date of Update]]
)))</f>
        <v>0</v>
      </c>
      <c r="G833" s="7">
        <f>IF(Table3[[#This Row],[Stage]]="Closed",Table3[[#This Row],[Date of Update]]-(_xlfn.MINIFS(Table3[Date of Update],Table3[Ref], Table3[[#This Row],[Ref]])),"")</f>
        <v>44</v>
      </c>
    </row>
    <row r="834" spans="1:7" x14ac:dyDescent="0.25">
      <c r="A834" s="4" t="s">
        <v>610</v>
      </c>
      <c r="B834" s="5">
        <v>45414</v>
      </c>
      <c r="C834" s="6" t="s">
        <v>17</v>
      </c>
      <c r="D834" s="6" t="s">
        <v>9</v>
      </c>
      <c r="E834" s="6" t="s">
        <v>607</v>
      </c>
      <c r="F834" s="6" cm="1">
        <f t="array" aca="1" ref="F834" ca="1">IF(Table3[[#This Row],[Stage]]="Closed",0,IF(IFERROR(
  IF(
    COUNTIF(A$2:A$1997, A834) &gt; 1,
    MIN(IF(A$2:A$1997=A834, IF(B$2:B$1997&gt;B834, B$2:B$1997))) - B834,
    TODAY() - Table3[[#This Row],[Date of Update]]
  ),
  TODAY()-Table3[[#This Row],[Date of Update]]
)&lt;=0,
TODAY()-Table3[[#This Row],[Date of Update]],
IFERROR(
  IF(
    COUNTIF(A$2:A$1997, A834) &gt; 1,
    MIN(IF(A$2:A$1997=A834, IF(B$2:B$1997&gt;B834, B$2:B$1997))) - B834,
    TODAY() - Table3[[#This Row],[Date of Update]]
  ),
  TODAY()-Table3[[#This Row],[Date of Update]]
)))</f>
        <v>0</v>
      </c>
      <c r="G834" s="7">
        <f>IF(Table3[[#This Row],[Stage]]="Closed",Table3[[#This Row],[Date of Update]]-(_xlfn.MINIFS(Table3[Date of Update],Table3[Ref], Table3[[#This Row],[Ref]])),"")</f>
        <v>44</v>
      </c>
    </row>
    <row r="835" spans="1:7" x14ac:dyDescent="0.25">
      <c r="A835" s="4" t="s">
        <v>614</v>
      </c>
      <c r="B835" s="5">
        <v>45415</v>
      </c>
      <c r="C835" s="6" t="s">
        <v>8</v>
      </c>
      <c r="D835" s="6" t="s">
        <v>9</v>
      </c>
      <c r="E835" s="6" t="s">
        <v>615</v>
      </c>
      <c r="F835" s="6" cm="1">
        <f t="array" aca="1" ref="F835" ca="1">IF(Table3[[#This Row],[Stage]]="Closed",0,IF(IFERROR(
  IF(
    COUNTIF(A$2:A$1997, A835) &gt; 1,
    MIN(IF(A$2:A$1997=A835, IF(B$2:B$1997&gt;B835, B$2:B$1997))) - B835,
    TODAY() - Table3[[#This Row],[Date of Update]]
  ),
  TODAY()-Table3[[#This Row],[Date of Update]]
)&lt;=0,
TODAY()-Table3[[#This Row],[Date of Update]],
IFERROR(
  IF(
    COUNTIF(A$2:A$1997, A835) &gt; 1,
    MIN(IF(A$2:A$1997=A835, IF(B$2:B$1997&gt;B835, B$2:B$1997))) - B835,
    TODAY() - Table3[[#This Row],[Date of Update]]
  ),
  TODAY()-Table3[[#This Row],[Date of Update]]
)))</f>
        <v>14</v>
      </c>
      <c r="G835" s="7" t="str">
        <f>IF(Table3[[#This Row],[Stage]]="Closed",Table3[[#This Row],[Date of Update]]-(_xlfn.MINIFS(Table3[Date of Update],Table3[Ref], Table3[[#This Row],[Ref]])),"")</f>
        <v/>
      </c>
    </row>
    <row r="836" spans="1:7" x14ac:dyDescent="0.25">
      <c r="A836" s="4" t="s">
        <v>598</v>
      </c>
      <c r="B836" s="5">
        <v>45420</v>
      </c>
      <c r="C836" s="6" t="s">
        <v>17</v>
      </c>
      <c r="D836" s="6" t="s">
        <v>9</v>
      </c>
      <c r="E836" s="6" t="s">
        <v>80</v>
      </c>
      <c r="F836" s="6" cm="1">
        <f t="array" aca="1" ref="F836" ca="1">IF(Table3[[#This Row],[Stage]]="Closed",0,IF(IFERROR(
  IF(
    COUNTIF(A$2:A$1997, A836) &gt; 1,
    MIN(IF(A$2:A$1997=A836, IF(B$2:B$1997&gt;B836, B$2:B$1997))) - B836,
    TODAY() - Table3[[#This Row],[Date of Update]]
  ),
  TODAY()-Table3[[#This Row],[Date of Update]]
)&lt;=0,
TODAY()-Table3[[#This Row],[Date of Update]],
IFERROR(
  IF(
    COUNTIF(A$2:A$1997, A836) &gt; 1,
    MIN(IF(A$2:A$1997=A836, IF(B$2:B$1997&gt;B836, B$2:B$1997))) - B836,
    TODAY() - Table3[[#This Row],[Date of Update]]
  ),
  TODAY()-Table3[[#This Row],[Date of Update]]
)))</f>
        <v>0</v>
      </c>
      <c r="G836" s="7">
        <f>IF(Table3[[#This Row],[Stage]]="Closed",Table3[[#This Row],[Date of Update]]-(_xlfn.MINIFS(Table3[Date of Update],Table3[Ref], Table3[[#This Row],[Ref]])),"")</f>
        <v>61</v>
      </c>
    </row>
    <row r="837" spans="1:7" x14ac:dyDescent="0.25">
      <c r="A837" s="4" t="s">
        <v>603</v>
      </c>
      <c r="B837" s="5">
        <v>45421</v>
      </c>
      <c r="C837" s="6" t="s">
        <v>17</v>
      </c>
      <c r="D837" s="6" t="s">
        <v>9</v>
      </c>
      <c r="E837" s="6" t="s">
        <v>604</v>
      </c>
      <c r="F837" s="6" cm="1">
        <f t="array" aca="1" ref="F837" ca="1">IF(Table3[[#This Row],[Stage]]="Closed",0,IF(IFERROR(
  IF(
    COUNTIF(A$2:A$1997, A837) &gt; 1,
    MIN(IF(A$2:A$1997=A837, IF(B$2:B$1997&gt;B837, B$2:B$1997))) - B837,
    TODAY() - Table3[[#This Row],[Date of Update]]
  ),
  TODAY()-Table3[[#This Row],[Date of Update]]
)&lt;=0,
TODAY()-Table3[[#This Row],[Date of Update]],
IFERROR(
  IF(
    COUNTIF(A$2:A$1997, A837) &gt; 1,
    MIN(IF(A$2:A$1997=A837, IF(B$2:B$1997&gt;B837, B$2:B$1997))) - B837,
    TODAY() - Table3[[#This Row],[Date of Update]]
  ),
  TODAY()-Table3[[#This Row],[Date of Update]]
)))</f>
        <v>0</v>
      </c>
      <c r="G837" s="7">
        <f>IF(Table3[[#This Row],[Stage]]="Closed",Table3[[#This Row],[Date of Update]]-(_xlfn.MINIFS(Table3[Date of Update],Table3[Ref], Table3[[#This Row],[Ref]])),"")</f>
        <v>52</v>
      </c>
    </row>
    <row r="838" spans="1:7" x14ac:dyDescent="0.25">
      <c r="A838" s="4" t="s">
        <v>412</v>
      </c>
      <c r="B838" s="5">
        <v>45421</v>
      </c>
      <c r="C838" s="6" t="s">
        <v>17</v>
      </c>
      <c r="D838" s="6" t="s">
        <v>9</v>
      </c>
      <c r="E838" s="6" t="s">
        <v>80</v>
      </c>
      <c r="F838" s="6" cm="1">
        <f t="array" aca="1" ref="F838" ca="1">IF(Table3[[#This Row],[Stage]]="Closed",0,IF(IFERROR(
  IF(
    COUNTIF(A$2:A$1997, A838) &gt; 1,
    MIN(IF(A$2:A$1997=A838, IF(B$2:B$1997&gt;B838, B$2:B$1997))) - B838,
    TODAY() - Table3[[#This Row],[Date of Update]]
  ),
  TODAY()-Table3[[#This Row],[Date of Update]]
)&lt;=0,
TODAY()-Table3[[#This Row],[Date of Update]],
IFERROR(
  IF(
    COUNTIF(A$2:A$1997, A838) &gt; 1,
    MIN(IF(A$2:A$1997=A838, IF(B$2:B$1997&gt;B838, B$2:B$1997))) - B838,
    TODAY() - Table3[[#This Row],[Date of Update]]
  ),
  TODAY()-Table3[[#This Row],[Date of Update]]
)))</f>
        <v>0</v>
      </c>
      <c r="G838" s="7">
        <f>IF(Table3[[#This Row],[Stage]]="Closed",Table3[[#This Row],[Date of Update]]-(_xlfn.MINIFS(Table3[Date of Update],Table3[Ref], Table3[[#This Row],[Ref]])),"")</f>
        <v>343</v>
      </c>
    </row>
    <row r="839" spans="1:7" x14ac:dyDescent="0.25">
      <c r="A839" s="4" t="s">
        <v>616</v>
      </c>
      <c r="B839" s="5">
        <v>45425</v>
      </c>
      <c r="C839" s="6" t="s">
        <v>8</v>
      </c>
      <c r="D839" s="6" t="s">
        <v>9</v>
      </c>
      <c r="E839" s="6" t="s">
        <v>617</v>
      </c>
      <c r="F839" s="6" cm="1">
        <f t="array" aca="1" ref="F839" ca="1">IF(Table3[[#This Row],[Stage]]="Closed",0,IF(IFERROR(
  IF(
    COUNTIF(A$2:A$1997, A839) &gt; 1,
    MIN(IF(A$2:A$1997=A839, IF(B$2:B$1997&gt;B839, B$2:B$1997))) - B839,
    TODAY() - Table3[[#This Row],[Date of Update]]
  ),
  TODAY()-Table3[[#This Row],[Date of Update]]
)&lt;=0,
TODAY()-Table3[[#This Row],[Date of Update]],
IFERROR(
  IF(
    COUNTIF(A$2:A$1997, A839) &gt; 1,
    MIN(IF(A$2:A$1997=A839, IF(B$2:B$1997&gt;B839, B$2:B$1997))) - B839,
    TODAY() - Table3[[#This Row],[Date of Update]]
  ),
  TODAY()-Table3[[#This Row],[Date of Update]]
)))</f>
        <v>50</v>
      </c>
      <c r="G839" s="7" t="str">
        <f>IF(Table3[[#This Row],[Stage]]="Closed",Table3[[#This Row],[Date of Update]]-(_xlfn.MINIFS(Table3[Date of Update],Table3[Ref], Table3[[#This Row],[Ref]])),"")</f>
        <v/>
      </c>
    </row>
    <row r="840" spans="1:7" x14ac:dyDescent="0.25">
      <c r="A840" s="4" t="s">
        <v>553</v>
      </c>
      <c r="B840" s="5">
        <v>45427</v>
      </c>
      <c r="C840" s="6" t="s">
        <v>17</v>
      </c>
      <c r="D840" s="6" t="s">
        <v>9</v>
      </c>
      <c r="E840" s="6" t="s">
        <v>80</v>
      </c>
      <c r="F840" s="6" cm="1">
        <f t="array" aca="1" ref="F840" ca="1">IF(Table3[[#This Row],[Stage]]="Closed",0,IF(IFERROR(
  IF(
    COUNTIF(A$2:A$1997, A840) &gt; 1,
    MIN(IF(A$2:A$1997=A840, IF(B$2:B$1997&gt;B840, B$2:B$1997))) - B840,
    TODAY() - Table3[[#This Row],[Date of Update]]
  ),
  TODAY()-Table3[[#This Row],[Date of Update]]
)&lt;=0,
TODAY()-Table3[[#This Row],[Date of Update]],
IFERROR(
  IF(
    COUNTIF(A$2:A$1997, A840) &gt; 1,
    MIN(IF(A$2:A$1997=A840, IF(B$2:B$1997&gt;B840, B$2:B$1997))) - B840,
    TODAY() - Table3[[#This Row],[Date of Update]]
  ),
  TODAY()-Table3[[#This Row],[Date of Update]]
)))</f>
        <v>0</v>
      </c>
      <c r="G840" s="7">
        <f>IF(Table3[[#This Row],[Stage]]="Closed",Table3[[#This Row],[Date of Update]]-(_xlfn.MINIFS(Table3[Date of Update],Table3[Ref], Table3[[#This Row],[Ref]])),"")</f>
        <v>107</v>
      </c>
    </row>
    <row r="841" spans="1:7" x14ac:dyDescent="0.25">
      <c r="A841" s="4" t="s">
        <v>618</v>
      </c>
      <c r="B841" s="5">
        <v>45427</v>
      </c>
      <c r="C841" s="6" t="s">
        <v>8</v>
      </c>
      <c r="D841" s="6" t="s">
        <v>9</v>
      </c>
      <c r="E841" s="6" t="s">
        <v>80</v>
      </c>
      <c r="F841" s="6" cm="1">
        <f t="array" aca="1" ref="F841" ca="1">IF(Table3[[#This Row],[Stage]]="Closed",0,IF(IFERROR(
  IF(
    COUNTIF(A$2:A$1997, A841) &gt; 1,
    MIN(IF(A$2:A$1997=A841, IF(B$2:B$1997&gt;B841, B$2:B$1997))) - B841,
    TODAY() - Table3[[#This Row],[Date of Update]]
  ),
  TODAY()-Table3[[#This Row],[Date of Update]]
)&lt;=0,
TODAY()-Table3[[#This Row],[Date of Update]],
IFERROR(
  IF(
    COUNTIF(A$2:A$1997, A841) &gt; 1,
    MIN(IF(A$2:A$1997=A841, IF(B$2:B$1997&gt;B841, B$2:B$1997))) - B841,
    TODAY() - Table3[[#This Row],[Date of Update]]
  ),
  TODAY()-Table3[[#This Row],[Date of Update]]
)))</f>
        <v>16</v>
      </c>
      <c r="G841" s="7" t="str">
        <f>IF(Table3[[#This Row],[Stage]]="Closed",Table3[[#This Row],[Date of Update]]-(_xlfn.MINIFS(Table3[Date of Update],Table3[Ref], Table3[[#This Row],[Ref]])),"")</f>
        <v/>
      </c>
    </row>
    <row r="842" spans="1:7" x14ac:dyDescent="0.25">
      <c r="A842" s="4" t="s">
        <v>614</v>
      </c>
      <c r="B842" s="5">
        <v>45429</v>
      </c>
      <c r="C842" s="6" t="s">
        <v>17</v>
      </c>
      <c r="D842" s="6" t="s">
        <v>9</v>
      </c>
      <c r="E842" s="6" t="s">
        <v>615</v>
      </c>
      <c r="F842" s="6" cm="1">
        <f t="array" aca="1" ref="F842" ca="1">IF(Table3[[#This Row],[Stage]]="Closed",0,IF(IFERROR(
  IF(
    COUNTIF(A$2:A$1997, A842) &gt; 1,
    MIN(IF(A$2:A$1997=A842, IF(B$2:B$1997&gt;B842, B$2:B$1997))) - B842,
    TODAY() - Table3[[#This Row],[Date of Update]]
  ),
  TODAY()-Table3[[#This Row],[Date of Update]]
)&lt;=0,
TODAY()-Table3[[#This Row],[Date of Update]],
IFERROR(
  IF(
    COUNTIF(A$2:A$1997, A842) &gt; 1,
    MIN(IF(A$2:A$1997=A842, IF(B$2:B$1997&gt;B842, B$2:B$1997))) - B842,
    TODAY() - Table3[[#This Row],[Date of Update]]
  ),
  TODAY()-Table3[[#This Row],[Date of Update]]
)))</f>
        <v>0</v>
      </c>
      <c r="G842" s="7">
        <f>IF(Table3[[#This Row],[Stage]]="Closed",Table3[[#This Row],[Date of Update]]-(_xlfn.MINIFS(Table3[Date of Update],Table3[Ref], Table3[[#This Row],[Ref]])),"")</f>
        <v>14</v>
      </c>
    </row>
    <row r="843" spans="1:7" x14ac:dyDescent="0.25">
      <c r="A843" s="4" t="s">
        <v>592</v>
      </c>
      <c r="B843" s="5">
        <v>45430</v>
      </c>
      <c r="C843" s="6" t="s">
        <v>8</v>
      </c>
      <c r="D843" s="6" t="s">
        <v>549</v>
      </c>
      <c r="E843" s="6" t="s">
        <v>619</v>
      </c>
      <c r="F843" s="6" cm="1">
        <f t="array" aca="1" ref="F843" ca="1">IF(Table3[[#This Row],[Stage]]="Closed",0,IF(IFERROR(
  IF(
    COUNTIF(A$2:A$1997, A843) &gt; 1,
    MIN(IF(A$2:A$1997=A843, IF(B$2:B$1997&gt;B843, B$2:B$1997))) - B843,
    TODAY() - Table3[[#This Row],[Date of Update]]
  ),
  TODAY()-Table3[[#This Row],[Date of Update]]
)&lt;=0,
TODAY()-Table3[[#This Row],[Date of Update]],
IFERROR(
  IF(
    COUNTIF(A$2:A$1997, A843) &gt; 1,
    MIN(IF(A$2:A$1997=A843, IF(B$2:B$1997&gt;B843, B$2:B$1997))) - B843,
    TODAY() - Table3[[#This Row],[Date of Update]]
  ),
  TODAY()-Table3[[#This Row],[Date of Update]]
)))</f>
        <v>5</v>
      </c>
      <c r="G843" s="7" t="str">
        <f>IF(Table3[[#This Row],[Stage]]="Closed",Table3[[#This Row],[Date of Update]]-(_xlfn.MINIFS(Table3[Date of Update],Table3[Ref], Table3[[#This Row],[Ref]])),"")</f>
        <v/>
      </c>
    </row>
    <row r="844" spans="1:7" x14ac:dyDescent="0.25">
      <c r="A844" s="4" t="s">
        <v>577</v>
      </c>
      <c r="B844" s="5">
        <v>45433</v>
      </c>
      <c r="C844" s="6" t="s">
        <v>580</v>
      </c>
      <c r="D844" s="6" t="s">
        <v>549</v>
      </c>
      <c r="E844" s="6" t="s">
        <v>620</v>
      </c>
      <c r="F844" s="6" cm="1">
        <f t="array" aca="1" ref="F844" ca="1">IF(Table3[[#This Row],[Stage]]="Closed",0,IF(IFERROR(
  IF(
    COUNTIF(A$2:A$1997, A844) &gt; 1,
    MIN(IF(A$2:A$1997=A844, IF(B$2:B$1997&gt;B844, B$2:B$1997))) - B844,
    TODAY() - Table3[[#This Row],[Date of Update]]
  ),
  TODAY()-Table3[[#This Row],[Date of Update]]
)&lt;=0,
TODAY()-Table3[[#This Row],[Date of Update]],
IFERROR(
  IF(
    COUNTIF(A$2:A$1997, A844) &gt; 1,
    MIN(IF(A$2:A$1997=A844, IF(B$2:B$1997&gt;B844, B$2:B$1997))) - B844,
    TODAY() - Table3[[#This Row],[Date of Update]]
  ),
  TODAY()-Table3[[#This Row],[Date of Update]]
)))</f>
        <v>22</v>
      </c>
      <c r="G844" s="7" t="str">
        <f>IF(Table3[[#This Row],[Stage]]="Closed",Table3[[#This Row],[Date of Update]]-(_xlfn.MINIFS(Table3[Date of Update],Table3[Ref], Table3[[#This Row],[Ref]])),"")</f>
        <v/>
      </c>
    </row>
    <row r="845" spans="1:7" x14ac:dyDescent="0.25">
      <c r="A845" s="4" t="s">
        <v>621</v>
      </c>
      <c r="B845" s="5">
        <v>45433</v>
      </c>
      <c r="C845" s="6" t="s">
        <v>8</v>
      </c>
      <c r="D845" s="6" t="s">
        <v>9</v>
      </c>
      <c r="E845" s="6" t="s">
        <v>622</v>
      </c>
      <c r="F845" s="6" cm="1">
        <f t="array" aca="1" ref="F845" ca="1">IF(Table3[[#This Row],[Stage]]="Closed",0,IF(IFERROR(
  IF(
    COUNTIF(A$2:A$1997, A845) &gt; 1,
    MIN(IF(A$2:A$1997=A845, IF(B$2:B$1997&gt;B845, B$2:B$1997))) - B845,
    TODAY() - Table3[[#This Row],[Date of Update]]
  ),
  TODAY()-Table3[[#This Row],[Date of Update]]
)&lt;=0,
TODAY()-Table3[[#This Row],[Date of Update]],
IFERROR(
  IF(
    COUNTIF(A$2:A$1997, A845) &gt; 1,
    MIN(IF(A$2:A$1997=A845, IF(B$2:B$1997&gt;B845, B$2:B$1997))) - B845,
    TODAY() - Table3[[#This Row],[Date of Update]]
  ),
  TODAY()-Table3[[#This Row],[Date of Update]]
)))</f>
        <v>10</v>
      </c>
      <c r="G845" s="7" t="str">
        <f>IF(Table3[[#This Row],[Stage]]="Closed",Table3[[#This Row],[Date of Update]]-(_xlfn.MINIFS(Table3[Date of Update],Table3[Ref], Table3[[#This Row],[Ref]])),"")</f>
        <v/>
      </c>
    </row>
    <row r="846" spans="1:7" x14ac:dyDescent="0.25">
      <c r="A846" s="4" t="s">
        <v>366</v>
      </c>
      <c r="B846" s="5">
        <v>45434</v>
      </c>
      <c r="C846" s="6" t="s">
        <v>17</v>
      </c>
      <c r="D846" s="6" t="s">
        <v>9</v>
      </c>
      <c r="E846" s="6" t="s">
        <v>367</v>
      </c>
      <c r="F846" s="6" cm="1">
        <f t="array" aca="1" ref="F846" ca="1">IF(Table3[[#This Row],[Stage]]="Closed",0,IF(IFERROR(
  IF(
    COUNTIF(A$2:A$1997, A846) &gt; 1,
    MIN(IF(A$2:A$1997=A846, IF(B$2:B$1997&gt;B846, B$2:B$1997))) - B846,
    TODAY() - Table3[[#This Row],[Date of Update]]
  ),
  TODAY()-Table3[[#This Row],[Date of Update]]
)&lt;=0,
TODAY()-Table3[[#This Row],[Date of Update]],
IFERROR(
  IF(
    COUNTIF(A$2:A$1997, A846) &gt; 1,
    MIN(IF(A$2:A$1997=A846, IF(B$2:B$1997&gt;B846, B$2:B$1997))) - B846,
    TODAY() - Table3[[#This Row],[Date of Update]]
  ),
  TODAY()-Table3[[#This Row],[Date of Update]]
)))</f>
        <v>0</v>
      </c>
      <c r="G846" s="7">
        <f>IF(Table3[[#This Row],[Stage]]="Closed",Table3[[#This Row],[Date of Update]]-(_xlfn.MINIFS(Table3[Date of Update],Table3[Ref], Table3[[#This Row],[Ref]])),"")</f>
        <v>406</v>
      </c>
    </row>
    <row r="847" spans="1:7" x14ac:dyDescent="0.25">
      <c r="A847" s="4" t="s">
        <v>515</v>
      </c>
      <c r="B847" s="5">
        <v>45434</v>
      </c>
      <c r="C847" s="6" t="s">
        <v>17</v>
      </c>
      <c r="D847" s="6" t="s">
        <v>9</v>
      </c>
      <c r="E847" s="6" t="s">
        <v>80</v>
      </c>
      <c r="F847" s="6" cm="1">
        <f t="array" aca="1" ref="F847" ca="1">IF(Table3[[#This Row],[Stage]]="Closed",0,IF(IFERROR(
  IF(
    COUNTIF(A$2:A$1997, A847) &gt; 1,
    MIN(IF(A$2:A$1997=A847, IF(B$2:B$1997&gt;B847, B$2:B$1997))) - B847,
    TODAY() - Table3[[#This Row],[Date of Update]]
  ),
  TODAY()-Table3[[#This Row],[Date of Update]]
)&lt;=0,
TODAY()-Table3[[#This Row],[Date of Update]],
IFERROR(
  IF(
    COUNTIF(A$2:A$1997, A847) &gt; 1,
    MIN(IF(A$2:A$1997=A847, IF(B$2:B$1997&gt;B847, B$2:B$1997))) - B847,
    TODAY() - Table3[[#This Row],[Date of Update]]
  ),
  TODAY()-Table3[[#This Row],[Date of Update]]
)))</f>
        <v>0</v>
      </c>
      <c r="G847" s="7">
        <f>IF(Table3[[#This Row],[Stage]]="Closed",Table3[[#This Row],[Date of Update]]-(_xlfn.MINIFS(Table3[Date of Update],Table3[Ref], Table3[[#This Row],[Ref]])),"")</f>
        <v>198</v>
      </c>
    </row>
    <row r="848" spans="1:7" x14ac:dyDescent="0.25">
      <c r="A848" s="4" t="s">
        <v>592</v>
      </c>
      <c r="B848" s="5">
        <v>45435</v>
      </c>
      <c r="C848" s="6" t="s">
        <v>8</v>
      </c>
      <c r="D848" s="6" t="s">
        <v>9</v>
      </c>
      <c r="E848" s="6" t="s">
        <v>623</v>
      </c>
      <c r="F848" s="6" cm="1">
        <f t="array" aca="1" ref="F848" ca="1">IF(Table3[[#This Row],[Stage]]="Closed",0,IF(IFERROR(
  IF(
    COUNTIF(A$2:A$1997, A848) &gt; 1,
    MIN(IF(A$2:A$1997=A848, IF(B$2:B$1997&gt;B848, B$2:B$1997))) - B848,
    TODAY() - Table3[[#This Row],[Date of Update]]
  ),
  TODAY()-Table3[[#This Row],[Date of Update]]
)&lt;=0,
TODAY()-Table3[[#This Row],[Date of Update]],
IFERROR(
  IF(
    COUNTIF(A$2:A$1997, A848) &gt; 1,
    MIN(IF(A$2:A$1997=A848, IF(B$2:B$1997&gt;B848, B$2:B$1997))) - B848,
    TODAY() - Table3[[#This Row],[Date of Update]]
  ),
  TODAY()-Table3[[#This Row],[Date of Update]]
)))</f>
        <v>40</v>
      </c>
      <c r="G848" s="7" t="str">
        <f>IF(Table3[[#This Row],[Stage]]="Closed",Table3[[#This Row],[Date of Update]]-(_xlfn.MINIFS(Table3[Date of Update],Table3[Ref], Table3[[#This Row],[Ref]])),"")</f>
        <v/>
      </c>
    </row>
    <row r="849" spans="1:7" x14ac:dyDescent="0.25">
      <c r="A849" s="4" t="s">
        <v>624</v>
      </c>
      <c r="B849" s="5">
        <v>45436</v>
      </c>
      <c r="C849" s="6" t="s">
        <v>8</v>
      </c>
      <c r="D849" s="6" t="s">
        <v>9</v>
      </c>
      <c r="E849" s="6" t="s">
        <v>625</v>
      </c>
      <c r="F849" s="6" cm="1">
        <f t="array" aca="1" ref="F849" ca="1">IF(Table3[[#This Row],[Stage]]="Closed",0,IF(IFERROR(
  IF(
    COUNTIF(A$2:A$1997, A849) &gt; 1,
    MIN(IF(A$2:A$1997=A849, IF(B$2:B$1997&gt;B849, B$2:B$1997))) - B849,
    TODAY() - Table3[[#This Row],[Date of Update]]
  ),
  TODAY()-Table3[[#This Row],[Date of Update]]
)&lt;=0,
TODAY()-Table3[[#This Row],[Date of Update]],
IFERROR(
  IF(
    COUNTIF(A$2:A$1997, A849) &gt; 1,
    MIN(IF(A$2:A$1997=A849, IF(B$2:B$1997&gt;B849, B$2:B$1997))) - B849,
    TODAY() - Table3[[#This Row],[Date of Update]]
  ),
  TODAY()-Table3[[#This Row],[Date of Update]]
)))</f>
        <v>19</v>
      </c>
      <c r="G849" s="7" t="str">
        <f>IF(Table3[[#This Row],[Stage]]="Closed",Table3[[#This Row],[Date of Update]]-(_xlfn.MINIFS(Table3[Date of Update],Table3[Ref], Table3[[#This Row],[Ref]])),"")</f>
        <v/>
      </c>
    </row>
    <row r="850" spans="1:7" x14ac:dyDescent="0.25">
      <c r="A850" s="4" t="s">
        <v>621</v>
      </c>
      <c r="B850" s="5">
        <v>45443</v>
      </c>
      <c r="C850" s="6" t="s">
        <v>17</v>
      </c>
      <c r="D850" s="6" t="s">
        <v>9</v>
      </c>
      <c r="E850" s="6" t="s">
        <v>622</v>
      </c>
      <c r="F850" s="6" cm="1">
        <f t="array" aca="1" ref="F850" ca="1">IF(Table3[[#This Row],[Stage]]="Closed",0,IF(IFERROR(
  IF(
    COUNTIF(A$2:A$1997, A850) &gt; 1,
    MIN(IF(A$2:A$1997=A850, IF(B$2:B$1997&gt;B850, B$2:B$1997))) - B850,
    TODAY() - Table3[[#This Row],[Date of Update]]
  ),
  TODAY()-Table3[[#This Row],[Date of Update]]
)&lt;=0,
TODAY()-Table3[[#This Row],[Date of Update]],
IFERROR(
  IF(
    COUNTIF(A$2:A$1997, A850) &gt; 1,
    MIN(IF(A$2:A$1997=A850, IF(B$2:B$1997&gt;B850, B$2:B$1997))) - B850,
    TODAY() - Table3[[#This Row],[Date of Update]]
  ),
  TODAY()-Table3[[#This Row],[Date of Update]]
)))</f>
        <v>0</v>
      </c>
      <c r="G850" s="7">
        <f>IF(Table3[[#This Row],[Stage]]="Closed",Table3[[#This Row],[Date of Update]]-(_xlfn.MINIFS(Table3[Date of Update],Table3[Ref], Table3[[#This Row],[Ref]])),"")</f>
        <v>10</v>
      </c>
    </row>
    <row r="851" spans="1:7" x14ac:dyDescent="0.25">
      <c r="A851" s="4" t="s">
        <v>618</v>
      </c>
      <c r="B851" s="5">
        <v>45443</v>
      </c>
      <c r="C851" s="6" t="s">
        <v>17</v>
      </c>
      <c r="D851" s="6" t="s">
        <v>9</v>
      </c>
      <c r="E851" s="6" t="s">
        <v>80</v>
      </c>
      <c r="F851" s="6" cm="1">
        <f t="array" aca="1" ref="F851" ca="1">IF(Table3[[#This Row],[Stage]]="Closed",0,IF(IFERROR(
  IF(
    COUNTIF(A$2:A$1997, A851) &gt; 1,
    MIN(IF(A$2:A$1997=A851, IF(B$2:B$1997&gt;B851, B$2:B$1997))) - B851,
    TODAY() - Table3[[#This Row],[Date of Update]]
  ),
  TODAY()-Table3[[#This Row],[Date of Update]]
)&lt;=0,
TODAY()-Table3[[#This Row],[Date of Update]],
IFERROR(
  IF(
    COUNTIF(A$2:A$1997, A851) &gt; 1,
    MIN(IF(A$2:A$1997=A851, IF(B$2:B$1997&gt;B851, B$2:B$1997))) - B851,
    TODAY() - Table3[[#This Row],[Date of Update]]
  ),
  TODAY()-Table3[[#This Row],[Date of Update]]
)))</f>
        <v>0</v>
      </c>
      <c r="G851" s="7">
        <f>IF(Table3[[#This Row],[Stage]]="Closed",Table3[[#This Row],[Date of Update]]-(_xlfn.MINIFS(Table3[Date of Update],Table3[Ref], Table3[[#This Row],[Ref]])),"")</f>
        <v>16</v>
      </c>
    </row>
    <row r="852" spans="1:7" x14ac:dyDescent="0.25">
      <c r="A852" s="4" t="s">
        <v>595</v>
      </c>
      <c r="B852" s="5">
        <v>45450</v>
      </c>
      <c r="C852" s="6" t="s">
        <v>17</v>
      </c>
      <c r="D852" s="6" t="s">
        <v>9</v>
      </c>
      <c r="E852" s="6" t="s">
        <v>596</v>
      </c>
      <c r="F852" s="6" cm="1">
        <f t="array" aca="1" ref="F852" ca="1">IF(Table3[[#This Row],[Stage]]="Closed",0,IF(IFERROR(
  IF(
    COUNTIF(A$2:A$1997, A852) &gt; 1,
    MIN(IF(A$2:A$1997=A852, IF(B$2:B$1997&gt;B852, B$2:B$1997))) - B852,
    TODAY() - Table3[[#This Row],[Date of Update]]
  ),
  TODAY()-Table3[[#This Row],[Date of Update]]
)&lt;=0,
TODAY()-Table3[[#This Row],[Date of Update]],
IFERROR(
  IF(
    COUNTIF(A$2:A$1997, A852) &gt; 1,
    MIN(IF(A$2:A$1997=A852, IF(B$2:B$1997&gt;B852, B$2:B$1997))) - B852,
    TODAY() - Table3[[#This Row],[Date of Update]]
  ),
  TODAY()-Table3[[#This Row],[Date of Update]]
)))</f>
        <v>0</v>
      </c>
      <c r="G852" s="7">
        <f>IF(Table3[[#This Row],[Stage]]="Closed",Table3[[#This Row],[Date of Update]]-(_xlfn.MINIFS(Table3[Date of Update],Table3[Ref], Table3[[#This Row],[Ref]])),"")</f>
        <v>93</v>
      </c>
    </row>
    <row r="853" spans="1:7" x14ac:dyDescent="0.25">
      <c r="A853" s="4" t="s">
        <v>626</v>
      </c>
      <c r="B853" s="5">
        <v>45452</v>
      </c>
      <c r="C853" s="6" t="s">
        <v>8</v>
      </c>
      <c r="D853" s="6" t="s">
        <v>9</v>
      </c>
      <c r="E853" s="6" t="s">
        <v>627</v>
      </c>
      <c r="F853" s="6" cm="1">
        <f t="array" aca="1" ref="F853" ca="1">IF(Table3[[#This Row],[Stage]]="Closed",0,IF(IFERROR(
  IF(
    COUNTIF(A$2:A$1997, A853) &gt; 1,
    MIN(IF(A$2:A$1997=A853, IF(B$2:B$1997&gt;B853, B$2:B$1997))) - B853,
    TODAY() - Table3[[#This Row],[Date of Update]]
  ),
  TODAY()-Table3[[#This Row],[Date of Update]]
)&lt;=0,
TODAY()-Table3[[#This Row],[Date of Update]],
IFERROR(
  IF(
    COUNTIF(A$2:A$1997, A853) &gt; 1,
    MIN(IF(A$2:A$1997=A853, IF(B$2:B$1997&gt;B853, B$2:B$1997))) - B853,
    TODAY() - Table3[[#This Row],[Date of Update]]
  ),
  TODAY()-Table3[[#This Row],[Date of Update]]
)))</f>
        <v>3</v>
      </c>
      <c r="G853" s="7" t="str">
        <f>IF(Table3[[#This Row],[Stage]]="Closed",Table3[[#This Row],[Date of Update]]-(_xlfn.MINIFS(Table3[Date of Update],Table3[Ref], Table3[[#This Row],[Ref]])),"")</f>
        <v/>
      </c>
    </row>
    <row r="854" spans="1:7" x14ac:dyDescent="0.25">
      <c r="A854" s="4" t="s">
        <v>624</v>
      </c>
      <c r="B854" s="5">
        <v>45455</v>
      </c>
      <c r="C854" s="6" t="s">
        <v>17</v>
      </c>
      <c r="D854" s="6" t="s">
        <v>9</v>
      </c>
      <c r="E854" s="6" t="s">
        <v>625</v>
      </c>
      <c r="F854" s="6" cm="1">
        <f t="array" aca="1" ref="F854" ca="1">IF(Table3[[#This Row],[Stage]]="Closed",0,IF(IFERROR(
  IF(
    COUNTIF(A$2:A$1997, A854) &gt; 1,
    MIN(IF(A$2:A$1997=A854, IF(B$2:B$1997&gt;B854, B$2:B$1997))) - B854,
    TODAY() - Table3[[#This Row],[Date of Update]]
  ),
  TODAY()-Table3[[#This Row],[Date of Update]]
)&lt;=0,
TODAY()-Table3[[#This Row],[Date of Update]],
IFERROR(
  IF(
    COUNTIF(A$2:A$1997, A854) &gt; 1,
    MIN(IF(A$2:A$1997=A854, IF(B$2:B$1997&gt;B854, B$2:B$1997))) - B854,
    TODAY() - Table3[[#This Row],[Date of Update]]
  ),
  TODAY()-Table3[[#This Row],[Date of Update]]
)))</f>
        <v>0</v>
      </c>
      <c r="G854" s="7">
        <f>IF(Table3[[#This Row],[Stage]]="Closed",Table3[[#This Row],[Date of Update]]-(_xlfn.MINIFS(Table3[Date of Update],Table3[Ref], Table3[[#This Row],[Ref]])),"")</f>
        <v>19</v>
      </c>
    </row>
    <row r="855" spans="1:7" x14ac:dyDescent="0.25">
      <c r="A855" s="4" t="s">
        <v>626</v>
      </c>
      <c r="B855" s="5">
        <v>45455</v>
      </c>
      <c r="C855" s="6" t="s">
        <v>564</v>
      </c>
      <c r="D855" s="6" t="s">
        <v>549</v>
      </c>
      <c r="E855" s="6" t="s">
        <v>628</v>
      </c>
      <c r="F855" s="6" cm="1">
        <f t="array" aca="1" ref="F855" ca="1">IF(Table3[[#This Row],[Stage]]="Closed",0,IF(IFERROR(
  IF(
    COUNTIF(A$2:A$1997, A855) &gt; 1,
    MIN(IF(A$2:A$1997=A855, IF(B$2:B$1997&gt;B855, B$2:B$1997))) - B855,
    TODAY() - Table3[[#This Row],[Date of Update]]
  ),
  TODAY()-Table3[[#This Row],[Date of Update]]
)&lt;=0,
TODAY()-Table3[[#This Row],[Date of Update]],
IFERROR(
  IF(
    COUNTIF(A$2:A$1997, A855) &gt; 1,
    MIN(IF(A$2:A$1997=A855, IF(B$2:B$1997&gt;B855, B$2:B$1997))) - B855,
    TODAY() - Table3[[#This Row],[Date of Update]]
  ),
  TODAY()-Table3[[#This Row],[Date of Update]]
)))</f>
        <v>8</v>
      </c>
      <c r="G855" s="7" t="str">
        <f>IF(Table3[[#This Row],[Stage]]="Closed",Table3[[#This Row],[Date of Update]]-(_xlfn.MINIFS(Table3[Date of Update],Table3[Ref], Table3[[#This Row],[Ref]])),"")</f>
        <v/>
      </c>
    </row>
    <row r="856" spans="1:7" x14ac:dyDescent="0.25">
      <c r="A856" s="4" t="s">
        <v>577</v>
      </c>
      <c r="B856" s="5">
        <v>45455</v>
      </c>
      <c r="C856" s="6" t="s">
        <v>599</v>
      </c>
      <c r="D856" s="6" t="s">
        <v>575</v>
      </c>
      <c r="E856" s="6" t="s">
        <v>629</v>
      </c>
      <c r="F856" s="6" cm="1">
        <f t="array" aca="1" ref="F856" ca="1">IF(Table3[[#This Row],[Stage]]="Closed",0,IF(IFERROR(
  IF(
    COUNTIF(A$2:A$1997, A856) &gt; 1,
    MIN(IF(A$2:A$1997=A856, IF(B$2:B$1997&gt;B856, B$2:B$1997))) - B856,
    TODAY() - Table3[[#This Row],[Date of Update]]
  ),
  TODAY()-Table3[[#This Row],[Date of Update]]
)&lt;=0,
TODAY()-Table3[[#This Row],[Date of Update]],
IFERROR(
  IF(
    COUNTIF(A$2:A$1997, A856) &gt; 1,
    MIN(IF(A$2:A$1997=A856, IF(B$2:B$1997&gt;B856, B$2:B$1997))) - B856,
    TODAY() - Table3[[#This Row],[Date of Update]]
  ),
  TODAY()-Table3[[#This Row],[Date of Update]]
)))</f>
        <v>22</v>
      </c>
      <c r="G856" s="7" t="str">
        <f>IF(Table3[[#This Row],[Stage]]="Closed",Table3[[#This Row],[Date of Update]]-(_xlfn.MINIFS(Table3[Date of Update],Table3[Ref], Table3[[#This Row],[Ref]])),"")</f>
        <v/>
      </c>
    </row>
    <row r="857" spans="1:7" x14ac:dyDescent="0.25">
      <c r="A857" s="4" t="s">
        <v>630</v>
      </c>
      <c r="B857" s="5">
        <v>45461</v>
      </c>
      <c r="C857" s="6" t="s">
        <v>8</v>
      </c>
      <c r="D857" s="6" t="s">
        <v>9</v>
      </c>
      <c r="E857" s="6" t="s">
        <v>80</v>
      </c>
      <c r="F857" s="6" cm="1">
        <f t="array" aca="1" ref="F857" ca="1">IF(Table3[[#This Row],[Stage]]="Closed",0,IF(IFERROR(
  IF(
    COUNTIF(A$2:A$1997, A857) &gt; 1,
    MIN(IF(A$2:A$1997=A857, IF(B$2:B$1997&gt;B857, B$2:B$1997))) - B857,
    TODAY() - Table3[[#This Row],[Date of Update]]
  ),
  TODAY()-Table3[[#This Row],[Date of Update]]
)&lt;=0,
TODAY()-Table3[[#This Row],[Date of Update]],
IFERROR(
  IF(
    COUNTIF(A$2:A$1997, A857) &gt; 1,
    MIN(IF(A$2:A$1997=A857, IF(B$2:B$1997&gt;B857, B$2:B$1997))) - B857,
    TODAY() - Table3[[#This Row],[Date of Update]]
  ),
  TODAY()-Table3[[#This Row],[Date of Update]]
)))</f>
        <v>15</v>
      </c>
      <c r="G857" s="7" t="str">
        <f>IF(Table3[[#This Row],[Stage]]="Closed",Table3[[#This Row],[Date of Update]]-(_xlfn.MINIFS(Table3[Date of Update],Table3[Ref], Table3[[#This Row],[Ref]])),"")</f>
        <v/>
      </c>
    </row>
    <row r="858" spans="1:7" x14ac:dyDescent="0.25">
      <c r="A858" s="4" t="s">
        <v>631</v>
      </c>
      <c r="B858" s="5">
        <v>45461</v>
      </c>
      <c r="C858" s="6" t="s">
        <v>8</v>
      </c>
      <c r="D858" s="6" t="s">
        <v>9</v>
      </c>
      <c r="E858" s="6" t="s">
        <v>453</v>
      </c>
      <c r="F858" s="6" cm="1">
        <f t="array" aca="1" ref="F858" ca="1">IF(Table3[[#This Row],[Stage]]="Closed",0,IF(IFERROR(
  IF(
    COUNTIF(A$2:A$1997, A858) &gt; 1,
    MIN(IF(A$2:A$1997=A858, IF(B$2:B$1997&gt;B858, B$2:B$1997))) - B858,
    TODAY() - Table3[[#This Row],[Date of Update]]
  ),
  TODAY()-Table3[[#This Row],[Date of Update]]
)&lt;=0,
TODAY()-Table3[[#This Row],[Date of Update]],
IFERROR(
  IF(
    COUNTIF(A$2:A$1997, A858) &gt; 1,
    MIN(IF(A$2:A$1997=A858, IF(B$2:B$1997&gt;B858, B$2:B$1997))) - B858,
    TODAY() - Table3[[#This Row],[Date of Update]]
  ),
  TODAY()-Table3[[#This Row],[Date of Update]]
)))</f>
        <v>15</v>
      </c>
      <c r="G858" s="7" t="str">
        <f>IF(Table3[[#This Row],[Stage]]="Closed",Table3[[#This Row],[Date of Update]]-(_xlfn.MINIFS(Table3[Date of Update],Table3[Ref], Table3[[#This Row],[Ref]])),"")</f>
        <v/>
      </c>
    </row>
    <row r="859" spans="1:7" x14ac:dyDescent="0.25">
      <c r="A859" s="4" t="s">
        <v>626</v>
      </c>
      <c r="B859" s="5">
        <v>45463</v>
      </c>
      <c r="C859" s="6" t="s">
        <v>564</v>
      </c>
      <c r="D859" s="6" t="s">
        <v>549</v>
      </c>
      <c r="E859" s="6" t="s">
        <v>632</v>
      </c>
      <c r="F859" s="6" cm="1">
        <f t="array" aca="1" ref="F859" ca="1">IF(Table3[[#This Row],[Stage]]="Closed",0,IF(IFERROR(
  IF(
    COUNTIF(A$2:A$1997, A859) &gt; 1,
    MIN(IF(A$2:A$1997=A859, IF(B$2:B$1997&gt;B859, B$2:B$1997))) - B859,
    TODAY() - Table3[[#This Row],[Date of Update]]
  ),
  TODAY()-Table3[[#This Row],[Date of Update]]
)&lt;=0,
TODAY()-Table3[[#This Row],[Date of Update]],
IFERROR(
  IF(
    COUNTIF(A$2:A$1997, A859) &gt; 1,
    MIN(IF(A$2:A$1997=A859, IF(B$2:B$1997&gt;B859, B$2:B$1997))) - B859,
    TODAY() - Table3[[#This Row],[Date of Update]]
  ),
  TODAY()-Table3[[#This Row],[Date of Update]]
)))</f>
        <v>272</v>
      </c>
      <c r="G859" s="7" t="str">
        <f>IF(Table3[[#This Row],[Stage]]="Closed",Table3[[#This Row],[Date of Update]]-(_xlfn.MINIFS(Table3[Date of Update],Table3[Ref], Table3[[#This Row],[Ref]])),"")</f>
        <v/>
      </c>
    </row>
    <row r="860" spans="1:7" x14ac:dyDescent="0.25">
      <c r="A860" s="4" t="s">
        <v>616</v>
      </c>
      <c r="B860" s="5">
        <v>45475</v>
      </c>
      <c r="C860" s="6" t="s">
        <v>17</v>
      </c>
      <c r="D860" s="6" t="s">
        <v>9</v>
      </c>
      <c r="E860" s="6" t="s">
        <v>617</v>
      </c>
      <c r="F860" s="6" cm="1">
        <f t="array" aca="1" ref="F860" ca="1">IF(Table3[[#This Row],[Stage]]="Closed",0,IF(IFERROR(
  IF(
    COUNTIF(A$2:A$1997, A860) &gt; 1,
    MIN(IF(A$2:A$1997=A860, IF(B$2:B$1997&gt;B860, B$2:B$1997))) - B860,
    TODAY() - Table3[[#This Row],[Date of Update]]
  ),
  TODAY()-Table3[[#This Row],[Date of Update]]
)&lt;=0,
TODAY()-Table3[[#This Row],[Date of Update]],
IFERROR(
  IF(
    COUNTIF(A$2:A$1997, A860) &gt; 1,
    MIN(IF(A$2:A$1997=A860, IF(B$2:B$1997&gt;B860, B$2:B$1997))) - B860,
    TODAY() - Table3[[#This Row],[Date of Update]]
  ),
  TODAY()-Table3[[#This Row],[Date of Update]]
)))</f>
        <v>0</v>
      </c>
      <c r="G860" s="7">
        <f>IF(Table3[[#This Row],[Stage]]="Closed",Table3[[#This Row],[Date of Update]]-(_xlfn.MINIFS(Table3[Date of Update],Table3[Ref], Table3[[#This Row],[Ref]])),"")</f>
        <v>50</v>
      </c>
    </row>
    <row r="861" spans="1:7" x14ac:dyDescent="0.25">
      <c r="A861" s="4" t="s">
        <v>592</v>
      </c>
      <c r="B861" s="5">
        <v>45475</v>
      </c>
      <c r="C861" s="6" t="s">
        <v>564</v>
      </c>
      <c r="D861" s="6" t="s">
        <v>575</v>
      </c>
      <c r="E861" s="6" t="s">
        <v>633</v>
      </c>
      <c r="F861" s="6" cm="1">
        <f t="array" aca="1" ref="F861" ca="1">IF(Table3[[#This Row],[Stage]]="Closed",0,IF(IFERROR(
  IF(
    COUNTIF(A$2:A$1997, A861) &gt; 1,
    MIN(IF(A$2:A$1997=A861, IF(B$2:B$1997&gt;B861, B$2:B$1997))) - B861,
    TODAY() - Table3[[#This Row],[Date of Update]]
  ),
  TODAY()-Table3[[#This Row],[Date of Update]]
)&lt;=0,
TODAY()-Table3[[#This Row],[Date of Update]],
IFERROR(
  IF(
    COUNTIF(A$2:A$1997, A861) &gt; 1,
    MIN(IF(A$2:A$1997=A861, IF(B$2:B$1997&gt;B861, B$2:B$1997))) - B861,
    TODAY() - Table3[[#This Row],[Date of Update]]
  ),
  TODAY()-Table3[[#This Row],[Date of Update]]
)))</f>
        <v>7</v>
      </c>
      <c r="G861" s="7" t="str">
        <f>IF(Table3[[#This Row],[Stage]]="Closed",Table3[[#This Row],[Date of Update]]-(_xlfn.MINIFS(Table3[Date of Update],Table3[Ref], Table3[[#This Row],[Ref]])),"")</f>
        <v/>
      </c>
    </row>
    <row r="862" spans="1:7" x14ac:dyDescent="0.25">
      <c r="A862" s="4" t="s">
        <v>630</v>
      </c>
      <c r="B862" s="5">
        <v>45476</v>
      </c>
      <c r="C862" s="6" t="s">
        <v>17</v>
      </c>
      <c r="D862" s="6" t="s">
        <v>9</v>
      </c>
      <c r="E862" s="6" t="s">
        <v>80</v>
      </c>
      <c r="F862" s="6" cm="1">
        <f t="array" aca="1" ref="F862" ca="1">IF(Table3[[#This Row],[Stage]]="Closed",0,IF(IFERROR(
  IF(
    COUNTIF(A$2:A$1997, A862) &gt; 1,
    MIN(IF(A$2:A$1997=A862, IF(B$2:B$1997&gt;B862, B$2:B$1997))) - B862,
    TODAY() - Table3[[#This Row],[Date of Update]]
  ),
  TODAY()-Table3[[#This Row],[Date of Update]]
)&lt;=0,
TODAY()-Table3[[#This Row],[Date of Update]],
IFERROR(
  IF(
    COUNTIF(A$2:A$1997, A862) &gt; 1,
    MIN(IF(A$2:A$1997=A862, IF(B$2:B$1997&gt;B862, B$2:B$1997))) - B862,
    TODAY() - Table3[[#This Row],[Date of Update]]
  ),
  TODAY()-Table3[[#This Row],[Date of Update]]
)))</f>
        <v>0</v>
      </c>
      <c r="G862" s="7">
        <f>IF(Table3[[#This Row],[Stage]]="Closed",Table3[[#This Row],[Date of Update]]-(_xlfn.MINIFS(Table3[Date of Update],Table3[Ref], Table3[[#This Row],[Ref]])),"")</f>
        <v>15</v>
      </c>
    </row>
    <row r="863" spans="1:7" x14ac:dyDescent="0.25">
      <c r="A863" s="4" t="s">
        <v>631</v>
      </c>
      <c r="B863" s="5">
        <v>45476</v>
      </c>
      <c r="C863" s="6" t="s">
        <v>17</v>
      </c>
      <c r="D863" s="6" t="s">
        <v>9</v>
      </c>
      <c r="E863" s="6" t="s">
        <v>453</v>
      </c>
      <c r="F863" s="6" cm="1">
        <f t="array" aca="1" ref="F863" ca="1">IF(Table3[[#This Row],[Stage]]="Closed",0,IF(IFERROR(
  IF(
    COUNTIF(A$2:A$1997, A863) &gt; 1,
    MIN(IF(A$2:A$1997=A863, IF(B$2:B$1997&gt;B863, B$2:B$1997))) - B863,
    TODAY() - Table3[[#This Row],[Date of Update]]
  ),
  TODAY()-Table3[[#This Row],[Date of Update]]
)&lt;=0,
TODAY()-Table3[[#This Row],[Date of Update]],
IFERROR(
  IF(
    COUNTIF(A$2:A$1997, A863) &gt; 1,
    MIN(IF(A$2:A$1997=A863, IF(B$2:B$1997&gt;B863, B$2:B$1997))) - B863,
    TODAY() - Table3[[#This Row],[Date of Update]]
  ),
  TODAY()-Table3[[#This Row],[Date of Update]]
)))</f>
        <v>0</v>
      </c>
      <c r="G863" s="7">
        <f>IF(Table3[[#This Row],[Stage]]="Closed",Table3[[#This Row],[Date of Update]]-(_xlfn.MINIFS(Table3[Date of Update],Table3[Ref], Table3[[#This Row],[Ref]])),"")</f>
        <v>15</v>
      </c>
    </row>
    <row r="864" spans="1:7" x14ac:dyDescent="0.25">
      <c r="A864" s="4" t="s">
        <v>634</v>
      </c>
      <c r="B864" s="5">
        <v>45476</v>
      </c>
      <c r="C864" s="6" t="s">
        <v>8</v>
      </c>
      <c r="D864" s="6" t="s">
        <v>9</v>
      </c>
      <c r="E864" s="6" t="s">
        <v>635</v>
      </c>
      <c r="F864" s="6" cm="1">
        <f t="array" aca="1" ref="F864" ca="1">IF(Table3[[#This Row],[Stage]]="Closed",0,IF(IFERROR(
  IF(
    COUNTIF(A$2:A$1997, A864) &gt; 1,
    MIN(IF(A$2:A$1997=A864, IF(B$2:B$1997&gt;B864, B$2:B$1997))) - B864,
    TODAY() - Table3[[#This Row],[Date of Update]]
  ),
  TODAY()-Table3[[#This Row],[Date of Update]]
)&lt;=0,
TODAY()-Table3[[#This Row],[Date of Update]],
IFERROR(
  IF(
    COUNTIF(A$2:A$1997, A864) &gt; 1,
    MIN(IF(A$2:A$1997=A864, IF(B$2:B$1997&gt;B864, B$2:B$1997))) - B864,
    TODAY() - Table3[[#This Row],[Date of Update]]
  ),
  TODAY()-Table3[[#This Row],[Date of Update]]
)))</f>
        <v>1</v>
      </c>
      <c r="G864" s="7" t="str">
        <f>IF(Table3[[#This Row],[Stage]]="Closed",Table3[[#This Row],[Date of Update]]-(_xlfn.MINIFS(Table3[Date of Update],Table3[Ref], Table3[[#This Row],[Ref]])),"")</f>
        <v/>
      </c>
    </row>
    <row r="865" spans="1:7" x14ac:dyDescent="0.25">
      <c r="A865" s="4" t="s">
        <v>634</v>
      </c>
      <c r="B865" s="5">
        <v>45476</v>
      </c>
      <c r="C865" s="6" t="s">
        <v>564</v>
      </c>
      <c r="D865" s="6" t="s">
        <v>549</v>
      </c>
      <c r="E865" s="6" t="s">
        <v>635</v>
      </c>
      <c r="F865" s="6" cm="1">
        <f t="array" aca="1" ref="F865" ca="1">IF(Table3[[#This Row],[Stage]]="Closed",0,IF(IFERROR(
  IF(
    COUNTIF(A$2:A$1997, A865) &gt; 1,
    MIN(IF(A$2:A$1997=A865, IF(B$2:B$1997&gt;B865, B$2:B$1997))) - B865,
    TODAY() - Table3[[#This Row],[Date of Update]]
  ),
  TODAY()-Table3[[#This Row],[Date of Update]]
)&lt;=0,
TODAY()-Table3[[#This Row],[Date of Update]],
IFERROR(
  IF(
    COUNTIF(A$2:A$1997, A865) &gt; 1,
    MIN(IF(A$2:A$1997=A865, IF(B$2:B$1997&gt;B865, B$2:B$1997))) - B865,
    TODAY() - Table3[[#This Row],[Date of Update]]
  ),
  TODAY()-Table3[[#This Row],[Date of Update]]
)))</f>
        <v>1</v>
      </c>
      <c r="G865" s="7" t="str">
        <f>IF(Table3[[#This Row],[Stage]]="Closed",Table3[[#This Row],[Date of Update]]-(_xlfn.MINIFS(Table3[Date of Update],Table3[Ref], Table3[[#This Row],[Ref]])),"")</f>
        <v/>
      </c>
    </row>
    <row r="866" spans="1:7" x14ac:dyDescent="0.25">
      <c r="A866" s="4" t="s">
        <v>577</v>
      </c>
      <c r="B866" s="5">
        <v>45477</v>
      </c>
      <c r="C866" s="6" t="s">
        <v>580</v>
      </c>
      <c r="D866" s="6" t="s">
        <v>9</v>
      </c>
      <c r="E866" s="6" t="s">
        <v>636</v>
      </c>
      <c r="F866" s="6" cm="1">
        <f t="array" aca="1" ref="F866" ca="1">IF(Table3[[#This Row],[Stage]]="Closed",0,IF(IFERROR(
  IF(
    COUNTIF(A$2:A$1997, A866) &gt; 1,
    MIN(IF(A$2:A$1997=A866, IF(B$2:B$1997&gt;B866, B$2:B$1997))) - B866,
    TODAY() - Table3[[#This Row],[Date of Update]]
  ),
  TODAY()-Table3[[#This Row],[Date of Update]]
)&lt;=0,
TODAY()-Table3[[#This Row],[Date of Update]],
IFERROR(
  IF(
    COUNTIF(A$2:A$1997, A866) &gt; 1,
    MIN(IF(A$2:A$1997=A866, IF(B$2:B$1997&gt;B866, B$2:B$1997))) - B866,
    TODAY() - Table3[[#This Row],[Date of Update]]
  ),
  TODAY()-Table3[[#This Row],[Date of Update]]
)))</f>
        <v>1</v>
      </c>
      <c r="G866" s="7" t="str">
        <f>IF(Table3[[#This Row],[Stage]]="Closed",Table3[[#This Row],[Date of Update]]-(_xlfn.MINIFS(Table3[Date of Update],Table3[Ref], Table3[[#This Row],[Ref]])),"")</f>
        <v/>
      </c>
    </row>
    <row r="867" spans="1:7" x14ac:dyDescent="0.25">
      <c r="A867" s="4" t="s">
        <v>634</v>
      </c>
      <c r="B867" s="5">
        <v>45477</v>
      </c>
      <c r="C867" s="6" t="s">
        <v>564</v>
      </c>
      <c r="D867" s="6" t="s">
        <v>575</v>
      </c>
      <c r="E867" s="6" t="s">
        <v>635</v>
      </c>
      <c r="F867" s="6" cm="1">
        <f t="array" aca="1" ref="F867" ca="1">IF(Table3[[#This Row],[Stage]]="Closed",0,IF(IFERROR(
  IF(
    COUNTIF(A$2:A$1997, A867) &gt; 1,
    MIN(IF(A$2:A$1997=A867, IF(B$2:B$1997&gt;B867, B$2:B$1997))) - B867,
    TODAY() - Table3[[#This Row],[Date of Update]]
  ),
  TODAY()-Table3[[#This Row],[Date of Update]]
)&lt;=0,
TODAY()-Table3[[#This Row],[Date of Update]],
IFERROR(
  IF(
    COUNTIF(A$2:A$1997, A867) &gt; 1,
    MIN(IF(A$2:A$1997=A867, IF(B$2:B$1997&gt;B867, B$2:B$1997))) - B867,
    TODAY() - Table3[[#This Row],[Date of Update]]
  ),
  TODAY()-Table3[[#This Row],[Date of Update]]
)))</f>
        <v>489</v>
      </c>
      <c r="G867" s="7" t="str">
        <f>IF(Table3[[#This Row],[Stage]]="Closed",Table3[[#This Row],[Date of Update]]-(_xlfn.MINIFS(Table3[Date of Update],Table3[Ref], Table3[[#This Row],[Ref]])),"")</f>
        <v/>
      </c>
    </row>
    <row r="868" spans="1:7" x14ac:dyDescent="0.25">
      <c r="A868" s="4" t="s">
        <v>577</v>
      </c>
      <c r="B868" s="5">
        <v>45478</v>
      </c>
      <c r="C868" s="6" t="s">
        <v>580</v>
      </c>
      <c r="D868" s="6" t="s">
        <v>549</v>
      </c>
      <c r="E868" s="6" t="s">
        <v>637</v>
      </c>
      <c r="F868" s="6" cm="1">
        <f t="array" aca="1" ref="F868" ca="1">IF(Table3[[#This Row],[Stage]]="Closed",0,IF(IFERROR(
  IF(
    COUNTIF(A$2:A$1997, A868) &gt; 1,
    MIN(IF(A$2:A$1997=A868, IF(B$2:B$1997&gt;B868, B$2:B$1997))) - B868,
    TODAY() - Table3[[#This Row],[Date of Update]]
  ),
  TODAY()-Table3[[#This Row],[Date of Update]]
)&lt;=0,
TODAY()-Table3[[#This Row],[Date of Update]],
IFERROR(
  IF(
    COUNTIF(A$2:A$1997, A868) &gt; 1,
    MIN(IF(A$2:A$1997=A868, IF(B$2:B$1997&gt;B868, B$2:B$1997))) - B868,
    TODAY() - Table3[[#This Row],[Date of Update]]
  ),
  TODAY()-Table3[[#This Row],[Date of Update]]
)))</f>
        <v>488</v>
      </c>
      <c r="G868" s="7" t="str">
        <f>IF(Table3[[#This Row],[Stage]]="Closed",Table3[[#This Row],[Date of Update]]-(_xlfn.MINIFS(Table3[Date of Update],Table3[Ref], Table3[[#This Row],[Ref]])),"")</f>
        <v/>
      </c>
    </row>
    <row r="869" spans="1:7" x14ac:dyDescent="0.25">
      <c r="A869" s="4" t="s">
        <v>592</v>
      </c>
      <c r="B869" s="5">
        <v>45482</v>
      </c>
      <c r="C869" s="6" t="s">
        <v>638</v>
      </c>
      <c r="D869" s="6" t="s">
        <v>549</v>
      </c>
      <c r="E869" s="6" t="s">
        <v>639</v>
      </c>
      <c r="F869" s="6" cm="1">
        <f t="array" aca="1" ref="F869" ca="1">IF(Table3[[#This Row],[Stage]]="Closed",0,IF(IFERROR(
  IF(
    COUNTIF(A$2:A$1997, A869) &gt; 1,
    MIN(IF(A$2:A$1997=A869, IF(B$2:B$1997&gt;B869, B$2:B$1997))) - B869,
    TODAY() - Table3[[#This Row],[Date of Update]]
  ),
  TODAY()-Table3[[#This Row],[Date of Update]]
)&lt;=0,
TODAY()-Table3[[#This Row],[Date of Update]],
IFERROR(
  IF(
    COUNTIF(A$2:A$1997, A869) &gt; 1,
    MIN(IF(A$2:A$1997=A869, IF(B$2:B$1997&gt;B869, B$2:B$1997))) - B869,
    TODAY() - Table3[[#This Row],[Date of Update]]
  ),
  TODAY()-Table3[[#This Row],[Date of Update]]
)))</f>
        <v>484</v>
      </c>
      <c r="G869" s="7" t="str">
        <f>IF(Table3[[#This Row],[Stage]]="Closed",Table3[[#This Row],[Date of Update]]-(_xlfn.MINIFS(Table3[Date of Update],Table3[Ref], Table3[[#This Row],[Ref]])),"")</f>
        <v/>
      </c>
    </row>
    <row r="870" spans="1:7" x14ac:dyDescent="0.25">
      <c r="A870" s="4" t="s">
        <v>640</v>
      </c>
      <c r="B870" s="5">
        <v>45484</v>
      </c>
      <c r="C870" s="6" t="s">
        <v>8</v>
      </c>
      <c r="D870" s="6" t="s">
        <v>9</v>
      </c>
      <c r="E870" s="6" t="s">
        <v>641</v>
      </c>
      <c r="F870" s="6" cm="1">
        <f t="array" aca="1" ref="F870" ca="1">IF(Table3[[#This Row],[Stage]]="Closed",0,IF(IFERROR(
  IF(
    COUNTIF(A$2:A$1997, A870) &gt; 1,
    MIN(IF(A$2:A$1997=A870, IF(B$2:B$1997&gt;B870, B$2:B$1997))) - B870,
    TODAY() - Table3[[#This Row],[Date of Update]]
  ),
  TODAY()-Table3[[#This Row],[Date of Update]]
)&lt;=0,
TODAY()-Table3[[#This Row],[Date of Update]],
IFERROR(
  IF(
    COUNTIF(A$2:A$1997, A870) &gt; 1,
    MIN(IF(A$2:A$1997=A870, IF(B$2:B$1997&gt;B870, B$2:B$1997))) - B870,
    TODAY() - Table3[[#This Row],[Date of Update]]
  ),
  TODAY()-Table3[[#This Row],[Date of Update]]
)))</f>
        <v>11</v>
      </c>
      <c r="G870" s="7" t="str">
        <f>IF(Table3[[#This Row],[Stage]]="Closed",Table3[[#This Row],[Date of Update]]-(_xlfn.MINIFS(Table3[Date of Update],Table3[Ref], Table3[[#This Row],[Ref]])),"")</f>
        <v/>
      </c>
    </row>
    <row r="871" spans="1:7" x14ac:dyDescent="0.25">
      <c r="A871" s="4" t="s">
        <v>642</v>
      </c>
      <c r="B871" s="5">
        <v>45484</v>
      </c>
      <c r="C871" s="6" t="s">
        <v>8</v>
      </c>
      <c r="D871" s="6" t="s">
        <v>9</v>
      </c>
      <c r="E871" s="6" t="s">
        <v>641</v>
      </c>
      <c r="F871" s="6" cm="1">
        <f t="array" aca="1" ref="F871" ca="1">IF(Table3[[#This Row],[Stage]]="Closed",0,IF(IFERROR(
  IF(
    COUNTIF(A$2:A$1997, A871) &gt; 1,
    MIN(IF(A$2:A$1997=A871, IF(B$2:B$1997&gt;B871, B$2:B$1997))) - B871,
    TODAY() - Table3[[#This Row],[Date of Update]]
  ),
  TODAY()-Table3[[#This Row],[Date of Update]]
)&lt;=0,
TODAY()-Table3[[#This Row],[Date of Update]],
IFERROR(
  IF(
    COUNTIF(A$2:A$1997, A871) &gt; 1,
    MIN(IF(A$2:A$1997=A871, IF(B$2:B$1997&gt;B871, B$2:B$1997))) - B871,
    TODAY() - Table3[[#This Row],[Date of Update]]
  ),
  TODAY()-Table3[[#This Row],[Date of Update]]
)))</f>
        <v>11</v>
      </c>
      <c r="G871" s="7" t="str">
        <f>IF(Table3[[#This Row],[Stage]]="Closed",Table3[[#This Row],[Date of Update]]-(_xlfn.MINIFS(Table3[Date of Update],Table3[Ref], Table3[[#This Row],[Ref]])),"")</f>
        <v/>
      </c>
    </row>
    <row r="872" spans="1:7" x14ac:dyDescent="0.25">
      <c r="A872" s="4" t="s">
        <v>643</v>
      </c>
      <c r="B872" s="5">
        <v>45484</v>
      </c>
      <c r="C872" s="6" t="s">
        <v>8</v>
      </c>
      <c r="D872" s="6" t="s">
        <v>9</v>
      </c>
      <c r="E872" s="6" t="s">
        <v>641</v>
      </c>
      <c r="F872" s="6" cm="1">
        <f t="array" aca="1" ref="F872" ca="1">IF(Table3[[#This Row],[Stage]]="Closed",0,IF(IFERROR(
  IF(
    COUNTIF(A$2:A$1997, A872) &gt; 1,
    MIN(IF(A$2:A$1997=A872, IF(B$2:B$1997&gt;B872, B$2:B$1997))) - B872,
    TODAY() - Table3[[#This Row],[Date of Update]]
  ),
  TODAY()-Table3[[#This Row],[Date of Update]]
)&lt;=0,
TODAY()-Table3[[#This Row],[Date of Update]],
IFERROR(
  IF(
    COUNTIF(A$2:A$1997, A872) &gt; 1,
    MIN(IF(A$2:A$1997=A872, IF(B$2:B$1997&gt;B872, B$2:B$1997))) - B872,
    TODAY() - Table3[[#This Row],[Date of Update]]
  ),
  TODAY()-Table3[[#This Row],[Date of Update]]
)))</f>
        <v>11</v>
      </c>
      <c r="G872" s="7" t="str">
        <f>IF(Table3[[#This Row],[Stage]]="Closed",Table3[[#This Row],[Date of Update]]-(_xlfn.MINIFS(Table3[Date of Update],Table3[Ref], Table3[[#This Row],[Ref]])),"")</f>
        <v/>
      </c>
    </row>
    <row r="873" spans="1:7" x14ac:dyDescent="0.25">
      <c r="A873" s="4" t="s">
        <v>644</v>
      </c>
      <c r="B873" s="5">
        <v>45484</v>
      </c>
      <c r="C873" s="6" t="s">
        <v>8</v>
      </c>
      <c r="D873" s="6" t="s">
        <v>9</v>
      </c>
      <c r="E873" s="6" t="s">
        <v>641</v>
      </c>
      <c r="F873" s="6" cm="1">
        <f t="array" aca="1" ref="F873" ca="1">IF(Table3[[#This Row],[Stage]]="Closed",0,IF(IFERROR(
  IF(
    COUNTIF(A$2:A$1997, A873) &gt; 1,
    MIN(IF(A$2:A$1997=A873, IF(B$2:B$1997&gt;B873, B$2:B$1997))) - B873,
    TODAY() - Table3[[#This Row],[Date of Update]]
  ),
  TODAY()-Table3[[#This Row],[Date of Update]]
)&lt;=0,
TODAY()-Table3[[#This Row],[Date of Update]],
IFERROR(
  IF(
    COUNTIF(A$2:A$1997, A873) &gt; 1,
    MIN(IF(A$2:A$1997=A873, IF(B$2:B$1997&gt;B873, B$2:B$1997))) - B873,
    TODAY() - Table3[[#This Row],[Date of Update]]
  ),
  TODAY()-Table3[[#This Row],[Date of Update]]
)))</f>
        <v>11</v>
      </c>
      <c r="G873" s="7" t="str">
        <f>IF(Table3[[#This Row],[Stage]]="Closed",Table3[[#This Row],[Date of Update]]-(_xlfn.MINIFS(Table3[Date of Update],Table3[Ref], Table3[[#This Row],[Ref]])),"")</f>
        <v/>
      </c>
    </row>
    <row r="874" spans="1:7" x14ac:dyDescent="0.25">
      <c r="A874" s="4" t="s">
        <v>645</v>
      </c>
      <c r="B874" s="5">
        <v>45484</v>
      </c>
      <c r="C874" s="6" t="s">
        <v>8</v>
      </c>
      <c r="D874" s="6" t="s">
        <v>9</v>
      </c>
      <c r="E874" s="6" t="s">
        <v>641</v>
      </c>
      <c r="F874" s="6" cm="1">
        <f t="array" aca="1" ref="F874" ca="1">IF(Table3[[#This Row],[Stage]]="Closed",0,IF(IFERROR(
  IF(
    COUNTIF(A$2:A$1997, A874) &gt; 1,
    MIN(IF(A$2:A$1997=A874, IF(B$2:B$1997&gt;B874, B$2:B$1997))) - B874,
    TODAY() - Table3[[#This Row],[Date of Update]]
  ),
  TODAY()-Table3[[#This Row],[Date of Update]]
)&lt;=0,
TODAY()-Table3[[#This Row],[Date of Update]],
IFERROR(
  IF(
    COUNTIF(A$2:A$1997, A874) &gt; 1,
    MIN(IF(A$2:A$1997=A874, IF(B$2:B$1997&gt;B874, B$2:B$1997))) - B874,
    TODAY() - Table3[[#This Row],[Date of Update]]
  ),
  TODAY()-Table3[[#This Row],[Date of Update]]
)))</f>
        <v>11</v>
      </c>
      <c r="G874" s="7" t="str">
        <f>IF(Table3[[#This Row],[Stage]]="Closed",Table3[[#This Row],[Date of Update]]-(_xlfn.MINIFS(Table3[Date of Update],Table3[Ref], Table3[[#This Row],[Ref]])),"")</f>
        <v/>
      </c>
    </row>
    <row r="875" spans="1:7" x14ac:dyDescent="0.25">
      <c r="A875" s="4" t="s">
        <v>646</v>
      </c>
      <c r="B875" s="5">
        <v>45484</v>
      </c>
      <c r="C875" s="6" t="s">
        <v>8</v>
      </c>
      <c r="D875" s="6" t="s">
        <v>9</v>
      </c>
      <c r="E875" s="6" t="s">
        <v>647</v>
      </c>
      <c r="F875" s="6" cm="1">
        <f t="array" aca="1" ref="F875" ca="1">IF(Table3[[#This Row],[Stage]]="Closed",0,IF(IFERROR(
  IF(
    COUNTIF(A$2:A$1997, A875) &gt; 1,
    MIN(IF(A$2:A$1997=A875, IF(B$2:B$1997&gt;B875, B$2:B$1997))) - B875,
    TODAY() - Table3[[#This Row],[Date of Update]]
  ),
  TODAY()-Table3[[#This Row],[Date of Update]]
)&lt;=0,
TODAY()-Table3[[#This Row],[Date of Update]],
IFERROR(
  IF(
    COUNTIF(A$2:A$1997, A875) &gt; 1,
    MIN(IF(A$2:A$1997=A875, IF(B$2:B$1997&gt;B875, B$2:B$1997))) - B875,
    TODAY() - Table3[[#This Row],[Date of Update]]
  ),
  TODAY()-Table3[[#This Row],[Date of Update]]
)))</f>
        <v>482</v>
      </c>
      <c r="G875" s="7" t="str">
        <f>IF(Table3[[#This Row],[Stage]]="Closed",Table3[[#This Row],[Date of Update]]-(_xlfn.MINIFS(Table3[Date of Update],Table3[Ref], Table3[[#This Row],[Ref]])),"")</f>
        <v/>
      </c>
    </row>
    <row r="876" spans="1:7" x14ac:dyDescent="0.25">
      <c r="A876" s="4" t="s">
        <v>646</v>
      </c>
      <c r="B876" s="5">
        <v>45484</v>
      </c>
      <c r="C876" s="6" t="s">
        <v>17</v>
      </c>
      <c r="D876" s="6" t="s">
        <v>9</v>
      </c>
      <c r="E876" s="6" t="s">
        <v>647</v>
      </c>
      <c r="F876" s="6" cm="1">
        <f t="array" aca="1" ref="F876" ca="1">IF(Table3[[#This Row],[Stage]]="Closed",0,IF(IFERROR(
  IF(
    COUNTIF(A$2:A$1997, A876) &gt; 1,
    MIN(IF(A$2:A$1997=A876, IF(B$2:B$1997&gt;B876, B$2:B$1997))) - B876,
    TODAY() - Table3[[#This Row],[Date of Update]]
  ),
  TODAY()-Table3[[#This Row],[Date of Update]]
)&lt;=0,
TODAY()-Table3[[#This Row],[Date of Update]],
IFERROR(
  IF(
    COUNTIF(A$2:A$1997, A876) &gt; 1,
    MIN(IF(A$2:A$1997=A876, IF(B$2:B$1997&gt;B876, B$2:B$1997))) - B876,
    TODAY() - Table3[[#This Row],[Date of Update]]
  ),
  TODAY()-Table3[[#This Row],[Date of Update]]
)))</f>
        <v>0</v>
      </c>
      <c r="G876" s="7">
        <f>IF(Table3[[#This Row],[Stage]]="Closed",Table3[[#This Row],[Date of Update]]-(_xlfn.MINIFS(Table3[Date of Update],Table3[Ref], Table3[[#This Row],[Ref]])),"")</f>
        <v>0</v>
      </c>
    </row>
    <row r="877" spans="1:7" x14ac:dyDescent="0.25">
      <c r="A877" s="4" t="s">
        <v>648</v>
      </c>
      <c r="B877" s="5">
        <v>45484</v>
      </c>
      <c r="C877" s="6" t="s">
        <v>8</v>
      </c>
      <c r="D877" s="6" t="s">
        <v>9</v>
      </c>
      <c r="E877" s="6" t="s">
        <v>641</v>
      </c>
      <c r="F877" s="6" cm="1">
        <f t="array" aca="1" ref="F877" ca="1">IF(Table3[[#This Row],[Stage]]="Closed",0,IF(IFERROR(
  IF(
    COUNTIF(A$2:A$1997, A877) &gt; 1,
    MIN(IF(A$2:A$1997=A877, IF(B$2:B$1997&gt;B877, B$2:B$1997))) - B877,
    TODAY() - Table3[[#This Row],[Date of Update]]
  ),
  TODAY()-Table3[[#This Row],[Date of Update]]
)&lt;=0,
TODAY()-Table3[[#This Row],[Date of Update]],
IFERROR(
  IF(
    COUNTIF(A$2:A$1997, A877) &gt; 1,
    MIN(IF(A$2:A$1997=A877, IF(B$2:B$1997&gt;B877, B$2:B$1997))) - B877,
    TODAY() - Table3[[#This Row],[Date of Update]]
  ),
  TODAY()-Table3[[#This Row],[Date of Update]]
)))</f>
        <v>11</v>
      </c>
      <c r="G877" s="7" t="str">
        <f>IF(Table3[[#This Row],[Stage]]="Closed",Table3[[#This Row],[Date of Update]]-(_xlfn.MINIFS(Table3[Date of Update],Table3[Ref], Table3[[#This Row],[Ref]])),"")</f>
        <v/>
      </c>
    </row>
    <row r="878" spans="1:7" x14ac:dyDescent="0.25">
      <c r="A878" s="8" t="s">
        <v>649</v>
      </c>
      <c r="B878" s="9">
        <v>45488</v>
      </c>
      <c r="C878" s="10" t="s">
        <v>8</v>
      </c>
      <c r="D878" s="10" t="s">
        <v>9</v>
      </c>
      <c r="E878" s="10" t="s">
        <v>650</v>
      </c>
      <c r="F878" s="10" cm="1">
        <f t="array" aca="1" ref="F878" ca="1">IF(Table3[[#This Row],[Stage]]="Closed",0,IF(IFERROR(
  IF(
    COUNTIF(A$2:A$1997, A878) &gt; 1,
    MIN(IF(A$2:A$1997=A878, IF(B$2:B$1997&gt;B878, B$2:B$1997))) - B878,
    TODAY() - Table3[[#This Row],[Date of Update]]
  ),
  TODAY()-Table3[[#This Row],[Date of Update]]
)&lt;=0,
TODAY()-Table3[[#This Row],[Date of Update]],
IFERROR(
  IF(
    COUNTIF(A$2:A$1997, A878) &gt; 1,
    MIN(IF(A$2:A$1997=A878, IF(B$2:B$1997&gt;B878, B$2:B$1997))) - B878,
    TODAY() - Table3[[#This Row],[Date of Update]]
  ),
  TODAY()-Table3[[#This Row],[Date of Update]]
)))</f>
        <v>478</v>
      </c>
      <c r="G878" s="11" t="str">
        <f>IF(Table3[[#This Row],[Stage]]="Closed",Table3[[#This Row],[Date of Update]]-(_xlfn.MINIFS(Table3[Date of Update],Table3[Ref], Table3[[#This Row],[Ref]])),"")</f>
        <v/>
      </c>
    </row>
    <row r="879" spans="1:7" x14ac:dyDescent="0.25">
      <c r="A879" s="8" t="s">
        <v>651</v>
      </c>
      <c r="B879" s="9">
        <v>45485</v>
      </c>
      <c r="C879" s="10" t="s">
        <v>8</v>
      </c>
      <c r="D879" s="10" t="s">
        <v>9</v>
      </c>
      <c r="E879" s="10" t="s">
        <v>652</v>
      </c>
      <c r="F879" s="10" cm="1">
        <f t="array" aca="1" ref="F879" ca="1">IF(Table3[[#This Row],[Stage]]="Closed",0,IF(IFERROR(
  IF(
    COUNTIF(A$2:A$1997, A879) &gt; 1,
    MIN(IF(A$2:A$1997=A879, IF(B$2:B$1997&gt;B879, B$2:B$1997))) - B879,
    TODAY() - Table3[[#This Row],[Date of Update]]
  ),
  TODAY()-Table3[[#This Row],[Date of Update]]
)&lt;=0,
TODAY()-Table3[[#This Row],[Date of Update]],
IFERROR(
  IF(
    COUNTIF(A$2:A$1997, A879) &gt; 1,
    MIN(IF(A$2:A$1997=A879, IF(B$2:B$1997&gt;B879, B$2:B$1997))) - B879,
    TODAY() - Table3[[#This Row],[Date of Update]]
  ),
  TODAY()-Table3[[#This Row],[Date of Update]]
)))</f>
        <v>481</v>
      </c>
      <c r="G879" s="11" t="str">
        <f>IF(Table3[[#This Row],[Stage]]="Closed",Table3[[#This Row],[Date of Update]]-(_xlfn.MINIFS(Table3[Date of Update],Table3[Ref], Table3[[#This Row],[Ref]])),"")</f>
        <v/>
      </c>
    </row>
    <row r="880" spans="1:7" x14ac:dyDescent="0.25">
      <c r="A880" s="8" t="s">
        <v>653</v>
      </c>
      <c r="B880" s="9">
        <v>45489</v>
      </c>
      <c r="C880" s="10" t="s">
        <v>8</v>
      </c>
      <c r="D880" s="10" t="s">
        <v>549</v>
      </c>
      <c r="E880" s="10" t="s">
        <v>654</v>
      </c>
      <c r="F880" s="10" cm="1">
        <f t="array" aca="1" ref="F880" ca="1">IF(Table3[[#This Row],[Stage]]="Closed",0,IF(IFERROR(
  IF(
    COUNTIF(A$2:A$1997, A880) &gt; 1,
    MIN(IF(A$2:A$1997=A880, IF(B$2:B$1997&gt;B880, B$2:B$1997))) - B880,
    TODAY() - Table3[[#This Row],[Date of Update]]
  ),
  TODAY()-Table3[[#This Row],[Date of Update]]
)&lt;=0,
TODAY()-Table3[[#This Row],[Date of Update]],
IFERROR(
  IF(
    COUNTIF(A$2:A$1997, A880) &gt; 1,
    MIN(IF(A$2:A$1997=A880, IF(B$2:B$1997&gt;B880, B$2:B$1997))) - B880,
    TODAY() - Table3[[#This Row],[Date of Update]]
  ),
  TODAY()-Table3[[#This Row],[Date of Update]]
)))</f>
        <v>477</v>
      </c>
      <c r="G880" s="11" t="str">
        <f>IF(Table3[[#This Row],[Stage]]="Closed",Table3[[#This Row],[Date of Update]]-(_xlfn.MINIFS(Table3[Date of Update],Table3[Ref], Table3[[#This Row],[Ref]])),"")</f>
        <v/>
      </c>
    </row>
    <row r="881" spans="1:7" x14ac:dyDescent="0.25">
      <c r="A881" s="8" t="s">
        <v>643</v>
      </c>
      <c r="B881" s="9">
        <v>45495</v>
      </c>
      <c r="C881" s="10" t="s">
        <v>8</v>
      </c>
      <c r="D881" s="10" t="s">
        <v>549</v>
      </c>
      <c r="E881" s="10" t="s">
        <v>655</v>
      </c>
      <c r="F881" s="10" cm="1">
        <f t="array" aca="1" ref="F881" ca="1">IF(Table3[[#This Row],[Stage]]="Closed",0,IF(IFERROR(
  IF(
    COUNTIF(A$2:A$1997, A881) &gt; 1,
    MIN(IF(A$2:A$1997=A881, IF(B$2:B$1997&gt;B881, B$2:B$1997))) - B881,
    TODAY() - Table3[[#This Row],[Date of Update]]
  ),
  TODAY()-Table3[[#This Row],[Date of Update]]
)&lt;=0,
TODAY()-Table3[[#This Row],[Date of Update]],
IFERROR(
  IF(
    COUNTIF(A$2:A$1997, A881) &gt; 1,
    MIN(IF(A$2:A$1997=A881, IF(B$2:B$1997&gt;B881, B$2:B$1997))) - B881,
    TODAY() - Table3[[#This Row],[Date of Update]]
  ),
  TODAY()-Table3[[#This Row],[Date of Update]]
)))</f>
        <v>471</v>
      </c>
      <c r="G881" s="11" t="str">
        <f>IF(Table3[[#This Row],[Stage]]="Closed",Table3[[#This Row],[Date of Update]]-(_xlfn.MINIFS(Table3[Date of Update],Table3[Ref], Table3[[#This Row],[Ref]])),"")</f>
        <v/>
      </c>
    </row>
    <row r="882" spans="1:7" x14ac:dyDescent="0.25">
      <c r="A882" s="8" t="s">
        <v>645</v>
      </c>
      <c r="B882" s="9">
        <v>45495</v>
      </c>
      <c r="C882" s="10" t="s">
        <v>8</v>
      </c>
      <c r="D882" s="10" t="s">
        <v>549</v>
      </c>
      <c r="E882" s="10" t="s">
        <v>655</v>
      </c>
      <c r="F882" s="10" cm="1">
        <f t="array" aca="1" ref="F882" ca="1">IF(Table3[[#This Row],[Stage]]="Closed",0,IF(IFERROR(
  IF(
    COUNTIF(A$2:A$1997, A882) &gt; 1,
    MIN(IF(A$2:A$1997=A882, IF(B$2:B$1997&gt;B882, B$2:B$1997))) - B882,
    TODAY() - Table3[[#This Row],[Date of Update]]
  ),
  TODAY()-Table3[[#This Row],[Date of Update]]
)&lt;=0,
TODAY()-Table3[[#This Row],[Date of Update]],
IFERROR(
  IF(
    COUNTIF(A$2:A$1997, A882) &gt; 1,
    MIN(IF(A$2:A$1997=A882, IF(B$2:B$1997&gt;B882, B$2:B$1997))) - B882,
    TODAY() - Table3[[#This Row],[Date of Update]]
  ),
  TODAY()-Table3[[#This Row],[Date of Update]]
)))</f>
        <v>471</v>
      </c>
      <c r="G882" s="11" t="str">
        <f>IF(Table3[[#This Row],[Stage]]="Closed",Table3[[#This Row],[Date of Update]]-(_xlfn.MINIFS(Table3[Date of Update],Table3[Ref], Table3[[#This Row],[Ref]])),"")</f>
        <v/>
      </c>
    </row>
    <row r="883" spans="1:7" x14ac:dyDescent="0.25">
      <c r="A883" s="8" t="s">
        <v>648</v>
      </c>
      <c r="B883" s="9">
        <v>45495</v>
      </c>
      <c r="C883" s="10" t="s">
        <v>8</v>
      </c>
      <c r="D883" s="10" t="s">
        <v>549</v>
      </c>
      <c r="E883" s="10" t="s">
        <v>655</v>
      </c>
      <c r="F883" s="10" cm="1">
        <f t="array" aca="1" ref="F883" ca="1">IF(Table3[[#This Row],[Stage]]="Closed",0,IF(IFERROR(
  IF(
    COUNTIF(A$2:A$1997, A883) &gt; 1,
    MIN(IF(A$2:A$1997=A883, IF(B$2:B$1997&gt;B883, B$2:B$1997))) - B883,
    TODAY() - Table3[[#This Row],[Date of Update]]
  ),
  TODAY()-Table3[[#This Row],[Date of Update]]
)&lt;=0,
TODAY()-Table3[[#This Row],[Date of Update]],
IFERROR(
  IF(
    COUNTIF(A$2:A$1997, A883) &gt; 1,
    MIN(IF(A$2:A$1997=A883, IF(B$2:B$1997&gt;B883, B$2:B$1997))) - B883,
    TODAY() - Table3[[#This Row],[Date of Update]]
  ),
  TODAY()-Table3[[#This Row],[Date of Update]]
)))</f>
        <v>471</v>
      </c>
      <c r="G883" s="11" t="str">
        <f>IF(Table3[[#This Row],[Stage]]="Closed",Table3[[#This Row],[Date of Update]]-(_xlfn.MINIFS(Table3[Date of Update],Table3[Ref], Table3[[#This Row],[Ref]])),"")</f>
        <v/>
      </c>
    </row>
    <row r="884" spans="1:7" x14ac:dyDescent="0.25">
      <c r="A884" s="8" t="s">
        <v>640</v>
      </c>
      <c r="B884" s="9">
        <v>45495</v>
      </c>
      <c r="C884" s="10" t="s">
        <v>8</v>
      </c>
      <c r="D884" s="10" t="s">
        <v>549</v>
      </c>
      <c r="E884" s="10" t="s">
        <v>655</v>
      </c>
      <c r="F884" s="10" cm="1">
        <f t="array" aca="1" ref="F884" ca="1">IF(Table3[[#This Row],[Stage]]="Closed",0,IF(IFERROR(
  IF(
    COUNTIF(A$2:A$1997, A884) &gt; 1,
    MIN(IF(A$2:A$1997=A884, IF(B$2:B$1997&gt;B884, B$2:B$1997))) - B884,
    TODAY() - Table3[[#This Row],[Date of Update]]
  ),
  TODAY()-Table3[[#This Row],[Date of Update]]
)&lt;=0,
TODAY()-Table3[[#This Row],[Date of Update]],
IFERROR(
  IF(
    COUNTIF(A$2:A$1997, A884) &gt; 1,
    MIN(IF(A$2:A$1997=A884, IF(B$2:B$1997&gt;B884, B$2:B$1997))) - B884,
    TODAY() - Table3[[#This Row],[Date of Update]]
  ),
  TODAY()-Table3[[#This Row],[Date of Update]]
)))</f>
        <v>471</v>
      </c>
      <c r="G884" s="11" t="str">
        <f>IF(Table3[[#This Row],[Stage]]="Closed",Table3[[#This Row],[Date of Update]]-(_xlfn.MINIFS(Table3[Date of Update],Table3[Ref], Table3[[#This Row],[Ref]])),"")</f>
        <v/>
      </c>
    </row>
    <row r="885" spans="1:7" x14ac:dyDescent="0.25">
      <c r="A885" s="8" t="s">
        <v>642</v>
      </c>
      <c r="B885" s="9">
        <v>45495</v>
      </c>
      <c r="C885" s="10" t="s">
        <v>8</v>
      </c>
      <c r="D885" s="10" t="s">
        <v>549</v>
      </c>
      <c r="E885" s="10" t="s">
        <v>655</v>
      </c>
      <c r="F885" s="10" cm="1">
        <f t="array" aca="1" ref="F885" ca="1">IF(Table3[[#This Row],[Stage]]="Closed",0,IF(IFERROR(
  IF(
    COUNTIF(A$2:A$1997, A885) &gt; 1,
    MIN(IF(A$2:A$1997=A885, IF(B$2:B$1997&gt;B885, B$2:B$1997))) - B885,
    TODAY() - Table3[[#This Row],[Date of Update]]
  ),
  TODAY()-Table3[[#This Row],[Date of Update]]
)&lt;=0,
TODAY()-Table3[[#This Row],[Date of Update]],
IFERROR(
  IF(
    COUNTIF(A$2:A$1997, A885) &gt; 1,
    MIN(IF(A$2:A$1997=A885, IF(B$2:B$1997&gt;B885, B$2:B$1997))) - B885,
    TODAY() - Table3[[#This Row],[Date of Update]]
  ),
  TODAY()-Table3[[#This Row],[Date of Update]]
)))</f>
        <v>471</v>
      </c>
      <c r="G885" s="11" t="str">
        <f>IF(Table3[[#This Row],[Stage]]="Closed",Table3[[#This Row],[Date of Update]]-(_xlfn.MINIFS(Table3[Date of Update],Table3[Ref], Table3[[#This Row],[Ref]])),"")</f>
        <v/>
      </c>
    </row>
    <row r="886" spans="1:7" x14ac:dyDescent="0.25">
      <c r="A886" s="8" t="s">
        <v>644</v>
      </c>
      <c r="B886" s="9">
        <v>45495</v>
      </c>
      <c r="C886" s="10" t="s">
        <v>8</v>
      </c>
      <c r="D886" s="10" t="s">
        <v>549</v>
      </c>
      <c r="E886" s="10" t="s">
        <v>655</v>
      </c>
      <c r="F886" s="10" cm="1">
        <f t="array" aca="1" ref="F886" ca="1">IF(Table3[[#This Row],[Stage]]="Closed",0,IF(IFERROR(
  IF(
    COUNTIF(A$2:A$1997, A886) &gt; 1,
    MIN(IF(A$2:A$1997=A886, IF(B$2:B$1997&gt;B886, B$2:B$1997))) - B886,
    TODAY() - Table3[[#This Row],[Date of Update]]
  ),
  TODAY()-Table3[[#This Row],[Date of Update]]
)&lt;=0,
TODAY()-Table3[[#This Row],[Date of Update]],
IFERROR(
  IF(
    COUNTIF(A$2:A$1997, A886) &gt; 1,
    MIN(IF(A$2:A$1997=A886, IF(B$2:B$1997&gt;B886, B$2:B$1997))) - B886,
    TODAY() - Table3[[#This Row],[Date of Update]]
  ),
  TODAY()-Table3[[#This Row],[Date of Update]]
)))</f>
        <v>471</v>
      </c>
      <c r="G886" s="11" t="str">
        <f>IF(Table3[[#This Row],[Stage]]="Closed",Table3[[#This Row],[Date of Update]]-(_xlfn.MINIFS(Table3[Date of Update],Table3[Ref], Table3[[#This Row],[Ref]])),"")</f>
        <v/>
      </c>
    </row>
    <row r="887" spans="1:7" x14ac:dyDescent="0.25">
      <c r="A887" s="8" t="s">
        <v>626</v>
      </c>
      <c r="B887" s="9">
        <v>45735</v>
      </c>
      <c r="C887" s="10" t="s">
        <v>580</v>
      </c>
      <c r="D887" s="10" t="s">
        <v>9</v>
      </c>
      <c r="E887" s="10" t="s">
        <v>632</v>
      </c>
      <c r="F887" s="10" cm="1">
        <f t="array" aca="1" ref="F887" ca="1">IF(Table3[[#This Row],[Stage]]="Closed",0,IF(IFERROR(
  IF(
    COUNTIF(A$2:A$1997, A887) &gt; 1,
    MIN(IF(A$2:A$1997=A887, IF(B$2:B$1997&gt;B887, B$2:B$1997))) - B887,
    TODAY() - Table3[[#This Row],[Date of Update]]
  ),
  TODAY()-Table3[[#This Row],[Date of Update]]
)&lt;=0,
TODAY()-Table3[[#This Row],[Date of Update]],
IFERROR(
  IF(
    COUNTIF(A$2:A$1997, A887) &gt; 1,
    MIN(IF(A$2:A$1997=A887, IF(B$2:B$1997&gt;B887, B$2:B$1997))) - B887,
    TODAY() - Table3[[#This Row],[Date of Update]]
  ),
  TODAY()-Table3[[#This Row],[Date of Update]]
)))</f>
        <v>231</v>
      </c>
      <c r="G887" s="11" t="str">
        <f>IF(Table3[[#This Row],[Stage]]="Closed",Table3[[#This Row],[Date of Update]]-(_xlfn.MINIFS(Table3[Date of Update],Table3[Ref], Table3[[#This Row],[Ref]])),"")</f>
        <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Jack Capstaff</dc:creator>
  <cp:lastModifiedBy>Jack Capstaff</cp:lastModifiedBy>
  <dcterms:created xsi:type="dcterms:W3CDTF">2025-11-05T13:51:58Z</dcterms:created>
  <dcterms:modified xsi:type="dcterms:W3CDTF">2025-11-05T13:52:18Z</dcterms:modified>
</cp:coreProperties>
</file>