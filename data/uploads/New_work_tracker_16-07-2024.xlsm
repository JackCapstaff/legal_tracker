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ThisWorkbook"/>
  <mc:AlternateContent xmlns:mc="http://schemas.openxmlformats.org/markup-compatibility/2006">
    <mc:Choice Requires="x15">
      <x15ac:absPath xmlns:x15ac="http://schemas.microsoft.com/office/spreadsheetml/2010/11/ac" url="https://medivet-my.sharepoint.com/personal/charlotte_capstaff_medivet_co_uk/Documents/00 Files to be sorted/"/>
    </mc:Choice>
  </mc:AlternateContent>
  <xr:revisionPtr revIDLastSave="2307" documentId="8_{18CC7D38-1256-464A-B9E9-4BCD67C687B1}" xr6:coauthVersionLast="47" xr6:coauthVersionMax="47" xr10:uidLastSave="{3598CCC6-6AA6-470F-80CC-D6E05F230684}"/>
  <bookViews>
    <workbookView xWindow="-108" yWindow="-108" windowWidth="23256" windowHeight="12456" activeTab="1" xr2:uid="{8C8645DE-D60D-40C5-AF9F-30F49614E909}"/>
  </bookViews>
  <sheets>
    <sheet name="Audit" sheetId="10" r:id="rId1"/>
    <sheet name="Dashboard" sheetId="2" r:id="rId2"/>
    <sheet name="Contracts" sheetId="9" r:id="rId3"/>
    <sheet name="Old Contracts" sheetId="11" state="hidden" r:id="rId4"/>
    <sheet name="Ref Sheet" sheetId="5" state="hidden" r:id="rId5"/>
    <sheet name="Fraud" sheetId="12" r:id="rId6"/>
    <sheet name="Policies" sheetId="13" r:id="rId7"/>
  </sheets>
  <definedNames>
    <definedName name="Andrew">'Ref Sheet'!$A$2:$A$50</definedName>
    <definedName name="Charlotte">'Ref Sheet'!$C$2:$C$50</definedName>
    <definedName name="TuSen">'Ref Sheet'!$B$2:$B$50</definedName>
  </definedNames>
  <calcPr calcId="191029" calcCompleted="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887" i="10" l="1" a="1"/>
  <c r="F887" i="10" s="1"/>
  <c r="G887" i="10"/>
  <c r="F886" i="10" a="1"/>
  <c r="F886" i="10" s="1"/>
  <c r="G886" i="10"/>
  <c r="F885" i="10" a="1"/>
  <c r="F885" i="10" s="1"/>
  <c r="G885" i="10"/>
  <c r="F884" i="10" a="1"/>
  <c r="F884" i="10" s="1"/>
  <c r="G884" i="10"/>
  <c r="F883" i="10" a="1"/>
  <c r="F883" i="10" s="1"/>
  <c r="G883" i="10"/>
  <c r="F882" i="10" a="1"/>
  <c r="F882" i="10" s="1"/>
  <c r="G882" i="10"/>
  <c r="F881" i="10" a="1"/>
  <c r="F881" i="10" s="1"/>
  <c r="G881" i="10"/>
  <c r="W3" i="5"/>
  <c r="W4" i="5"/>
  <c r="W5" i="5"/>
  <c r="W6" i="5"/>
  <c r="W2" i="5"/>
  <c r="F880" i="10" a="1"/>
  <c r="F880" i="10" s="1"/>
  <c r="G880" i="10"/>
  <c r="A457" i="9"/>
  <c r="M457" i="9"/>
  <c r="F879" i="10" a="1"/>
  <c r="F879" i="10" s="1"/>
  <c r="G879" i="10"/>
  <c r="A456" i="9"/>
  <c r="M456" i="9"/>
  <c r="P456" i="9" l="1"/>
  <c r="O457" i="9"/>
  <c r="P457" i="9"/>
  <c r="O456" i="9"/>
  <c r="H13" i="2" l="1"/>
  <c r="I13" i="2" s="1"/>
  <c r="H9" i="2"/>
  <c r="H5" i="2"/>
  <c r="T13" i="5"/>
  <c r="S13" i="5"/>
  <c r="R13" i="5"/>
  <c r="T12" i="5"/>
  <c r="S12" i="5"/>
  <c r="R12" i="5"/>
  <c r="T11" i="5"/>
  <c r="S11" i="5"/>
  <c r="R11" i="5"/>
  <c r="T10" i="5"/>
  <c r="S10" i="5"/>
  <c r="R10" i="5"/>
  <c r="T9" i="5"/>
  <c r="S9" i="5"/>
  <c r="R9" i="5"/>
  <c r="S5" i="5"/>
  <c r="J41" i="5"/>
  <c r="H41" i="5"/>
  <c r="I41" i="5" s="1"/>
  <c r="H40" i="5"/>
  <c r="I40" i="5" s="1"/>
  <c r="H39" i="5"/>
  <c r="I39" i="5" s="1"/>
  <c r="H38" i="5"/>
  <c r="I38" i="5" s="1"/>
  <c r="H37" i="5"/>
  <c r="I37" i="5" s="1"/>
  <c r="H36" i="5"/>
  <c r="I36" i="5" s="1"/>
  <c r="H35" i="5"/>
  <c r="I35" i="5" s="1"/>
  <c r="H34" i="5"/>
  <c r="I34" i="5" s="1"/>
  <c r="H33" i="5"/>
  <c r="I33" i="5" s="1"/>
  <c r="H32" i="5"/>
  <c r="I32" i="5" s="1"/>
  <c r="H31" i="5"/>
  <c r="I31" i="5" s="1"/>
  <c r="H30" i="5"/>
  <c r="I30" i="5" s="1"/>
  <c r="H29" i="5"/>
  <c r="I29" i="5" s="1"/>
  <c r="H28" i="5"/>
  <c r="I28" i="5" s="1"/>
  <c r="H27" i="5"/>
  <c r="I27" i="5" s="1"/>
  <c r="H26" i="5"/>
  <c r="K13" i="2" l="1"/>
  <c r="J13" i="2"/>
  <c r="I9" i="2"/>
  <c r="J9" i="2"/>
  <c r="I26" i="5"/>
  <c r="J26" i="5" s="1"/>
  <c r="J27" i="5" s="1"/>
  <c r="J28" i="5" s="1"/>
  <c r="J29" i="5" s="1"/>
  <c r="J30" i="5" s="1"/>
  <c r="J31" i="5" s="1"/>
  <c r="J32" i="5" s="1"/>
  <c r="J33" i="5" s="1"/>
  <c r="J34" i="5" s="1"/>
  <c r="J35" i="5" s="1"/>
  <c r="J36" i="5" s="1"/>
  <c r="J37" i="5" s="1"/>
  <c r="J38" i="5" s="1"/>
  <c r="J39" i="5" s="1"/>
  <c r="J40" i="5" s="1"/>
  <c r="K9" i="2" l="1"/>
  <c r="F2" i="10" l="1" a="1"/>
  <c r="F2" i="10" s="1"/>
  <c r="F3" i="10" a="1"/>
  <c r="F3" i="10" s="1"/>
  <c r="F4" i="10" a="1"/>
  <c r="F4" i="10" s="1"/>
  <c r="F5" i="10" a="1"/>
  <c r="F5" i="10" s="1"/>
  <c r="F6" i="10" a="1"/>
  <c r="F6" i="10" s="1"/>
  <c r="F7" i="10" a="1"/>
  <c r="F7" i="10" s="1"/>
  <c r="F8" i="10" a="1"/>
  <c r="F8" i="10" s="1"/>
  <c r="F9" i="10" a="1"/>
  <c r="F9" i="10" s="1"/>
  <c r="F10" i="10" a="1"/>
  <c r="F10" i="10" s="1"/>
  <c r="F11" i="10" a="1"/>
  <c r="F11" i="10" s="1"/>
  <c r="F12" i="10" a="1"/>
  <c r="F12" i="10" s="1"/>
  <c r="F13" i="10" a="1"/>
  <c r="F13" i="10" s="1"/>
  <c r="F14" i="10" a="1"/>
  <c r="F14" i="10" s="1"/>
  <c r="F15" i="10" a="1"/>
  <c r="F15" i="10" s="1"/>
  <c r="F16" i="10" a="1"/>
  <c r="F16" i="10" s="1"/>
  <c r="F17" i="10" a="1"/>
  <c r="F17" i="10" s="1"/>
  <c r="F18" i="10" a="1"/>
  <c r="F18" i="10" s="1"/>
  <c r="F19" i="10" a="1"/>
  <c r="F19" i="10" s="1"/>
  <c r="F20" i="10" a="1"/>
  <c r="F20" i="10" s="1"/>
  <c r="F21" i="10" a="1"/>
  <c r="F21" i="10" s="1"/>
  <c r="F22" i="10" a="1"/>
  <c r="F22" i="10" s="1"/>
  <c r="F23" i="10" a="1"/>
  <c r="F23" i="10" s="1"/>
  <c r="F24" i="10" a="1"/>
  <c r="F24" i="10" s="1"/>
  <c r="F25" i="10" a="1"/>
  <c r="F25" i="10" s="1"/>
  <c r="F26" i="10" a="1"/>
  <c r="F26" i="10" s="1"/>
  <c r="F27" i="10" a="1"/>
  <c r="F27" i="10" s="1"/>
  <c r="F28" i="10" a="1"/>
  <c r="F28" i="10" s="1"/>
  <c r="F29" i="10" a="1"/>
  <c r="F29" i="10" s="1"/>
  <c r="F30" i="10" a="1"/>
  <c r="F30" i="10" s="1"/>
  <c r="F31" i="10" a="1"/>
  <c r="F31" i="10" s="1"/>
  <c r="F32" i="10" a="1"/>
  <c r="F32" i="10" s="1"/>
  <c r="F33" i="10" a="1"/>
  <c r="F33" i="10" s="1"/>
  <c r="F34" i="10" a="1"/>
  <c r="F34" i="10" s="1"/>
  <c r="F35" i="10" a="1"/>
  <c r="F35" i="10" s="1"/>
  <c r="F36" i="10" a="1"/>
  <c r="F36" i="10" s="1"/>
  <c r="F37" i="10" a="1"/>
  <c r="F37" i="10" s="1"/>
  <c r="F38" i="10" a="1"/>
  <c r="F38" i="10" s="1"/>
  <c r="F39" i="10" a="1"/>
  <c r="F39" i="10" s="1"/>
  <c r="F40" i="10" a="1"/>
  <c r="F40" i="10" s="1"/>
  <c r="F41" i="10" a="1"/>
  <c r="F41" i="10" s="1"/>
  <c r="F42" i="10" a="1"/>
  <c r="F42" i="10" s="1"/>
  <c r="F43" i="10" a="1"/>
  <c r="F43" i="10" s="1"/>
  <c r="F44" i="10" a="1"/>
  <c r="F44" i="10" s="1"/>
  <c r="F45" i="10" a="1"/>
  <c r="F45" i="10" s="1"/>
  <c r="F46" i="10" a="1"/>
  <c r="F46" i="10" s="1"/>
  <c r="F47" i="10" a="1"/>
  <c r="F47" i="10" s="1"/>
  <c r="F48" i="10" a="1"/>
  <c r="F48" i="10" s="1"/>
  <c r="F49" i="10" a="1"/>
  <c r="F49" i="10" s="1"/>
  <c r="F50" i="10" a="1"/>
  <c r="F50" i="10" s="1"/>
  <c r="F51" i="10" a="1"/>
  <c r="F51" i="10" s="1"/>
  <c r="F52" i="10" a="1"/>
  <c r="F52" i="10" s="1"/>
  <c r="F53" i="10" a="1"/>
  <c r="F53" i="10" s="1"/>
  <c r="F54" i="10" a="1"/>
  <c r="F54" i="10" s="1"/>
  <c r="F55" i="10" a="1"/>
  <c r="F55" i="10" s="1"/>
  <c r="F56" i="10" a="1"/>
  <c r="F56" i="10" s="1"/>
  <c r="F57" i="10" a="1"/>
  <c r="F57" i="10" s="1"/>
  <c r="F58" i="10" a="1"/>
  <c r="F58" i="10" s="1"/>
  <c r="F59" i="10" a="1"/>
  <c r="F59" i="10" s="1"/>
  <c r="F60" i="10" a="1"/>
  <c r="F60" i="10" s="1"/>
  <c r="F61" i="10" a="1"/>
  <c r="F61" i="10" s="1"/>
  <c r="F62" i="10" a="1"/>
  <c r="F62" i="10" s="1"/>
  <c r="F63" i="10" a="1"/>
  <c r="F63" i="10" s="1"/>
  <c r="F64" i="10" a="1"/>
  <c r="F64" i="10" s="1"/>
  <c r="F65" i="10" a="1"/>
  <c r="F65" i="10" s="1"/>
  <c r="F66" i="10" a="1"/>
  <c r="F66" i="10" s="1"/>
  <c r="F67" i="10" a="1"/>
  <c r="F67" i="10" s="1"/>
  <c r="F68" i="10" a="1"/>
  <c r="F68" i="10" s="1"/>
  <c r="F69" i="10" a="1"/>
  <c r="F69" i="10" s="1"/>
  <c r="F70" i="10" a="1"/>
  <c r="F70" i="10" s="1"/>
  <c r="F71" i="10" a="1"/>
  <c r="F71" i="10" s="1"/>
  <c r="F72" i="10" a="1"/>
  <c r="F72" i="10" s="1"/>
  <c r="F73" i="10" a="1"/>
  <c r="F73" i="10" s="1"/>
  <c r="F74" i="10" a="1"/>
  <c r="F74" i="10" s="1"/>
  <c r="F75" i="10" a="1"/>
  <c r="F75" i="10" s="1"/>
  <c r="F76" i="10" a="1"/>
  <c r="F76" i="10" s="1"/>
  <c r="F77" i="10" a="1"/>
  <c r="F77" i="10" s="1"/>
  <c r="F78" i="10" a="1"/>
  <c r="F78" i="10" s="1"/>
  <c r="F79" i="10" a="1"/>
  <c r="F79" i="10" s="1"/>
  <c r="F80" i="10" a="1"/>
  <c r="F80" i="10" s="1"/>
  <c r="F81" i="10" a="1"/>
  <c r="F81" i="10" s="1"/>
  <c r="F82" i="10" a="1"/>
  <c r="F82" i="10" s="1"/>
  <c r="F83" i="10" a="1"/>
  <c r="F83" i="10" s="1"/>
  <c r="F84" i="10" a="1"/>
  <c r="F84" i="10" s="1"/>
  <c r="F85" i="10" a="1"/>
  <c r="F85" i="10" s="1"/>
  <c r="F86" i="10" a="1"/>
  <c r="F86" i="10" s="1"/>
  <c r="F87" i="10" a="1"/>
  <c r="F87" i="10" s="1"/>
  <c r="F88" i="10" a="1"/>
  <c r="F88" i="10" s="1"/>
  <c r="F89" i="10" a="1"/>
  <c r="F89" i="10" s="1"/>
  <c r="F90" i="10" a="1"/>
  <c r="F90" i="10" s="1"/>
  <c r="F91" i="10" a="1"/>
  <c r="F91" i="10" s="1"/>
  <c r="F92" i="10" a="1"/>
  <c r="F92" i="10" s="1"/>
  <c r="F93" i="10" a="1"/>
  <c r="F93" i="10" s="1"/>
  <c r="F94" i="10" a="1"/>
  <c r="F94" i="10" s="1"/>
  <c r="F95" i="10" a="1"/>
  <c r="F95" i="10" s="1"/>
  <c r="F96" i="10" a="1"/>
  <c r="F96" i="10" s="1"/>
  <c r="F97" i="10" a="1"/>
  <c r="F97" i="10" s="1"/>
  <c r="F98" i="10" a="1"/>
  <c r="F98" i="10" s="1"/>
  <c r="F99" i="10" a="1"/>
  <c r="F99" i="10" s="1"/>
  <c r="F100" i="10" a="1"/>
  <c r="F100" i="10" s="1"/>
  <c r="F101" i="10" a="1"/>
  <c r="F101" i="10" s="1"/>
  <c r="F102" i="10" a="1"/>
  <c r="F102" i="10" s="1"/>
  <c r="F103" i="10" a="1"/>
  <c r="F103" i="10" s="1"/>
  <c r="F104" i="10" a="1"/>
  <c r="F104" i="10" s="1"/>
  <c r="F105" i="10" a="1"/>
  <c r="F105" i="10" s="1"/>
  <c r="F106" i="10" a="1"/>
  <c r="F106" i="10" s="1"/>
  <c r="F107" i="10" a="1"/>
  <c r="F107" i="10" s="1"/>
  <c r="F108" i="10" a="1"/>
  <c r="F108" i="10" s="1"/>
  <c r="F109" i="10" a="1"/>
  <c r="F109" i="10" s="1"/>
  <c r="F110" i="10" a="1"/>
  <c r="F110" i="10" s="1"/>
  <c r="F111" i="10" a="1"/>
  <c r="F111" i="10" s="1"/>
  <c r="F112" i="10" a="1"/>
  <c r="F112" i="10" s="1"/>
  <c r="F113" i="10" a="1"/>
  <c r="F113" i="10" s="1"/>
  <c r="F114" i="10" a="1"/>
  <c r="F114" i="10" s="1"/>
  <c r="F115" i="10" a="1"/>
  <c r="F115" i="10" s="1"/>
  <c r="F116" i="10" a="1"/>
  <c r="F116" i="10" s="1"/>
  <c r="F117" i="10" a="1"/>
  <c r="F117" i="10" s="1"/>
  <c r="F118" i="10" a="1"/>
  <c r="F118" i="10" s="1"/>
  <c r="F119" i="10" a="1"/>
  <c r="F119" i="10" s="1"/>
  <c r="F120" i="10" a="1"/>
  <c r="F120" i="10" s="1"/>
  <c r="F121" i="10" a="1"/>
  <c r="F121" i="10" s="1"/>
  <c r="F122" i="10" a="1"/>
  <c r="F122" i="10" s="1"/>
  <c r="F123" i="10" a="1"/>
  <c r="F123" i="10" s="1"/>
  <c r="F124" i="10" a="1"/>
  <c r="F124" i="10" s="1"/>
  <c r="F125" i="10" a="1"/>
  <c r="F125" i="10" s="1"/>
  <c r="F126" i="10" a="1"/>
  <c r="F126" i="10" s="1"/>
  <c r="F127" i="10" a="1"/>
  <c r="F127" i="10" s="1"/>
  <c r="F128" i="10" a="1"/>
  <c r="F128" i="10" s="1"/>
  <c r="F129" i="10" a="1"/>
  <c r="F129" i="10" s="1"/>
  <c r="F130" i="10" a="1"/>
  <c r="F130" i="10" s="1"/>
  <c r="F131" i="10" a="1"/>
  <c r="F131" i="10" s="1"/>
  <c r="F132" i="10" a="1"/>
  <c r="F132" i="10" s="1"/>
  <c r="F133" i="10" a="1"/>
  <c r="F133" i="10" s="1"/>
  <c r="F134" i="10" a="1"/>
  <c r="F134" i="10" s="1"/>
  <c r="F135" i="10" a="1"/>
  <c r="F135" i="10" s="1"/>
  <c r="F136" i="10" a="1"/>
  <c r="F136" i="10" s="1"/>
  <c r="F137" i="10" a="1"/>
  <c r="F137" i="10" s="1"/>
  <c r="F138" i="10" a="1"/>
  <c r="F138" i="10" s="1"/>
  <c r="F139" i="10" a="1"/>
  <c r="F139" i="10" s="1"/>
  <c r="F140" i="10" a="1"/>
  <c r="F140" i="10" s="1"/>
  <c r="F141" i="10" a="1"/>
  <c r="F141" i="10" s="1"/>
  <c r="F142" i="10" a="1"/>
  <c r="F142" i="10" s="1"/>
  <c r="F143" i="10" a="1"/>
  <c r="F143" i="10" s="1"/>
  <c r="F144" i="10" a="1"/>
  <c r="F144" i="10" s="1"/>
  <c r="F145" i="10" a="1"/>
  <c r="F145" i="10" s="1"/>
  <c r="F146" i="10" a="1"/>
  <c r="F146" i="10" s="1"/>
  <c r="F147" i="10" a="1"/>
  <c r="F147" i="10" s="1"/>
  <c r="F148" i="10" a="1"/>
  <c r="F148" i="10" s="1"/>
  <c r="F149" i="10" a="1"/>
  <c r="F149" i="10" s="1"/>
  <c r="F150" i="10" a="1"/>
  <c r="F150" i="10" s="1"/>
  <c r="F151" i="10" a="1"/>
  <c r="F151" i="10" s="1"/>
  <c r="F152" i="10" a="1"/>
  <c r="F152" i="10" s="1"/>
  <c r="F153" i="10" a="1"/>
  <c r="F153" i="10" s="1"/>
  <c r="F154" i="10" a="1"/>
  <c r="F154" i="10" s="1"/>
  <c r="F155" i="10" a="1"/>
  <c r="F155" i="10" s="1"/>
  <c r="F156" i="10" a="1"/>
  <c r="F156" i="10" s="1"/>
  <c r="F157" i="10" a="1"/>
  <c r="F157" i="10" s="1"/>
  <c r="F158" i="10" a="1"/>
  <c r="F158" i="10" s="1"/>
  <c r="F159" i="10" a="1"/>
  <c r="F159" i="10" s="1"/>
  <c r="F160" i="10" a="1"/>
  <c r="F160" i="10" s="1"/>
  <c r="F161" i="10" a="1"/>
  <c r="F161" i="10" s="1"/>
  <c r="F162" i="10" a="1"/>
  <c r="F162" i="10" s="1"/>
  <c r="F163" i="10" a="1"/>
  <c r="F163" i="10" s="1"/>
  <c r="F164" i="10" a="1"/>
  <c r="F164" i="10" s="1"/>
  <c r="F165" i="10" a="1"/>
  <c r="F165" i="10" s="1"/>
  <c r="F166" i="10" a="1"/>
  <c r="F166" i="10" s="1"/>
  <c r="F167" i="10" a="1"/>
  <c r="F167" i="10" s="1"/>
  <c r="F168" i="10" a="1"/>
  <c r="F168" i="10" s="1"/>
  <c r="F169" i="10" a="1"/>
  <c r="F169" i="10" s="1"/>
  <c r="F170" i="10" a="1"/>
  <c r="F170" i="10" s="1"/>
  <c r="F171" i="10" a="1"/>
  <c r="F171" i="10" s="1"/>
  <c r="F172" i="10" a="1"/>
  <c r="F172" i="10" s="1"/>
  <c r="F173" i="10" a="1"/>
  <c r="F173" i="10" s="1"/>
  <c r="F174" i="10" a="1"/>
  <c r="F174" i="10" s="1"/>
  <c r="F175" i="10" a="1"/>
  <c r="F175" i="10" s="1"/>
  <c r="F176" i="10" a="1"/>
  <c r="F176" i="10" s="1"/>
  <c r="F177" i="10" a="1"/>
  <c r="F177" i="10" s="1"/>
  <c r="F178" i="10" a="1"/>
  <c r="F178" i="10" s="1"/>
  <c r="F179" i="10" a="1"/>
  <c r="F179" i="10" s="1"/>
  <c r="F180" i="10" a="1"/>
  <c r="F180" i="10" s="1"/>
  <c r="F181" i="10" a="1"/>
  <c r="F181" i="10" s="1"/>
  <c r="F182" i="10" a="1"/>
  <c r="F182" i="10" s="1"/>
  <c r="F183" i="10" a="1"/>
  <c r="F183" i="10" s="1"/>
  <c r="F184" i="10" a="1"/>
  <c r="F184" i="10" s="1"/>
  <c r="F185" i="10" a="1"/>
  <c r="F185" i="10" s="1"/>
  <c r="F186" i="10" a="1"/>
  <c r="F186" i="10" s="1"/>
  <c r="F187" i="10" a="1"/>
  <c r="F187" i="10" s="1"/>
  <c r="F188" i="10" a="1"/>
  <c r="F188" i="10" s="1"/>
  <c r="F189" i="10" a="1"/>
  <c r="F189" i="10" s="1"/>
  <c r="F190" i="10" a="1"/>
  <c r="F190" i="10" s="1"/>
  <c r="F191" i="10" a="1"/>
  <c r="F191" i="10" s="1"/>
  <c r="F192" i="10" a="1"/>
  <c r="F192" i="10" s="1"/>
  <c r="F193" i="10" a="1"/>
  <c r="F193" i="10" s="1"/>
  <c r="F194" i="10" a="1"/>
  <c r="F194" i="10" s="1"/>
  <c r="F195" i="10" a="1"/>
  <c r="F195" i="10" s="1"/>
  <c r="F196" i="10" a="1"/>
  <c r="F196" i="10" s="1"/>
  <c r="F197" i="10" a="1"/>
  <c r="F197" i="10" s="1"/>
  <c r="F198" i="10" a="1"/>
  <c r="F198" i="10" s="1"/>
  <c r="F199" i="10" a="1"/>
  <c r="F199" i="10" s="1"/>
  <c r="F200" i="10" a="1"/>
  <c r="F200" i="10" s="1"/>
  <c r="F201" i="10" a="1"/>
  <c r="F201" i="10" s="1"/>
  <c r="F202" i="10" a="1"/>
  <c r="F202" i="10" s="1"/>
  <c r="F203" i="10" a="1"/>
  <c r="F203" i="10" s="1"/>
  <c r="F204" i="10" a="1"/>
  <c r="F204" i="10" s="1"/>
  <c r="F205" i="10" a="1"/>
  <c r="F205" i="10" s="1"/>
  <c r="F206" i="10" a="1"/>
  <c r="F206" i="10" s="1"/>
  <c r="F207" i="10" a="1"/>
  <c r="F207" i="10" s="1"/>
  <c r="F208" i="10" a="1"/>
  <c r="F208" i="10" s="1"/>
  <c r="F209" i="10" a="1"/>
  <c r="F209" i="10" s="1"/>
  <c r="F210" i="10" a="1"/>
  <c r="F210" i="10" s="1"/>
  <c r="F211" i="10" a="1"/>
  <c r="F211" i="10" s="1"/>
  <c r="F212" i="10" a="1"/>
  <c r="F212" i="10" s="1"/>
  <c r="F213" i="10" a="1"/>
  <c r="F213" i="10" s="1"/>
  <c r="F214" i="10" a="1"/>
  <c r="F214" i="10" s="1"/>
  <c r="F215" i="10" a="1"/>
  <c r="F215" i="10" s="1"/>
  <c r="F216" i="10" a="1"/>
  <c r="F216" i="10" s="1"/>
  <c r="F217" i="10" a="1"/>
  <c r="F217" i="10" s="1"/>
  <c r="F218" i="10" a="1"/>
  <c r="F218" i="10" s="1"/>
  <c r="F219" i="10" a="1"/>
  <c r="F219" i="10" s="1"/>
  <c r="F220" i="10" a="1"/>
  <c r="F220" i="10" s="1"/>
  <c r="F221" i="10" a="1"/>
  <c r="F221" i="10" s="1"/>
  <c r="F222" i="10" a="1"/>
  <c r="F222" i="10" s="1"/>
  <c r="F223" i="10" a="1"/>
  <c r="F223" i="10" s="1"/>
  <c r="F224" i="10" a="1"/>
  <c r="F224" i="10" s="1"/>
  <c r="F225" i="10" a="1"/>
  <c r="F225" i="10" s="1"/>
  <c r="F226" i="10" a="1"/>
  <c r="F226" i="10" s="1"/>
  <c r="F227" i="10" a="1"/>
  <c r="F227" i="10" s="1"/>
  <c r="F228" i="10" a="1"/>
  <c r="F228" i="10" s="1"/>
  <c r="F229" i="10" a="1"/>
  <c r="F229" i="10" s="1"/>
  <c r="F230" i="10" a="1"/>
  <c r="F230" i="10" s="1"/>
  <c r="F231" i="10" a="1"/>
  <c r="F231" i="10" s="1"/>
  <c r="F232" i="10" a="1"/>
  <c r="F232" i="10" s="1"/>
  <c r="F233" i="10" a="1"/>
  <c r="F233" i="10" s="1"/>
  <c r="F234" i="10" a="1"/>
  <c r="F234" i="10" s="1"/>
  <c r="F235" i="10" a="1"/>
  <c r="F235" i="10" s="1"/>
  <c r="F236" i="10" a="1"/>
  <c r="F236" i="10" s="1"/>
  <c r="F237" i="10" a="1"/>
  <c r="F237" i="10" s="1"/>
  <c r="F238" i="10" a="1"/>
  <c r="F238" i="10" s="1"/>
  <c r="F239" i="10" a="1"/>
  <c r="F239" i="10" s="1"/>
  <c r="F240" i="10" a="1"/>
  <c r="F240" i="10" s="1"/>
  <c r="F241" i="10" a="1"/>
  <c r="F241" i="10" s="1"/>
  <c r="F242" i="10" a="1"/>
  <c r="F242" i="10" s="1"/>
  <c r="F243" i="10" a="1"/>
  <c r="F243" i="10" s="1"/>
  <c r="F244" i="10" a="1"/>
  <c r="F244" i="10" s="1"/>
  <c r="F245" i="10" a="1"/>
  <c r="F245" i="10" s="1"/>
  <c r="F246" i="10" a="1"/>
  <c r="F246" i="10" s="1"/>
  <c r="F247" i="10" a="1"/>
  <c r="F247" i="10" s="1"/>
  <c r="F248" i="10" a="1"/>
  <c r="F248" i="10" s="1"/>
  <c r="F249" i="10" a="1"/>
  <c r="F249" i="10" s="1"/>
  <c r="F250" i="10" a="1"/>
  <c r="F250" i="10" s="1"/>
  <c r="F251" i="10" a="1"/>
  <c r="F251" i="10" s="1"/>
  <c r="F252" i="10" a="1"/>
  <c r="F252" i="10" s="1"/>
  <c r="F253" i="10" a="1"/>
  <c r="F253" i="10" s="1"/>
  <c r="F254" i="10" a="1"/>
  <c r="F254" i="10" s="1"/>
  <c r="F255" i="10" a="1"/>
  <c r="F255" i="10" s="1"/>
  <c r="F256" i="10" a="1"/>
  <c r="F256" i="10" s="1"/>
  <c r="F257" i="10" a="1"/>
  <c r="F257" i="10" s="1"/>
  <c r="F258" i="10" a="1"/>
  <c r="F258" i="10" s="1"/>
  <c r="F259" i="10" a="1"/>
  <c r="F259" i="10" s="1"/>
  <c r="F260" i="10" a="1"/>
  <c r="F260" i="10" s="1"/>
  <c r="F261" i="10" a="1"/>
  <c r="F261" i="10" s="1"/>
  <c r="F262" i="10" a="1"/>
  <c r="F262" i="10" s="1"/>
  <c r="F263" i="10" a="1"/>
  <c r="F263" i="10" s="1"/>
  <c r="F264" i="10" a="1"/>
  <c r="F264" i="10" s="1"/>
  <c r="F265" i="10" a="1"/>
  <c r="F265" i="10" s="1"/>
  <c r="F266" i="10" a="1"/>
  <c r="F266" i="10" s="1"/>
  <c r="F267" i="10" a="1"/>
  <c r="F267" i="10" s="1"/>
  <c r="F268" i="10" a="1"/>
  <c r="F268" i="10" s="1"/>
  <c r="F269" i="10" a="1"/>
  <c r="F269" i="10" s="1"/>
  <c r="F270" i="10" a="1"/>
  <c r="F270" i="10" s="1"/>
  <c r="F271" i="10" a="1"/>
  <c r="F271" i="10" s="1"/>
  <c r="F272" i="10" a="1"/>
  <c r="F272" i="10" s="1"/>
  <c r="F273" i="10" a="1"/>
  <c r="F273" i="10" s="1"/>
  <c r="F274" i="10" a="1"/>
  <c r="F274" i="10" s="1"/>
  <c r="F275" i="10" a="1"/>
  <c r="F275" i="10" s="1"/>
  <c r="F276" i="10" a="1"/>
  <c r="F276" i="10" s="1"/>
  <c r="F277" i="10" a="1"/>
  <c r="F277" i="10" s="1"/>
  <c r="F278" i="10" a="1"/>
  <c r="F278" i="10" s="1"/>
  <c r="F279" i="10" a="1"/>
  <c r="F279" i="10" s="1"/>
  <c r="F280" i="10" a="1"/>
  <c r="F280" i="10" s="1"/>
  <c r="F281" i="10" a="1"/>
  <c r="F281" i="10" s="1"/>
  <c r="F282" i="10" a="1"/>
  <c r="F282" i="10" s="1"/>
  <c r="F283" i="10" a="1"/>
  <c r="F283" i="10" s="1"/>
  <c r="F284" i="10" a="1"/>
  <c r="F284" i="10" s="1"/>
  <c r="F285" i="10" a="1"/>
  <c r="F285" i="10" s="1"/>
  <c r="F286" i="10" a="1"/>
  <c r="F286" i="10" s="1"/>
  <c r="F287" i="10" a="1"/>
  <c r="F287" i="10" s="1"/>
  <c r="F288" i="10" a="1"/>
  <c r="F288" i="10" s="1"/>
  <c r="F289" i="10" a="1"/>
  <c r="F289" i="10" s="1"/>
  <c r="F290" i="10" a="1"/>
  <c r="F290" i="10" s="1"/>
  <c r="F291" i="10" a="1"/>
  <c r="F291" i="10" s="1"/>
  <c r="F292" i="10" a="1"/>
  <c r="F292" i="10" s="1"/>
  <c r="F293" i="10" a="1"/>
  <c r="F293" i="10" s="1"/>
  <c r="F294" i="10" a="1"/>
  <c r="F294" i="10" s="1"/>
  <c r="F295" i="10" a="1"/>
  <c r="F295" i="10" s="1"/>
  <c r="F296" i="10" a="1"/>
  <c r="F296" i="10" s="1"/>
  <c r="F297" i="10" a="1"/>
  <c r="F297" i="10" s="1"/>
  <c r="F298" i="10" a="1"/>
  <c r="F298" i="10" s="1"/>
  <c r="F299" i="10" a="1"/>
  <c r="F299" i="10" s="1"/>
  <c r="F300" i="10" a="1"/>
  <c r="F300" i="10" s="1"/>
  <c r="F301" i="10" a="1"/>
  <c r="F301" i="10" s="1"/>
  <c r="F302" i="10" a="1"/>
  <c r="F302" i="10" s="1"/>
  <c r="F303" i="10" a="1"/>
  <c r="F303" i="10" s="1"/>
  <c r="F304" i="10" a="1"/>
  <c r="F304" i="10" s="1"/>
  <c r="F305" i="10" a="1"/>
  <c r="F305" i="10" s="1"/>
  <c r="F306" i="10" a="1"/>
  <c r="F306" i="10" s="1"/>
  <c r="F307" i="10" a="1"/>
  <c r="F307" i="10" s="1"/>
  <c r="F308" i="10" a="1"/>
  <c r="F308" i="10" s="1"/>
  <c r="F309" i="10" a="1"/>
  <c r="F309" i="10" s="1"/>
  <c r="F310" i="10" a="1"/>
  <c r="F310" i="10" s="1"/>
  <c r="F311" i="10" a="1"/>
  <c r="F311" i="10" s="1"/>
  <c r="F312" i="10" a="1"/>
  <c r="F312" i="10" s="1"/>
  <c r="F313" i="10" a="1"/>
  <c r="F313" i="10" s="1"/>
  <c r="F314" i="10" a="1"/>
  <c r="F314" i="10" s="1"/>
  <c r="F315" i="10" a="1"/>
  <c r="F315" i="10" s="1"/>
  <c r="F316" i="10" a="1"/>
  <c r="F316" i="10" s="1"/>
  <c r="F317" i="10" a="1"/>
  <c r="F317" i="10" s="1"/>
  <c r="F318" i="10" a="1"/>
  <c r="F318" i="10" s="1"/>
  <c r="F319" i="10" a="1"/>
  <c r="F319" i="10" s="1"/>
  <c r="F320" i="10" a="1"/>
  <c r="F320" i="10" s="1"/>
  <c r="F321" i="10" a="1"/>
  <c r="F321" i="10" s="1"/>
  <c r="F322" i="10" a="1"/>
  <c r="F322" i="10" s="1"/>
  <c r="F323" i="10" a="1"/>
  <c r="F323" i="10" s="1"/>
  <c r="F324" i="10" a="1"/>
  <c r="F324" i="10" s="1"/>
  <c r="F325" i="10" a="1"/>
  <c r="F325" i="10" s="1"/>
  <c r="F326" i="10" a="1"/>
  <c r="F326" i="10" s="1"/>
  <c r="F327" i="10" a="1"/>
  <c r="F327" i="10" s="1"/>
  <c r="F328" i="10" a="1"/>
  <c r="F328" i="10" s="1"/>
  <c r="F329" i="10" a="1"/>
  <c r="F329" i="10" s="1"/>
  <c r="F330" i="10" a="1"/>
  <c r="F330" i="10" s="1"/>
  <c r="F331" i="10" a="1"/>
  <c r="F331" i="10" s="1"/>
  <c r="F332" i="10" a="1"/>
  <c r="F332" i="10" s="1"/>
  <c r="F333" i="10" a="1"/>
  <c r="F333" i="10" s="1"/>
  <c r="F334" i="10" a="1"/>
  <c r="F334" i="10" s="1"/>
  <c r="F335" i="10" a="1"/>
  <c r="F335" i="10" s="1"/>
  <c r="F336" i="10" a="1"/>
  <c r="F336" i="10" s="1"/>
  <c r="F337" i="10" a="1"/>
  <c r="F337" i="10" s="1"/>
  <c r="F338" i="10" a="1"/>
  <c r="F338" i="10" s="1"/>
  <c r="F339" i="10" a="1"/>
  <c r="F339" i="10" s="1"/>
  <c r="F340" i="10" a="1"/>
  <c r="F340" i="10" s="1"/>
  <c r="F341" i="10" a="1"/>
  <c r="F341" i="10" s="1"/>
  <c r="F342" i="10" a="1"/>
  <c r="F342" i="10" s="1"/>
  <c r="F343" i="10" a="1"/>
  <c r="F343" i="10" s="1"/>
  <c r="F344" i="10" a="1"/>
  <c r="F344" i="10" s="1"/>
  <c r="F345" i="10" a="1"/>
  <c r="F345" i="10" s="1"/>
  <c r="F346" i="10" a="1"/>
  <c r="F346" i="10" s="1"/>
  <c r="F347" i="10" a="1"/>
  <c r="F347" i="10" s="1"/>
  <c r="F348" i="10" a="1"/>
  <c r="F348" i="10" s="1"/>
  <c r="F349" i="10" a="1"/>
  <c r="F349" i="10" s="1"/>
  <c r="F350" i="10" a="1"/>
  <c r="F350" i="10" s="1"/>
  <c r="F351" i="10" a="1"/>
  <c r="F351" i="10" s="1"/>
  <c r="F352" i="10" a="1"/>
  <c r="F352" i="10" s="1"/>
  <c r="F353" i="10" a="1"/>
  <c r="F353" i="10" s="1"/>
  <c r="F354" i="10" a="1"/>
  <c r="F354" i="10" s="1"/>
  <c r="F355" i="10" a="1"/>
  <c r="F355" i="10" s="1"/>
  <c r="F356" i="10" a="1"/>
  <c r="F356" i="10" s="1"/>
  <c r="F357" i="10" a="1"/>
  <c r="F357" i="10" s="1"/>
  <c r="F358" i="10" a="1"/>
  <c r="F358" i="10" s="1"/>
  <c r="F359" i="10" a="1"/>
  <c r="F359" i="10" s="1"/>
  <c r="F360" i="10" a="1"/>
  <c r="F360" i="10" s="1"/>
  <c r="F361" i="10" a="1"/>
  <c r="F361" i="10" s="1"/>
  <c r="F362" i="10" a="1"/>
  <c r="F362" i="10" s="1"/>
  <c r="F363" i="10" a="1"/>
  <c r="F363" i="10" s="1"/>
  <c r="F364" i="10" a="1"/>
  <c r="F364" i="10" s="1"/>
  <c r="F365" i="10" a="1"/>
  <c r="F365" i="10" s="1"/>
  <c r="F366" i="10" a="1"/>
  <c r="F366" i="10" s="1"/>
  <c r="F367" i="10" a="1"/>
  <c r="F367" i="10" s="1"/>
  <c r="F368" i="10" a="1"/>
  <c r="F368" i="10" s="1"/>
  <c r="F369" i="10" a="1"/>
  <c r="F369" i="10" s="1"/>
  <c r="F370" i="10" a="1"/>
  <c r="F370" i="10" s="1"/>
  <c r="F371" i="10" a="1"/>
  <c r="F371" i="10" s="1"/>
  <c r="F372" i="10" a="1"/>
  <c r="F372" i="10" s="1"/>
  <c r="F373" i="10" a="1"/>
  <c r="F373" i="10" s="1"/>
  <c r="F374" i="10" a="1"/>
  <c r="F374" i="10" s="1"/>
  <c r="F375" i="10" a="1"/>
  <c r="F375" i="10" s="1"/>
  <c r="F376" i="10" a="1"/>
  <c r="F376" i="10" s="1"/>
  <c r="F377" i="10" a="1"/>
  <c r="F377" i="10" s="1"/>
  <c r="F378" i="10" a="1"/>
  <c r="F378" i="10" s="1"/>
  <c r="F379" i="10" a="1"/>
  <c r="F379" i="10" s="1"/>
  <c r="F380" i="10" a="1"/>
  <c r="F380" i="10" s="1"/>
  <c r="F381" i="10" a="1"/>
  <c r="F381" i="10" s="1"/>
  <c r="F382" i="10" a="1"/>
  <c r="F382" i="10" s="1"/>
  <c r="F383" i="10" a="1"/>
  <c r="F383" i="10" s="1"/>
  <c r="F384" i="10" a="1"/>
  <c r="F384" i="10" s="1"/>
  <c r="F385" i="10" a="1"/>
  <c r="F385" i="10" s="1"/>
  <c r="F386" i="10" a="1"/>
  <c r="F386" i="10" s="1"/>
  <c r="F387" i="10" a="1"/>
  <c r="F387" i="10" s="1"/>
  <c r="F388" i="10" a="1"/>
  <c r="F388" i="10" s="1"/>
  <c r="F389" i="10" a="1"/>
  <c r="F389" i="10" s="1"/>
  <c r="F390" i="10" a="1"/>
  <c r="F390" i="10" s="1"/>
  <c r="F391" i="10" a="1"/>
  <c r="F391" i="10" s="1"/>
  <c r="F392" i="10" a="1"/>
  <c r="F392" i="10" s="1"/>
  <c r="F393" i="10" a="1"/>
  <c r="F393" i="10" s="1"/>
  <c r="F394" i="10" a="1"/>
  <c r="F394" i="10" s="1"/>
  <c r="F395" i="10" a="1"/>
  <c r="F395" i="10" s="1"/>
  <c r="F396" i="10" a="1"/>
  <c r="F396" i="10" s="1"/>
  <c r="F397" i="10" a="1"/>
  <c r="F397" i="10" s="1"/>
  <c r="F398" i="10" a="1"/>
  <c r="F398" i="10" s="1"/>
  <c r="F399" i="10" a="1"/>
  <c r="F399" i="10" s="1"/>
  <c r="F400" i="10" a="1"/>
  <c r="F400" i="10" s="1"/>
  <c r="F401" i="10" a="1"/>
  <c r="F401" i="10" s="1"/>
  <c r="F402" i="10" a="1"/>
  <c r="F402" i="10" s="1"/>
  <c r="F403" i="10" a="1"/>
  <c r="F403" i="10" s="1"/>
  <c r="F404" i="10" a="1"/>
  <c r="F404" i="10" s="1"/>
  <c r="F405" i="10" a="1"/>
  <c r="F405" i="10" s="1"/>
  <c r="F406" i="10" a="1"/>
  <c r="F406" i="10" s="1"/>
  <c r="F407" i="10" a="1"/>
  <c r="F407" i="10" s="1"/>
  <c r="F408" i="10" a="1"/>
  <c r="F408" i="10" s="1"/>
  <c r="F409" i="10" a="1"/>
  <c r="F409" i="10" s="1"/>
  <c r="F410" i="10" a="1"/>
  <c r="F410" i="10" s="1"/>
  <c r="F411" i="10" a="1"/>
  <c r="F411" i="10" s="1"/>
  <c r="F412" i="10" a="1"/>
  <c r="F412" i="10" s="1"/>
  <c r="F413" i="10" a="1"/>
  <c r="F413" i="10" s="1"/>
  <c r="F414" i="10" a="1"/>
  <c r="F414" i="10" s="1"/>
  <c r="F415" i="10" a="1"/>
  <c r="F415" i="10" s="1"/>
  <c r="F416" i="10" a="1"/>
  <c r="F416" i="10" s="1"/>
  <c r="F417" i="10" a="1"/>
  <c r="F417" i="10" s="1"/>
  <c r="F418" i="10" a="1"/>
  <c r="F418" i="10" s="1"/>
  <c r="F419" i="10" a="1"/>
  <c r="F419" i="10" s="1"/>
  <c r="F420" i="10" a="1"/>
  <c r="F420" i="10" s="1"/>
  <c r="F421" i="10" a="1"/>
  <c r="F421" i="10" s="1"/>
  <c r="F422" i="10" a="1"/>
  <c r="F422" i="10" s="1"/>
  <c r="F423" i="10" a="1"/>
  <c r="F423" i="10" s="1"/>
  <c r="F424" i="10" a="1"/>
  <c r="F424" i="10" s="1"/>
  <c r="F425" i="10" a="1"/>
  <c r="F425" i="10" s="1"/>
  <c r="F426" i="10" a="1"/>
  <c r="F426" i="10" s="1"/>
  <c r="F427" i="10" a="1"/>
  <c r="F427" i="10" s="1"/>
  <c r="F428" i="10" a="1"/>
  <c r="F428" i="10" s="1"/>
  <c r="F429" i="10" a="1"/>
  <c r="F429" i="10" s="1"/>
  <c r="F430" i="10" a="1"/>
  <c r="F430" i="10" s="1"/>
  <c r="F431" i="10" a="1"/>
  <c r="F431" i="10" s="1"/>
  <c r="F432" i="10" a="1"/>
  <c r="F432" i="10" s="1"/>
  <c r="F433" i="10" a="1"/>
  <c r="F433" i="10" s="1"/>
  <c r="F434" i="10" a="1"/>
  <c r="F434" i="10" s="1"/>
  <c r="F435" i="10" a="1"/>
  <c r="F435" i="10" s="1"/>
  <c r="F436" i="10" a="1"/>
  <c r="F436" i="10" s="1"/>
  <c r="F437" i="10" a="1"/>
  <c r="F437" i="10" s="1"/>
  <c r="F438" i="10" a="1"/>
  <c r="F438" i="10" s="1"/>
  <c r="F439" i="10" a="1"/>
  <c r="F439" i="10" s="1"/>
  <c r="F440" i="10" a="1"/>
  <c r="F440" i="10" s="1"/>
  <c r="F441" i="10" a="1"/>
  <c r="F441" i="10" s="1"/>
  <c r="F442" i="10" a="1"/>
  <c r="F442" i="10" s="1"/>
  <c r="F443" i="10" a="1"/>
  <c r="F443" i="10" s="1"/>
  <c r="F444" i="10" a="1"/>
  <c r="F444" i="10" s="1"/>
  <c r="F445" i="10" a="1"/>
  <c r="F445" i="10" s="1"/>
  <c r="F446" i="10" a="1"/>
  <c r="F446" i="10" s="1"/>
  <c r="F447" i="10" a="1"/>
  <c r="F447" i="10" s="1"/>
  <c r="F448" i="10" a="1"/>
  <c r="F448" i="10" s="1"/>
  <c r="F449" i="10" a="1"/>
  <c r="F449" i="10" s="1"/>
  <c r="F450" i="10" a="1"/>
  <c r="F450" i="10" s="1"/>
  <c r="F451" i="10" a="1"/>
  <c r="F451" i="10" s="1"/>
  <c r="F452" i="10" a="1"/>
  <c r="F452" i="10" s="1"/>
  <c r="F453" i="10" a="1"/>
  <c r="F453" i="10" s="1"/>
  <c r="F454" i="10" a="1"/>
  <c r="F454" i="10" s="1"/>
  <c r="F455" i="10" a="1"/>
  <c r="F455" i="10" s="1"/>
  <c r="F456" i="10" a="1"/>
  <c r="F456" i="10" s="1"/>
  <c r="F457" i="10" a="1"/>
  <c r="F457" i="10" s="1"/>
  <c r="F458" i="10" a="1"/>
  <c r="F458" i="10" s="1"/>
  <c r="F459" i="10" a="1"/>
  <c r="F459" i="10" s="1"/>
  <c r="F460" i="10" a="1"/>
  <c r="F460" i="10" s="1"/>
  <c r="F461" i="10" a="1"/>
  <c r="F461" i="10" s="1"/>
  <c r="F462" i="10" a="1"/>
  <c r="F462" i="10" s="1"/>
  <c r="F463" i="10" a="1"/>
  <c r="F463" i="10" s="1"/>
  <c r="F464" i="10" a="1"/>
  <c r="F464" i="10" s="1"/>
  <c r="F465" i="10" a="1"/>
  <c r="F465" i="10" s="1"/>
  <c r="F466" i="10" a="1"/>
  <c r="F466" i="10" s="1"/>
  <c r="F467" i="10" a="1"/>
  <c r="F467" i="10" s="1"/>
  <c r="F468" i="10" a="1"/>
  <c r="F468" i="10" s="1"/>
  <c r="F469" i="10" a="1"/>
  <c r="F469" i="10" s="1"/>
  <c r="F470" i="10" a="1"/>
  <c r="F470" i="10" s="1"/>
  <c r="F471" i="10" a="1"/>
  <c r="F471" i="10" s="1"/>
  <c r="F472" i="10" a="1"/>
  <c r="F472" i="10" s="1"/>
  <c r="F473" i="10" a="1"/>
  <c r="F473" i="10" s="1"/>
  <c r="F474" i="10" a="1"/>
  <c r="F474" i="10" s="1"/>
  <c r="F475" i="10" a="1"/>
  <c r="F475" i="10" s="1"/>
  <c r="F476" i="10" a="1"/>
  <c r="F476" i="10" s="1"/>
  <c r="F477" i="10" a="1"/>
  <c r="F477" i="10" s="1"/>
  <c r="F478" i="10" a="1"/>
  <c r="F478" i="10" s="1"/>
  <c r="F479" i="10" a="1"/>
  <c r="F479" i="10" s="1"/>
  <c r="F480" i="10" a="1"/>
  <c r="F480" i="10" s="1"/>
  <c r="F481" i="10" a="1"/>
  <c r="F481" i="10" s="1"/>
  <c r="F482" i="10" a="1"/>
  <c r="F482" i="10" s="1"/>
  <c r="F483" i="10" a="1"/>
  <c r="F483" i="10" s="1"/>
  <c r="F484" i="10" a="1"/>
  <c r="F484" i="10" s="1"/>
  <c r="F485" i="10" a="1"/>
  <c r="F485" i="10" s="1"/>
  <c r="F486" i="10" a="1"/>
  <c r="F486" i="10" s="1"/>
  <c r="F487" i="10" a="1"/>
  <c r="F487" i="10" s="1"/>
  <c r="F488" i="10" a="1"/>
  <c r="F488" i="10" s="1"/>
  <c r="F489" i="10" a="1"/>
  <c r="F489" i="10" s="1"/>
  <c r="F490" i="10" a="1"/>
  <c r="F490" i="10" s="1"/>
  <c r="F491" i="10" a="1"/>
  <c r="F491" i="10" s="1"/>
  <c r="F492" i="10" a="1"/>
  <c r="F492" i="10" s="1"/>
  <c r="F493" i="10" a="1"/>
  <c r="F493" i="10" s="1"/>
  <c r="F494" i="10" a="1"/>
  <c r="F494" i="10" s="1"/>
  <c r="F495" i="10" a="1"/>
  <c r="F495" i="10" s="1"/>
  <c r="F496" i="10" a="1"/>
  <c r="F496" i="10" s="1"/>
  <c r="F497" i="10" a="1"/>
  <c r="F497" i="10" s="1"/>
  <c r="F498" i="10" a="1"/>
  <c r="F498" i="10" s="1"/>
  <c r="F499" i="10" a="1"/>
  <c r="F499" i="10" s="1"/>
  <c r="F500" i="10" a="1"/>
  <c r="F500" i="10" s="1"/>
  <c r="F501" i="10" a="1"/>
  <c r="F501" i="10" s="1"/>
  <c r="F502" i="10" a="1"/>
  <c r="F502" i="10" s="1"/>
  <c r="F503" i="10" a="1"/>
  <c r="F503" i="10" s="1"/>
  <c r="F504" i="10" a="1"/>
  <c r="F504" i="10" s="1"/>
  <c r="F505" i="10" a="1"/>
  <c r="F505" i="10" s="1"/>
  <c r="F506" i="10" a="1"/>
  <c r="F506" i="10" s="1"/>
  <c r="F507" i="10" a="1"/>
  <c r="F507" i="10" s="1"/>
  <c r="F508" i="10" a="1"/>
  <c r="F508" i="10" s="1"/>
  <c r="F509" i="10" a="1"/>
  <c r="F509" i="10" s="1"/>
  <c r="F510" i="10" a="1"/>
  <c r="F510" i="10" s="1"/>
  <c r="F511" i="10" a="1"/>
  <c r="F511" i="10" s="1"/>
  <c r="F512" i="10" a="1"/>
  <c r="F512" i="10" s="1"/>
  <c r="F513" i="10" a="1"/>
  <c r="F513" i="10" s="1"/>
  <c r="F514" i="10" a="1"/>
  <c r="F514" i="10" s="1"/>
  <c r="F515" i="10" a="1"/>
  <c r="F515" i="10" s="1"/>
  <c r="F516" i="10" a="1"/>
  <c r="F516" i="10" s="1"/>
  <c r="F517" i="10" a="1"/>
  <c r="F517" i="10" s="1"/>
  <c r="F518" i="10" a="1"/>
  <c r="F518" i="10" s="1"/>
  <c r="F519" i="10" a="1"/>
  <c r="F519" i="10" s="1"/>
  <c r="F520" i="10" a="1"/>
  <c r="F520" i="10" s="1"/>
  <c r="F521" i="10" a="1"/>
  <c r="F521" i="10" s="1"/>
  <c r="F522" i="10" a="1"/>
  <c r="F522" i="10" s="1"/>
  <c r="F523" i="10" a="1"/>
  <c r="F523" i="10" s="1"/>
  <c r="F524" i="10" a="1"/>
  <c r="F524" i="10" s="1"/>
  <c r="F525" i="10" a="1"/>
  <c r="F525" i="10" s="1"/>
  <c r="F526" i="10" a="1"/>
  <c r="F526" i="10" s="1"/>
  <c r="F527" i="10" a="1"/>
  <c r="F527" i="10" s="1"/>
  <c r="F528" i="10" a="1"/>
  <c r="F528" i="10" s="1"/>
  <c r="F529" i="10" a="1"/>
  <c r="F529" i="10" s="1"/>
  <c r="F530" i="10" a="1"/>
  <c r="F530" i="10" s="1"/>
  <c r="F531" i="10" a="1"/>
  <c r="F531" i="10" s="1"/>
  <c r="F532" i="10" a="1"/>
  <c r="F532" i="10" s="1"/>
  <c r="F533" i="10" a="1"/>
  <c r="F533" i="10" s="1"/>
  <c r="F534" i="10" a="1"/>
  <c r="F534" i="10" s="1"/>
  <c r="F535" i="10" a="1"/>
  <c r="F535" i="10" s="1"/>
  <c r="F536" i="10" a="1"/>
  <c r="F536" i="10" s="1"/>
  <c r="F537" i="10" a="1"/>
  <c r="F537" i="10" s="1"/>
  <c r="F538" i="10" a="1"/>
  <c r="F538" i="10" s="1"/>
  <c r="F539" i="10" a="1"/>
  <c r="F539" i="10" s="1"/>
  <c r="F540" i="10" a="1"/>
  <c r="F540" i="10" s="1"/>
  <c r="F541" i="10" a="1"/>
  <c r="F541" i="10" s="1"/>
  <c r="F542" i="10" a="1"/>
  <c r="F542" i="10" s="1"/>
  <c r="F543" i="10" a="1"/>
  <c r="F543" i="10" s="1"/>
  <c r="F544" i="10" a="1"/>
  <c r="F544" i="10" s="1"/>
  <c r="F545" i="10" a="1"/>
  <c r="F545" i="10" s="1"/>
  <c r="F546" i="10" a="1"/>
  <c r="F546" i="10" s="1"/>
  <c r="F547" i="10" a="1"/>
  <c r="F547" i="10" s="1"/>
  <c r="F548" i="10" a="1"/>
  <c r="F548" i="10" s="1"/>
  <c r="F549" i="10" a="1"/>
  <c r="F549" i="10" s="1"/>
  <c r="F550" i="10" a="1"/>
  <c r="F550" i="10" s="1"/>
  <c r="F551" i="10" a="1"/>
  <c r="F551" i="10" s="1"/>
  <c r="F552" i="10" a="1"/>
  <c r="F552" i="10" s="1"/>
  <c r="F553" i="10" a="1"/>
  <c r="F553" i="10" s="1"/>
  <c r="F554" i="10" a="1"/>
  <c r="F554" i="10" s="1"/>
  <c r="F555" i="10" a="1"/>
  <c r="F555" i="10" s="1"/>
  <c r="F556" i="10" a="1"/>
  <c r="F556" i="10" s="1"/>
  <c r="F557" i="10" a="1"/>
  <c r="F557" i="10" s="1"/>
  <c r="F558" i="10" a="1"/>
  <c r="F558" i="10" s="1"/>
  <c r="F559" i="10" a="1"/>
  <c r="F559" i="10" s="1"/>
  <c r="F560" i="10" a="1"/>
  <c r="F560" i="10" s="1"/>
  <c r="F561" i="10" a="1"/>
  <c r="F561" i="10" s="1"/>
  <c r="F562" i="10" a="1"/>
  <c r="F562" i="10" s="1"/>
  <c r="F563" i="10" a="1"/>
  <c r="F563" i="10" s="1"/>
  <c r="F564" i="10" a="1"/>
  <c r="F564" i="10" s="1"/>
  <c r="F565" i="10" a="1"/>
  <c r="F565" i="10" s="1"/>
  <c r="F566" i="10" a="1"/>
  <c r="F566" i="10" s="1"/>
  <c r="F567" i="10" a="1"/>
  <c r="F567" i="10" s="1"/>
  <c r="F568" i="10" a="1"/>
  <c r="F568" i="10" s="1"/>
  <c r="F569" i="10" a="1"/>
  <c r="F569" i="10" s="1"/>
  <c r="F570" i="10" a="1"/>
  <c r="F570" i="10" s="1"/>
  <c r="F571" i="10" a="1"/>
  <c r="F571" i="10" s="1"/>
  <c r="F572" i="10" a="1"/>
  <c r="F572" i="10" s="1"/>
  <c r="F573" i="10" a="1"/>
  <c r="F573" i="10" s="1"/>
  <c r="F574" i="10" a="1"/>
  <c r="F574" i="10" s="1"/>
  <c r="F575" i="10" a="1"/>
  <c r="F575" i="10" s="1"/>
  <c r="F576" i="10" a="1"/>
  <c r="F576" i="10" s="1"/>
  <c r="F577" i="10" a="1"/>
  <c r="F577" i="10" s="1"/>
  <c r="F578" i="10" a="1"/>
  <c r="F578" i="10" s="1"/>
  <c r="F579" i="10" a="1"/>
  <c r="F579" i="10" s="1"/>
  <c r="F580" i="10" a="1"/>
  <c r="F580" i="10" s="1"/>
  <c r="F581" i="10" a="1"/>
  <c r="F581" i="10" s="1"/>
  <c r="F582" i="10" a="1"/>
  <c r="F582" i="10" s="1"/>
  <c r="F583" i="10" a="1"/>
  <c r="F583" i="10" s="1"/>
  <c r="F584" i="10" a="1"/>
  <c r="F584" i="10" s="1"/>
  <c r="F585" i="10" a="1"/>
  <c r="F585" i="10" s="1"/>
  <c r="F586" i="10" a="1"/>
  <c r="F586" i="10" s="1"/>
  <c r="F587" i="10" a="1"/>
  <c r="F587" i="10" s="1"/>
  <c r="F588" i="10" a="1"/>
  <c r="F588" i="10" s="1"/>
  <c r="F589" i="10" a="1"/>
  <c r="F589" i="10" s="1"/>
  <c r="F590" i="10" a="1"/>
  <c r="F590" i="10" s="1"/>
  <c r="F591" i="10" a="1"/>
  <c r="F591" i="10" s="1"/>
  <c r="F592" i="10" a="1"/>
  <c r="F592" i="10" s="1"/>
  <c r="F593" i="10" a="1"/>
  <c r="F593" i="10" s="1"/>
  <c r="F594" i="10" a="1"/>
  <c r="F594" i="10" s="1"/>
  <c r="F595" i="10" a="1"/>
  <c r="F595" i="10" s="1"/>
  <c r="F596" i="10" a="1"/>
  <c r="F596" i="10" s="1"/>
  <c r="F597" i="10" a="1"/>
  <c r="F597" i="10" s="1"/>
  <c r="F598" i="10" a="1"/>
  <c r="F598" i="10" s="1"/>
  <c r="F599" i="10" a="1"/>
  <c r="F599" i="10" s="1"/>
  <c r="F600" i="10" a="1"/>
  <c r="F600" i="10" s="1"/>
  <c r="F601" i="10" a="1"/>
  <c r="F601" i="10" s="1"/>
  <c r="F602" i="10" a="1"/>
  <c r="F602" i="10" s="1"/>
  <c r="F603" i="10" a="1"/>
  <c r="F603" i="10" s="1"/>
  <c r="F604" i="10" a="1"/>
  <c r="F604" i="10" s="1"/>
  <c r="F605" i="10" a="1"/>
  <c r="F605" i="10" s="1"/>
  <c r="F606" i="10" a="1"/>
  <c r="F606" i="10" s="1"/>
  <c r="F607" i="10" a="1"/>
  <c r="F607" i="10" s="1"/>
  <c r="F608" i="10" a="1"/>
  <c r="F608" i="10" s="1"/>
  <c r="F609" i="10" a="1"/>
  <c r="F609" i="10" s="1"/>
  <c r="F610" i="10" a="1"/>
  <c r="F610" i="10" s="1"/>
  <c r="F611" i="10" a="1"/>
  <c r="F611" i="10" s="1"/>
  <c r="F612" i="10" a="1"/>
  <c r="F612" i="10" s="1"/>
  <c r="F613" i="10" a="1"/>
  <c r="F613" i="10" s="1"/>
  <c r="F614" i="10" a="1"/>
  <c r="F614" i="10" s="1"/>
  <c r="F615" i="10" a="1"/>
  <c r="F615" i="10" s="1"/>
  <c r="F616" i="10" a="1"/>
  <c r="F616" i="10" s="1"/>
  <c r="F617" i="10" a="1"/>
  <c r="F617" i="10" s="1"/>
  <c r="F618" i="10" a="1"/>
  <c r="F618" i="10" s="1"/>
  <c r="F619" i="10" a="1"/>
  <c r="F619" i="10" s="1"/>
  <c r="F620" i="10" a="1"/>
  <c r="F620" i="10" s="1"/>
  <c r="F621" i="10" a="1"/>
  <c r="F621" i="10" s="1"/>
  <c r="F622" i="10" a="1"/>
  <c r="F622" i="10" s="1"/>
  <c r="F623" i="10" a="1"/>
  <c r="F623" i="10" s="1"/>
  <c r="F624" i="10" a="1"/>
  <c r="F624" i="10" s="1"/>
  <c r="F625" i="10" a="1"/>
  <c r="F625" i="10" s="1"/>
  <c r="F626" i="10" a="1"/>
  <c r="F626" i="10" s="1"/>
  <c r="F627" i="10" a="1"/>
  <c r="F627" i="10" s="1"/>
  <c r="F628" i="10" a="1"/>
  <c r="F628" i="10" s="1"/>
  <c r="F629" i="10" a="1"/>
  <c r="F629" i="10" s="1"/>
  <c r="F630" i="10" a="1"/>
  <c r="F630" i="10" s="1"/>
  <c r="F631" i="10" a="1"/>
  <c r="F631" i="10" s="1"/>
  <c r="F632" i="10" a="1"/>
  <c r="F632" i="10" s="1"/>
  <c r="F633" i="10" a="1"/>
  <c r="F633" i="10" s="1"/>
  <c r="F634" i="10" a="1"/>
  <c r="F634" i="10" s="1"/>
  <c r="F635" i="10" a="1"/>
  <c r="F635" i="10" s="1"/>
  <c r="F636" i="10" a="1"/>
  <c r="F636" i="10" s="1"/>
  <c r="F637" i="10" a="1"/>
  <c r="F637" i="10" s="1"/>
  <c r="F638" i="10" a="1"/>
  <c r="F638" i="10" s="1"/>
  <c r="F639" i="10" a="1"/>
  <c r="F639" i="10" s="1"/>
  <c r="F640" i="10" a="1"/>
  <c r="F640" i="10" s="1"/>
  <c r="F641" i="10" a="1"/>
  <c r="F641" i="10" s="1"/>
  <c r="F642" i="10" a="1"/>
  <c r="F642" i="10" s="1"/>
  <c r="F643" i="10" a="1"/>
  <c r="F643" i="10" s="1"/>
  <c r="F644" i="10" a="1"/>
  <c r="F644" i="10" s="1"/>
  <c r="F645" i="10" a="1"/>
  <c r="F645" i="10" s="1"/>
  <c r="F646" i="10" a="1"/>
  <c r="F646" i="10" s="1"/>
  <c r="F647" i="10" a="1"/>
  <c r="F647" i="10" s="1"/>
  <c r="F648" i="10" a="1"/>
  <c r="F648" i="10" s="1"/>
  <c r="F649" i="10" a="1"/>
  <c r="F649" i="10" s="1"/>
  <c r="F650" i="10" a="1"/>
  <c r="F650" i="10" s="1"/>
  <c r="F651" i="10" a="1"/>
  <c r="F651" i="10" s="1"/>
  <c r="F652" i="10" a="1"/>
  <c r="F652" i="10" s="1"/>
  <c r="F653" i="10" a="1"/>
  <c r="F653" i="10" s="1"/>
  <c r="F654" i="10" a="1"/>
  <c r="F654" i="10" s="1"/>
  <c r="F655" i="10" a="1"/>
  <c r="F655" i="10" s="1"/>
  <c r="F656" i="10" a="1"/>
  <c r="F656" i="10" s="1"/>
  <c r="F657" i="10" a="1"/>
  <c r="F657" i="10" s="1"/>
  <c r="F658" i="10" a="1"/>
  <c r="F658" i="10" s="1"/>
  <c r="F659" i="10" a="1"/>
  <c r="F659" i="10" s="1"/>
  <c r="F660" i="10" a="1"/>
  <c r="F660" i="10" s="1"/>
  <c r="F661" i="10" a="1"/>
  <c r="F661" i="10" s="1"/>
  <c r="F662" i="10" a="1"/>
  <c r="F662" i="10" s="1"/>
  <c r="F663" i="10" a="1"/>
  <c r="F663" i="10" s="1"/>
  <c r="F664" i="10" a="1"/>
  <c r="F664" i="10" s="1"/>
  <c r="F665" i="10" a="1"/>
  <c r="F665" i="10" s="1"/>
  <c r="F666" i="10" a="1"/>
  <c r="F666" i="10" s="1"/>
  <c r="F667" i="10" a="1"/>
  <c r="F667" i="10" s="1"/>
  <c r="F668" i="10" a="1"/>
  <c r="F668" i="10" s="1"/>
  <c r="F669" i="10" a="1"/>
  <c r="F669" i="10" s="1"/>
  <c r="F670" i="10" a="1"/>
  <c r="F670" i="10" s="1"/>
  <c r="F671" i="10" a="1"/>
  <c r="F671" i="10" s="1"/>
  <c r="F672" i="10" a="1"/>
  <c r="F672" i="10" s="1"/>
  <c r="F673" i="10" a="1"/>
  <c r="F673" i="10" s="1"/>
  <c r="F674" i="10" a="1"/>
  <c r="F674" i="10" s="1"/>
  <c r="F675" i="10" a="1"/>
  <c r="F675" i="10" s="1"/>
  <c r="F676" i="10" a="1"/>
  <c r="F676" i="10" s="1"/>
  <c r="F677" i="10" a="1"/>
  <c r="F677" i="10" s="1"/>
  <c r="F678" i="10" a="1"/>
  <c r="F678" i="10" s="1"/>
  <c r="F679" i="10" a="1"/>
  <c r="F679" i="10" s="1"/>
  <c r="F680" i="10" a="1"/>
  <c r="F680" i="10" s="1"/>
  <c r="F681" i="10" a="1"/>
  <c r="F681" i="10" s="1"/>
  <c r="F682" i="10" a="1"/>
  <c r="F682" i="10" s="1"/>
  <c r="F683" i="10" a="1"/>
  <c r="F683" i="10" s="1"/>
  <c r="F684" i="10" a="1"/>
  <c r="F684" i="10" s="1"/>
  <c r="F685" i="10" a="1"/>
  <c r="F685" i="10" s="1"/>
  <c r="F686" i="10" a="1"/>
  <c r="F686" i="10" s="1"/>
  <c r="F687" i="10" a="1"/>
  <c r="F687" i="10" s="1"/>
  <c r="F688" i="10" a="1"/>
  <c r="F688" i="10" s="1"/>
  <c r="F689" i="10" a="1"/>
  <c r="F689" i="10" s="1"/>
  <c r="F690" i="10" a="1"/>
  <c r="F690" i="10" s="1"/>
  <c r="F691" i="10" a="1"/>
  <c r="F691" i="10" s="1"/>
  <c r="F692" i="10" a="1"/>
  <c r="F692" i="10" s="1"/>
  <c r="F693" i="10" a="1"/>
  <c r="F693" i="10" s="1"/>
  <c r="F694" i="10" a="1"/>
  <c r="F694" i="10" s="1"/>
  <c r="F695" i="10" a="1"/>
  <c r="F695" i="10" s="1"/>
  <c r="F696" i="10" a="1"/>
  <c r="F696" i="10" s="1"/>
  <c r="F697" i="10" a="1"/>
  <c r="F697" i="10" s="1"/>
  <c r="F698" i="10" a="1"/>
  <c r="F698" i="10" s="1"/>
  <c r="F699" i="10" a="1"/>
  <c r="F699" i="10" s="1"/>
  <c r="F700" i="10" a="1"/>
  <c r="F700" i="10" s="1"/>
  <c r="F701" i="10" a="1"/>
  <c r="F701" i="10" s="1"/>
  <c r="F702" i="10" a="1"/>
  <c r="F702" i="10" s="1"/>
  <c r="F703" i="10" a="1"/>
  <c r="F703" i="10" s="1"/>
  <c r="F704" i="10" a="1"/>
  <c r="F704" i="10" s="1"/>
  <c r="F705" i="10" a="1"/>
  <c r="F705" i="10" s="1"/>
  <c r="F706" i="10" a="1"/>
  <c r="F706" i="10" s="1"/>
  <c r="F707" i="10" a="1"/>
  <c r="F707" i="10" s="1"/>
  <c r="F708" i="10" a="1"/>
  <c r="F708" i="10" s="1"/>
  <c r="F709" i="10" a="1"/>
  <c r="F709" i="10" s="1"/>
  <c r="F710" i="10" a="1"/>
  <c r="F710" i="10" s="1"/>
  <c r="F711" i="10" a="1"/>
  <c r="F711" i="10" s="1"/>
  <c r="F712" i="10" a="1"/>
  <c r="F712" i="10" s="1"/>
  <c r="F713" i="10" a="1"/>
  <c r="F713" i="10" s="1"/>
  <c r="F714" i="10" a="1"/>
  <c r="F714" i="10" s="1"/>
  <c r="F715" i="10" a="1"/>
  <c r="F715" i="10" s="1"/>
  <c r="F716" i="10" a="1"/>
  <c r="F716" i="10" s="1"/>
  <c r="F717" i="10" a="1"/>
  <c r="F717" i="10" s="1"/>
  <c r="F718" i="10" a="1"/>
  <c r="F718" i="10" s="1"/>
  <c r="F719" i="10" a="1"/>
  <c r="F719" i="10" s="1"/>
  <c r="F720" i="10" a="1"/>
  <c r="F720" i="10" s="1"/>
  <c r="F721" i="10" a="1"/>
  <c r="F721" i="10" s="1"/>
  <c r="F722" i="10" a="1"/>
  <c r="F722" i="10" s="1"/>
  <c r="F723" i="10" a="1"/>
  <c r="F723" i="10" s="1"/>
  <c r="F724" i="10" a="1"/>
  <c r="F724" i="10" s="1"/>
  <c r="F725" i="10" a="1"/>
  <c r="F725" i="10" s="1"/>
  <c r="F726" i="10" a="1"/>
  <c r="F726" i="10" s="1"/>
  <c r="F727" i="10" a="1"/>
  <c r="F727" i="10" s="1"/>
  <c r="F728" i="10" a="1"/>
  <c r="F728" i="10" s="1"/>
  <c r="F729" i="10" a="1"/>
  <c r="F729" i="10" s="1"/>
  <c r="F730" i="10" a="1"/>
  <c r="F730" i="10" s="1"/>
  <c r="F731" i="10" a="1"/>
  <c r="F731" i="10" s="1"/>
  <c r="F732" i="10" a="1"/>
  <c r="F732" i="10" s="1"/>
  <c r="F733" i="10" a="1"/>
  <c r="F733" i="10" s="1"/>
  <c r="F734" i="10" a="1"/>
  <c r="F734" i="10" s="1"/>
  <c r="F735" i="10" a="1"/>
  <c r="F735" i="10" s="1"/>
  <c r="F736" i="10" a="1"/>
  <c r="F736" i="10" s="1"/>
  <c r="F737" i="10" a="1"/>
  <c r="F737" i="10" s="1"/>
  <c r="F738" i="10" a="1"/>
  <c r="F738" i="10" s="1"/>
  <c r="F739" i="10" a="1"/>
  <c r="F739" i="10" s="1"/>
  <c r="F740" i="10" a="1"/>
  <c r="F740" i="10" s="1"/>
  <c r="F741" i="10" a="1"/>
  <c r="F741" i="10" s="1"/>
  <c r="F742" i="10" a="1"/>
  <c r="F742" i="10" s="1"/>
  <c r="F743" i="10" a="1"/>
  <c r="F743" i="10" s="1"/>
  <c r="F744" i="10" a="1"/>
  <c r="F744" i="10" s="1"/>
  <c r="F745" i="10" a="1"/>
  <c r="F745" i="10" s="1"/>
  <c r="F746" i="10" a="1"/>
  <c r="F746" i="10" s="1"/>
  <c r="F747" i="10" a="1"/>
  <c r="F747" i="10" s="1"/>
  <c r="F748" i="10" a="1"/>
  <c r="F748" i="10" s="1"/>
  <c r="F749" i="10" a="1"/>
  <c r="F749" i="10" s="1"/>
  <c r="F750" i="10" a="1"/>
  <c r="F750" i="10" s="1"/>
  <c r="F751" i="10" a="1"/>
  <c r="F751" i="10" s="1"/>
  <c r="F752" i="10" a="1"/>
  <c r="F752" i="10" s="1"/>
  <c r="F753" i="10" a="1"/>
  <c r="F753" i="10" s="1"/>
  <c r="S2" i="5" s="1"/>
  <c r="F754" i="10" a="1"/>
  <c r="F754" i="10" s="1"/>
  <c r="F755" i="10" a="1"/>
  <c r="F755" i="10" s="1"/>
  <c r="F756" i="10" a="1"/>
  <c r="F756" i="10" s="1"/>
  <c r="F757" i="10" a="1"/>
  <c r="F757" i="10" s="1"/>
  <c r="F758" i="10" a="1"/>
  <c r="F758" i="10" s="1"/>
  <c r="F759" i="10" a="1"/>
  <c r="F759" i="10" s="1"/>
  <c r="F760" i="10" a="1"/>
  <c r="F760" i="10" s="1"/>
  <c r="F761" i="10" a="1"/>
  <c r="F761" i="10" s="1"/>
  <c r="F762" i="10" a="1"/>
  <c r="F762" i="10" s="1"/>
  <c r="F763" i="10" a="1"/>
  <c r="F763" i="10" s="1"/>
  <c r="F764" i="10" a="1"/>
  <c r="F764" i="10" s="1"/>
  <c r="F765" i="10" a="1"/>
  <c r="F765" i="10" s="1"/>
  <c r="F766" i="10" a="1"/>
  <c r="F766" i="10" s="1"/>
  <c r="F767" i="10" a="1"/>
  <c r="F767" i="10" s="1"/>
  <c r="F768" i="10" a="1"/>
  <c r="F768" i="10" s="1"/>
  <c r="F769" i="10" a="1"/>
  <c r="F769" i="10" s="1"/>
  <c r="F770" i="10" a="1"/>
  <c r="F770" i="10" s="1"/>
  <c r="F771" i="10" a="1"/>
  <c r="F771" i="10" s="1"/>
  <c r="F772" i="10" a="1"/>
  <c r="F772" i="10" s="1"/>
  <c r="F773" i="10" a="1"/>
  <c r="F773" i="10" s="1"/>
  <c r="F774" i="10" a="1"/>
  <c r="F774" i="10" s="1"/>
  <c r="F775" i="10" a="1"/>
  <c r="F775" i="10" s="1"/>
  <c r="F776" i="10" a="1"/>
  <c r="F776" i="10" s="1"/>
  <c r="F777" i="10" a="1"/>
  <c r="F777" i="10" s="1"/>
  <c r="F778" i="10" a="1"/>
  <c r="F778" i="10" s="1"/>
  <c r="F779" i="10" a="1"/>
  <c r="F779" i="10" s="1"/>
  <c r="F780" i="10" a="1"/>
  <c r="F780" i="10" s="1"/>
  <c r="F781" i="10" a="1"/>
  <c r="F781" i="10" s="1"/>
  <c r="F782" i="10" a="1"/>
  <c r="F782" i="10" s="1"/>
  <c r="F783" i="10" a="1"/>
  <c r="F783" i="10" s="1"/>
  <c r="F784" i="10" a="1"/>
  <c r="F784" i="10" s="1"/>
  <c r="F785" i="10" a="1"/>
  <c r="F785" i="10" s="1"/>
  <c r="F786" i="10" a="1"/>
  <c r="F786" i="10" s="1"/>
  <c r="F787" i="10" a="1"/>
  <c r="F787" i="10" s="1"/>
  <c r="F788" i="10" a="1"/>
  <c r="F788" i="10" s="1"/>
  <c r="F789" i="10" a="1"/>
  <c r="F789" i="10" s="1"/>
  <c r="F790" i="10" a="1"/>
  <c r="F790" i="10" s="1"/>
  <c r="F791" i="10" a="1"/>
  <c r="F791" i="10" s="1"/>
  <c r="F792" i="10" a="1"/>
  <c r="F792" i="10" s="1"/>
  <c r="F793" i="10" a="1"/>
  <c r="F793" i="10" s="1"/>
  <c r="F794" i="10" a="1"/>
  <c r="F794" i="10" s="1"/>
  <c r="F795" i="10" a="1"/>
  <c r="F795" i="10" s="1"/>
  <c r="F796" i="10" a="1"/>
  <c r="F796" i="10" s="1"/>
  <c r="F797" i="10" a="1"/>
  <c r="F797" i="10" s="1"/>
  <c r="F798" i="10" a="1"/>
  <c r="F798" i="10" s="1"/>
  <c r="F799" i="10" a="1"/>
  <c r="F799" i="10" s="1"/>
  <c r="F800" i="10" a="1"/>
  <c r="F800" i="10" s="1"/>
  <c r="F801" i="10" a="1"/>
  <c r="F801" i="10" s="1"/>
  <c r="F802" i="10" a="1"/>
  <c r="F802" i="10" s="1"/>
  <c r="F803" i="10" a="1"/>
  <c r="F803" i="10" s="1"/>
  <c r="F804" i="10" a="1"/>
  <c r="F804" i="10" s="1"/>
  <c r="F805" i="10" a="1"/>
  <c r="F805" i="10" s="1"/>
  <c r="F806" i="10" a="1"/>
  <c r="F806" i="10" s="1"/>
  <c r="F807" i="10" a="1"/>
  <c r="F807" i="10" s="1"/>
  <c r="F808" i="10" a="1"/>
  <c r="F808" i="10" s="1"/>
  <c r="F809" i="10" a="1"/>
  <c r="F809" i="10" s="1"/>
  <c r="F810" i="10" a="1"/>
  <c r="F810" i="10" s="1"/>
  <c r="F811" i="10" a="1"/>
  <c r="F811" i="10" s="1"/>
  <c r="F812" i="10" a="1"/>
  <c r="F812" i="10" s="1"/>
  <c r="F813" i="10" a="1"/>
  <c r="F813" i="10" s="1"/>
  <c r="F814" i="10" a="1"/>
  <c r="F814" i="10" s="1"/>
  <c r="F815" i="10" a="1"/>
  <c r="F815" i="10" s="1"/>
  <c r="F816" i="10" a="1"/>
  <c r="F816" i="10" s="1"/>
  <c r="F817" i="10" a="1"/>
  <c r="F817" i="10" s="1"/>
  <c r="F818" i="10" a="1"/>
  <c r="F818" i="10" s="1"/>
  <c r="F819" i="10" a="1"/>
  <c r="F819" i="10" s="1"/>
  <c r="F820" i="10" a="1"/>
  <c r="F820" i="10" s="1"/>
  <c r="F821" i="10" a="1"/>
  <c r="F821" i="10" s="1"/>
  <c r="F822" i="10" a="1"/>
  <c r="F822" i="10" s="1"/>
  <c r="F823" i="10" a="1"/>
  <c r="F823" i="10" s="1"/>
  <c r="F824" i="10" a="1"/>
  <c r="F824" i="10" s="1"/>
  <c r="F825" i="10" a="1"/>
  <c r="F825" i="10" s="1"/>
  <c r="F826" i="10" a="1"/>
  <c r="F826" i="10" s="1"/>
  <c r="F827" i="10" a="1"/>
  <c r="F827" i="10" s="1"/>
  <c r="F828" i="10" a="1"/>
  <c r="F828" i="10" s="1"/>
  <c r="F829" i="10" a="1"/>
  <c r="F829" i="10" s="1"/>
  <c r="F830" i="10" a="1"/>
  <c r="F830" i="10" s="1"/>
  <c r="F831" i="10" a="1"/>
  <c r="F831" i="10" s="1"/>
  <c r="F832" i="10" a="1"/>
  <c r="F832" i="10" s="1"/>
  <c r="F833" i="10" a="1"/>
  <c r="F833" i="10" s="1"/>
  <c r="F834" i="10" a="1"/>
  <c r="F834" i="10" s="1"/>
  <c r="F835" i="10" a="1"/>
  <c r="F835" i="10" s="1"/>
  <c r="F836" i="10" a="1"/>
  <c r="F836" i="10" s="1"/>
  <c r="F837" i="10" a="1"/>
  <c r="F837" i="10" s="1"/>
  <c r="F838" i="10" a="1"/>
  <c r="F838" i="10" s="1"/>
  <c r="F839" i="10" a="1"/>
  <c r="F839" i="10" s="1"/>
  <c r="F840" i="10" a="1"/>
  <c r="F840" i="10" s="1"/>
  <c r="F841" i="10" a="1"/>
  <c r="F841" i="10" s="1"/>
  <c r="F842" i="10" a="1"/>
  <c r="F842" i="10" s="1"/>
  <c r="F843" i="10" a="1"/>
  <c r="F843" i="10" s="1"/>
  <c r="F844" i="10" a="1"/>
  <c r="F844" i="10" s="1"/>
  <c r="F845" i="10" a="1"/>
  <c r="F845" i="10" s="1"/>
  <c r="F846" i="10" a="1"/>
  <c r="F846" i="10" s="1"/>
  <c r="F847" i="10" a="1"/>
  <c r="F847" i="10" s="1"/>
  <c r="F848" i="10" a="1"/>
  <c r="F848" i="10" s="1"/>
  <c r="F849" i="10" a="1"/>
  <c r="F849" i="10" s="1"/>
  <c r="F850" i="10" a="1"/>
  <c r="F850" i="10" s="1"/>
  <c r="F851" i="10" a="1"/>
  <c r="F851" i="10" s="1"/>
  <c r="F852" i="10" a="1"/>
  <c r="F852" i="10" s="1"/>
  <c r="F853" i="10" a="1"/>
  <c r="F853" i="10" s="1"/>
  <c r="F854" i="10" a="1"/>
  <c r="F854" i="10" s="1"/>
  <c r="F855" i="10" a="1"/>
  <c r="F855" i="10" s="1"/>
  <c r="F856" i="10" a="1"/>
  <c r="F856" i="10" s="1"/>
  <c r="F857" i="10" a="1"/>
  <c r="F857" i="10" s="1"/>
  <c r="F858" i="10" a="1"/>
  <c r="F858" i="10" s="1"/>
  <c r="F859" i="10" a="1"/>
  <c r="F859" i="10" s="1"/>
  <c r="F860" i="10" a="1"/>
  <c r="F860" i="10" s="1"/>
  <c r="F861" i="10" a="1"/>
  <c r="F861" i="10" s="1"/>
  <c r="F862" i="10" a="1"/>
  <c r="F862" i="10" s="1"/>
  <c r="F863" i="10" a="1"/>
  <c r="F863" i="10" s="1"/>
  <c r="F864" i="10" a="1"/>
  <c r="F864" i="10" s="1"/>
  <c r="F865" i="10" a="1"/>
  <c r="F865" i="10" s="1"/>
  <c r="F866" i="10" a="1"/>
  <c r="F866" i="10" s="1"/>
  <c r="F867" i="10" a="1"/>
  <c r="F867" i="10" s="1"/>
  <c r="F868" i="10" a="1"/>
  <c r="F868" i="10" s="1"/>
  <c r="F869" i="10" a="1"/>
  <c r="F869" i="10" s="1"/>
  <c r="F870" i="10" a="1"/>
  <c r="F870" i="10" s="1"/>
  <c r="F871" i="10" a="1"/>
  <c r="F871" i="10" s="1"/>
  <c r="F872" i="10" a="1"/>
  <c r="F872" i="10" s="1"/>
  <c r="F873" i="10" a="1"/>
  <c r="F873" i="10" s="1"/>
  <c r="F874" i="10" a="1"/>
  <c r="F874" i="10" s="1"/>
  <c r="F875" i="10" a="1"/>
  <c r="F875" i="10" s="1"/>
  <c r="F876" i="10" a="1"/>
  <c r="F876" i="10" s="1"/>
  <c r="F877" i="10" a="1"/>
  <c r="F877" i="10" s="1"/>
  <c r="F878" i="10" a="1"/>
  <c r="F878" i="10" s="1"/>
  <c r="G878" i="10"/>
  <c r="M2" i="9"/>
  <c r="M3" i="9"/>
  <c r="M4" i="9"/>
  <c r="M5" i="9"/>
  <c r="M6" i="9"/>
  <c r="M7" i="9"/>
  <c r="M8" i="9"/>
  <c r="M9" i="9"/>
  <c r="M10" i="9"/>
  <c r="M11" i="9"/>
  <c r="M12" i="9"/>
  <c r="M13" i="9"/>
  <c r="M14" i="9"/>
  <c r="M15" i="9"/>
  <c r="M16" i="9"/>
  <c r="M17" i="9"/>
  <c r="M18" i="9"/>
  <c r="M19" i="9"/>
  <c r="M20" i="9"/>
  <c r="M21" i="9"/>
  <c r="M22" i="9"/>
  <c r="M23" i="9"/>
  <c r="M24" i="9"/>
  <c r="M25" i="9"/>
  <c r="M26" i="9"/>
  <c r="M27" i="9"/>
  <c r="M28" i="9"/>
  <c r="M29" i="9"/>
  <c r="M30" i="9"/>
  <c r="M31" i="9"/>
  <c r="M32" i="9"/>
  <c r="M33" i="9"/>
  <c r="M34" i="9"/>
  <c r="M35" i="9"/>
  <c r="M36" i="9"/>
  <c r="M37" i="9"/>
  <c r="M38" i="9"/>
  <c r="M39" i="9"/>
  <c r="M40" i="9"/>
  <c r="M41" i="9"/>
  <c r="M42" i="9"/>
  <c r="M43" i="9"/>
  <c r="M44" i="9"/>
  <c r="M45" i="9"/>
  <c r="M46" i="9"/>
  <c r="M47" i="9"/>
  <c r="M48" i="9"/>
  <c r="M49" i="9"/>
  <c r="M50" i="9"/>
  <c r="M51" i="9"/>
  <c r="M52" i="9"/>
  <c r="M53" i="9"/>
  <c r="M54" i="9"/>
  <c r="M55" i="9"/>
  <c r="M56" i="9"/>
  <c r="M57" i="9"/>
  <c r="M58" i="9"/>
  <c r="M59" i="9"/>
  <c r="M60" i="9"/>
  <c r="M61" i="9"/>
  <c r="M62" i="9"/>
  <c r="M63" i="9"/>
  <c r="M64" i="9"/>
  <c r="M65" i="9"/>
  <c r="M66" i="9"/>
  <c r="M67" i="9"/>
  <c r="M68" i="9"/>
  <c r="M69" i="9"/>
  <c r="M70" i="9"/>
  <c r="M71" i="9"/>
  <c r="M72" i="9"/>
  <c r="M73" i="9"/>
  <c r="M74" i="9"/>
  <c r="M75" i="9"/>
  <c r="M76" i="9"/>
  <c r="M77" i="9"/>
  <c r="M78" i="9"/>
  <c r="M79" i="9"/>
  <c r="M80" i="9"/>
  <c r="M81" i="9"/>
  <c r="M82" i="9"/>
  <c r="M83" i="9"/>
  <c r="M84" i="9"/>
  <c r="M85" i="9"/>
  <c r="M86" i="9"/>
  <c r="M87" i="9"/>
  <c r="M88" i="9"/>
  <c r="M89" i="9"/>
  <c r="M90" i="9"/>
  <c r="M91" i="9"/>
  <c r="M92" i="9"/>
  <c r="M93" i="9"/>
  <c r="M94" i="9"/>
  <c r="M95" i="9"/>
  <c r="M96" i="9"/>
  <c r="M97" i="9"/>
  <c r="M98" i="9"/>
  <c r="M99" i="9"/>
  <c r="M100" i="9"/>
  <c r="M101" i="9"/>
  <c r="M102" i="9"/>
  <c r="M103" i="9"/>
  <c r="M104" i="9"/>
  <c r="M105" i="9"/>
  <c r="M106" i="9"/>
  <c r="M107" i="9"/>
  <c r="M108" i="9"/>
  <c r="M109" i="9"/>
  <c r="M110" i="9"/>
  <c r="M111" i="9"/>
  <c r="M112" i="9"/>
  <c r="M113" i="9"/>
  <c r="M114" i="9"/>
  <c r="M115" i="9"/>
  <c r="M116" i="9"/>
  <c r="M117" i="9"/>
  <c r="M118" i="9"/>
  <c r="M119" i="9"/>
  <c r="M120" i="9"/>
  <c r="M121" i="9"/>
  <c r="M122" i="9"/>
  <c r="M123" i="9"/>
  <c r="M124" i="9"/>
  <c r="M125" i="9"/>
  <c r="M126" i="9"/>
  <c r="M127" i="9"/>
  <c r="M128" i="9"/>
  <c r="M129" i="9"/>
  <c r="M130" i="9"/>
  <c r="M131" i="9"/>
  <c r="M132" i="9"/>
  <c r="M133" i="9"/>
  <c r="M134" i="9"/>
  <c r="M135" i="9"/>
  <c r="M136" i="9"/>
  <c r="M137" i="9"/>
  <c r="M138" i="9"/>
  <c r="M139" i="9"/>
  <c r="M140" i="9"/>
  <c r="M141" i="9"/>
  <c r="M142" i="9"/>
  <c r="M143" i="9"/>
  <c r="M144" i="9"/>
  <c r="M145" i="9"/>
  <c r="M146" i="9"/>
  <c r="M147" i="9"/>
  <c r="M148" i="9"/>
  <c r="M149" i="9"/>
  <c r="M150" i="9"/>
  <c r="M151" i="9"/>
  <c r="M152" i="9"/>
  <c r="M153" i="9"/>
  <c r="M154" i="9"/>
  <c r="M155" i="9"/>
  <c r="M156" i="9"/>
  <c r="M157" i="9"/>
  <c r="M158" i="9"/>
  <c r="M159" i="9"/>
  <c r="M160" i="9"/>
  <c r="M161" i="9"/>
  <c r="M162" i="9"/>
  <c r="M163" i="9"/>
  <c r="M164" i="9"/>
  <c r="M165" i="9"/>
  <c r="M166" i="9"/>
  <c r="M167" i="9"/>
  <c r="M168" i="9"/>
  <c r="M169" i="9"/>
  <c r="M170" i="9"/>
  <c r="M171" i="9"/>
  <c r="M172" i="9"/>
  <c r="M173" i="9"/>
  <c r="M174" i="9"/>
  <c r="M175" i="9"/>
  <c r="M176" i="9"/>
  <c r="M177" i="9"/>
  <c r="M178" i="9"/>
  <c r="M179" i="9"/>
  <c r="M180" i="9"/>
  <c r="M181" i="9"/>
  <c r="M182" i="9"/>
  <c r="M183" i="9"/>
  <c r="M184" i="9"/>
  <c r="M185" i="9"/>
  <c r="M186" i="9"/>
  <c r="M187" i="9"/>
  <c r="M188" i="9"/>
  <c r="M189" i="9"/>
  <c r="M190" i="9"/>
  <c r="M191" i="9"/>
  <c r="M192" i="9"/>
  <c r="M193" i="9"/>
  <c r="M194" i="9"/>
  <c r="M195" i="9"/>
  <c r="M196" i="9"/>
  <c r="M197" i="9"/>
  <c r="M198" i="9"/>
  <c r="M199" i="9"/>
  <c r="M200" i="9"/>
  <c r="M201" i="9"/>
  <c r="M202" i="9"/>
  <c r="M203" i="9"/>
  <c r="M204" i="9"/>
  <c r="M205" i="9"/>
  <c r="M206" i="9"/>
  <c r="M207" i="9"/>
  <c r="M208" i="9"/>
  <c r="M209" i="9"/>
  <c r="M210" i="9"/>
  <c r="M211" i="9"/>
  <c r="M212" i="9"/>
  <c r="M213" i="9"/>
  <c r="M214" i="9"/>
  <c r="M215" i="9"/>
  <c r="M216" i="9"/>
  <c r="M217" i="9"/>
  <c r="M218" i="9"/>
  <c r="M219" i="9"/>
  <c r="M220" i="9"/>
  <c r="M221" i="9"/>
  <c r="M222" i="9"/>
  <c r="M223" i="9"/>
  <c r="M224" i="9"/>
  <c r="M225" i="9"/>
  <c r="M226" i="9"/>
  <c r="M227" i="9"/>
  <c r="M228" i="9"/>
  <c r="M229" i="9"/>
  <c r="M230" i="9"/>
  <c r="M231" i="9"/>
  <c r="M232" i="9"/>
  <c r="M233" i="9"/>
  <c r="M234" i="9"/>
  <c r="M235" i="9"/>
  <c r="M236" i="9"/>
  <c r="M237" i="9"/>
  <c r="M238" i="9"/>
  <c r="M239" i="9"/>
  <c r="M240" i="9"/>
  <c r="M241" i="9"/>
  <c r="M242" i="9"/>
  <c r="M243" i="9"/>
  <c r="M244" i="9"/>
  <c r="M245" i="9"/>
  <c r="M246" i="9"/>
  <c r="M247" i="9"/>
  <c r="M248" i="9"/>
  <c r="M249" i="9"/>
  <c r="M250" i="9"/>
  <c r="M251" i="9"/>
  <c r="M252" i="9"/>
  <c r="M253" i="9"/>
  <c r="M254" i="9"/>
  <c r="M255" i="9"/>
  <c r="M256" i="9"/>
  <c r="M257" i="9"/>
  <c r="M258" i="9"/>
  <c r="M259" i="9"/>
  <c r="M260" i="9"/>
  <c r="M261" i="9"/>
  <c r="M262" i="9"/>
  <c r="M263" i="9"/>
  <c r="M264" i="9"/>
  <c r="M265" i="9"/>
  <c r="M266" i="9"/>
  <c r="M267" i="9"/>
  <c r="M268" i="9"/>
  <c r="M269" i="9"/>
  <c r="M270" i="9"/>
  <c r="M271" i="9"/>
  <c r="M272" i="9"/>
  <c r="M273" i="9"/>
  <c r="M274" i="9"/>
  <c r="M275" i="9"/>
  <c r="M276" i="9"/>
  <c r="M277" i="9"/>
  <c r="M278" i="9"/>
  <c r="M279" i="9"/>
  <c r="M280" i="9"/>
  <c r="M281" i="9"/>
  <c r="M282" i="9"/>
  <c r="M283" i="9"/>
  <c r="M284" i="9"/>
  <c r="M285" i="9"/>
  <c r="M286" i="9"/>
  <c r="M287" i="9"/>
  <c r="M288" i="9"/>
  <c r="M289" i="9"/>
  <c r="M290" i="9"/>
  <c r="M291" i="9"/>
  <c r="M292" i="9"/>
  <c r="M293" i="9"/>
  <c r="M294" i="9"/>
  <c r="M295" i="9"/>
  <c r="M296" i="9"/>
  <c r="M297" i="9"/>
  <c r="M298" i="9"/>
  <c r="M299" i="9"/>
  <c r="M300" i="9"/>
  <c r="M301" i="9"/>
  <c r="M302" i="9"/>
  <c r="M303" i="9"/>
  <c r="M304" i="9"/>
  <c r="M305" i="9"/>
  <c r="M306" i="9"/>
  <c r="M307" i="9"/>
  <c r="M308" i="9"/>
  <c r="M309" i="9"/>
  <c r="M310" i="9"/>
  <c r="M311" i="9"/>
  <c r="M312" i="9"/>
  <c r="M313" i="9"/>
  <c r="M314" i="9"/>
  <c r="M315" i="9"/>
  <c r="M316" i="9"/>
  <c r="M317" i="9"/>
  <c r="M318" i="9"/>
  <c r="M319" i="9"/>
  <c r="M320" i="9"/>
  <c r="M321" i="9"/>
  <c r="M322" i="9"/>
  <c r="M323" i="9"/>
  <c r="M324" i="9"/>
  <c r="M325" i="9"/>
  <c r="M326" i="9"/>
  <c r="M327" i="9"/>
  <c r="M328" i="9"/>
  <c r="M329" i="9"/>
  <c r="M330" i="9"/>
  <c r="M331" i="9"/>
  <c r="M332" i="9"/>
  <c r="M333" i="9"/>
  <c r="M334" i="9"/>
  <c r="M335" i="9"/>
  <c r="M336" i="9"/>
  <c r="M337" i="9"/>
  <c r="M338" i="9"/>
  <c r="M339" i="9"/>
  <c r="M340" i="9"/>
  <c r="M341" i="9"/>
  <c r="M342" i="9"/>
  <c r="M343" i="9"/>
  <c r="M344" i="9"/>
  <c r="M345" i="9"/>
  <c r="M346" i="9"/>
  <c r="M347" i="9"/>
  <c r="M348" i="9"/>
  <c r="M349" i="9"/>
  <c r="M350" i="9"/>
  <c r="M351" i="9"/>
  <c r="M352" i="9"/>
  <c r="M353" i="9"/>
  <c r="M354" i="9"/>
  <c r="M355" i="9"/>
  <c r="M356" i="9"/>
  <c r="M357" i="9"/>
  <c r="M358" i="9"/>
  <c r="M359" i="9"/>
  <c r="M360" i="9"/>
  <c r="M361" i="9"/>
  <c r="M362" i="9"/>
  <c r="M363" i="9"/>
  <c r="M364" i="9"/>
  <c r="M365" i="9"/>
  <c r="M366" i="9"/>
  <c r="M367" i="9"/>
  <c r="M368" i="9"/>
  <c r="M369" i="9"/>
  <c r="M370" i="9"/>
  <c r="M371" i="9"/>
  <c r="M372" i="9"/>
  <c r="M373" i="9"/>
  <c r="M374" i="9"/>
  <c r="M375" i="9"/>
  <c r="M376" i="9"/>
  <c r="M377" i="9"/>
  <c r="M378" i="9"/>
  <c r="M379" i="9"/>
  <c r="M380" i="9"/>
  <c r="M381" i="9"/>
  <c r="M382" i="9"/>
  <c r="M383" i="9"/>
  <c r="M384" i="9"/>
  <c r="M385" i="9"/>
  <c r="M386" i="9"/>
  <c r="M387" i="9"/>
  <c r="M388" i="9"/>
  <c r="M389" i="9"/>
  <c r="M390" i="9"/>
  <c r="M391" i="9"/>
  <c r="M392" i="9"/>
  <c r="M393" i="9"/>
  <c r="M394" i="9"/>
  <c r="M395" i="9"/>
  <c r="M396" i="9"/>
  <c r="M397" i="9"/>
  <c r="M398" i="9"/>
  <c r="M399" i="9"/>
  <c r="M400" i="9"/>
  <c r="M401" i="9"/>
  <c r="M402" i="9"/>
  <c r="M403" i="9"/>
  <c r="M404" i="9"/>
  <c r="M405" i="9"/>
  <c r="M406" i="9"/>
  <c r="M407" i="9"/>
  <c r="M408" i="9"/>
  <c r="M409" i="9"/>
  <c r="M410" i="9"/>
  <c r="M411" i="9"/>
  <c r="M412" i="9"/>
  <c r="M413" i="9"/>
  <c r="M414" i="9"/>
  <c r="M415" i="9"/>
  <c r="M416" i="9"/>
  <c r="M417" i="9"/>
  <c r="M418" i="9"/>
  <c r="M419" i="9"/>
  <c r="M420" i="9"/>
  <c r="M421" i="9"/>
  <c r="M422" i="9"/>
  <c r="M423" i="9"/>
  <c r="M424" i="9"/>
  <c r="M425" i="9"/>
  <c r="M426" i="9"/>
  <c r="M427" i="9"/>
  <c r="M428" i="9"/>
  <c r="M429" i="9"/>
  <c r="M430" i="9"/>
  <c r="M431" i="9"/>
  <c r="M432" i="9"/>
  <c r="M433" i="9"/>
  <c r="M434" i="9"/>
  <c r="M435" i="9"/>
  <c r="M436" i="9"/>
  <c r="M437" i="9"/>
  <c r="M438" i="9"/>
  <c r="M439" i="9"/>
  <c r="M440" i="9"/>
  <c r="M441" i="9"/>
  <c r="M442" i="9"/>
  <c r="M443" i="9"/>
  <c r="M444" i="9"/>
  <c r="M445" i="9"/>
  <c r="M446" i="9"/>
  <c r="M447" i="9"/>
  <c r="M448" i="9"/>
  <c r="M449" i="9"/>
  <c r="M450" i="9"/>
  <c r="M451" i="9"/>
  <c r="M452" i="9"/>
  <c r="M453" i="9"/>
  <c r="M454" i="9"/>
  <c r="M455" i="9"/>
  <c r="A3" i="9"/>
  <c r="A4" i="9"/>
  <c r="A9" i="9"/>
  <c r="A10" i="9"/>
  <c r="A2" i="9"/>
  <c r="A5" i="9"/>
  <c r="A8" i="9"/>
  <c r="A12" i="9"/>
  <c r="A6" i="9"/>
  <c r="A7" i="9"/>
  <c r="A21" i="9"/>
  <c r="A19" i="9"/>
  <c r="A27" i="9"/>
  <c r="A11" i="9"/>
  <c r="A28" i="9"/>
  <c r="A14" i="9"/>
  <c r="A15" i="9"/>
  <c r="A16" i="9"/>
  <c r="A22" i="9"/>
  <c r="A23" i="9"/>
  <c r="A24" i="9"/>
  <c r="A25" i="9"/>
  <c r="A26" i="9"/>
  <c r="A13" i="9"/>
  <c r="A17" i="9"/>
  <c r="A29" i="9"/>
  <c r="A30" i="9"/>
  <c r="A31" i="9"/>
  <c r="A32" i="9"/>
  <c r="A18" i="9"/>
  <c r="A33" i="9"/>
  <c r="A47" i="9"/>
  <c r="A43" i="9"/>
  <c r="A20" i="9"/>
  <c r="A48" i="9"/>
  <c r="A45" i="9"/>
  <c r="A44" i="9"/>
  <c r="A35" i="9"/>
  <c r="A34" i="9"/>
  <c r="A36" i="9"/>
  <c r="A37" i="9"/>
  <c r="A38" i="9"/>
  <c r="A39" i="9"/>
  <c r="A42" i="9"/>
  <c r="A52" i="9"/>
  <c r="A53" i="9"/>
  <c r="A60" i="9"/>
  <c r="A65" i="9"/>
  <c r="A69" i="9"/>
  <c r="A50" i="9"/>
  <c r="A63" i="9"/>
  <c r="A55" i="9"/>
  <c r="A74" i="9"/>
  <c r="A75" i="9"/>
  <c r="A76" i="9"/>
  <c r="A61" i="9"/>
  <c r="A64" i="9"/>
  <c r="A79" i="9"/>
  <c r="A54" i="9"/>
  <c r="A66" i="9"/>
  <c r="A70" i="9"/>
  <c r="A77" i="9"/>
  <c r="A99" i="9"/>
  <c r="A91" i="9"/>
  <c r="A87" i="9"/>
  <c r="A88" i="9"/>
  <c r="A89" i="9"/>
  <c r="A90" i="9"/>
  <c r="A92" i="9"/>
  <c r="A93" i="9"/>
  <c r="A94" i="9"/>
  <c r="A95" i="9"/>
  <c r="A96" i="9"/>
  <c r="A97" i="9"/>
  <c r="A98" i="9"/>
  <c r="A51" i="9"/>
  <c r="A100" i="9"/>
  <c r="A101" i="9"/>
  <c r="A102" i="9"/>
  <c r="A73" i="9"/>
  <c r="A67" i="9"/>
  <c r="A105" i="9"/>
  <c r="A109" i="9"/>
  <c r="A40" i="9"/>
  <c r="A41" i="9"/>
  <c r="A49" i="9"/>
  <c r="A46" i="9"/>
  <c r="A56" i="9"/>
  <c r="A62" i="9"/>
  <c r="A68" i="9"/>
  <c r="A71" i="9"/>
  <c r="A80" i="9"/>
  <c r="A57" i="9"/>
  <c r="A58" i="9"/>
  <c r="A81" i="9"/>
  <c r="A111" i="9"/>
  <c r="A112" i="9"/>
  <c r="A103" i="9"/>
  <c r="A113" i="9"/>
  <c r="A121" i="9"/>
  <c r="A114" i="9"/>
  <c r="A133" i="9"/>
  <c r="A72" i="9"/>
  <c r="A127" i="9"/>
  <c r="A115" i="9"/>
  <c r="A116" i="9"/>
  <c r="A134" i="9"/>
  <c r="A135" i="9"/>
  <c r="A117" i="9"/>
  <c r="A118" i="9"/>
  <c r="A136" i="9"/>
  <c r="A141" i="9"/>
  <c r="A140" i="9"/>
  <c r="A144" i="9"/>
  <c r="A171" i="9"/>
  <c r="A106" i="9"/>
  <c r="A107" i="9"/>
  <c r="A110" i="9"/>
  <c r="A119" i="9"/>
  <c r="A138" i="9"/>
  <c r="A155" i="9"/>
  <c r="A124" i="9"/>
  <c r="A146" i="9"/>
  <c r="A149" i="9"/>
  <c r="A150" i="9"/>
  <c r="A151" i="9"/>
  <c r="A152" i="9"/>
  <c r="A156" i="9"/>
  <c r="A160" i="9"/>
  <c r="A162" i="9"/>
  <c r="A120" i="9"/>
  <c r="A147" i="9"/>
  <c r="A158" i="9"/>
  <c r="A163" i="9"/>
  <c r="A168" i="9"/>
  <c r="A169" i="9"/>
  <c r="A172" i="9"/>
  <c r="A178" i="9"/>
  <c r="A125" i="9"/>
  <c r="A126" i="9"/>
  <c r="A128" i="9"/>
  <c r="A142" i="9"/>
  <c r="A174" i="9"/>
  <c r="A173" i="9"/>
  <c r="A129" i="9"/>
  <c r="A130" i="9"/>
  <c r="A132" i="9"/>
  <c r="A139" i="9"/>
  <c r="A145" i="9"/>
  <c r="A148" i="9"/>
  <c r="A196" i="9"/>
  <c r="A175" i="9"/>
  <c r="A176" i="9"/>
  <c r="A177" i="9"/>
  <c r="A179" i="9"/>
  <c r="A82" i="9"/>
  <c r="A183" i="9"/>
  <c r="A197" i="9"/>
  <c r="A59" i="9"/>
  <c r="A184" i="9"/>
  <c r="A199" i="9"/>
  <c r="A207" i="9"/>
  <c r="A182" i="9"/>
  <c r="A198" i="9"/>
  <c r="A185" i="9"/>
  <c r="A186" i="9"/>
  <c r="A187" i="9"/>
  <c r="A192" i="9"/>
  <c r="A193" i="9"/>
  <c r="A194" i="9"/>
  <c r="A195" i="9"/>
  <c r="A200" i="9"/>
  <c r="A201" i="9"/>
  <c r="A203" i="9"/>
  <c r="A204" i="9"/>
  <c r="A229" i="9"/>
  <c r="A205" i="9"/>
  <c r="A206" i="9"/>
  <c r="A208" i="9"/>
  <c r="A153" i="9"/>
  <c r="A161" i="9"/>
  <c r="A164" i="9"/>
  <c r="A165" i="9"/>
  <c r="A166" i="9"/>
  <c r="A180" i="9"/>
  <c r="A202" i="9"/>
  <c r="A209" i="9"/>
  <c r="A212" i="9"/>
  <c r="A213" i="9"/>
  <c r="A210" i="9"/>
  <c r="A211" i="9"/>
  <c r="A214" i="9"/>
  <c r="A85" i="9"/>
  <c r="A215" i="9"/>
  <c r="A238" i="9"/>
  <c r="A240" i="9"/>
  <c r="A218" i="9"/>
  <c r="A221" i="9"/>
  <c r="A223" i="9"/>
  <c r="A224" i="9"/>
  <c r="A225" i="9"/>
  <c r="A83" i="9"/>
  <c r="A122" i="9"/>
  <c r="A86" i="9"/>
  <c r="A123" i="9"/>
  <c r="A131" i="9"/>
  <c r="A78" i="9"/>
  <c r="A137" i="9"/>
  <c r="A230" i="9"/>
  <c r="A243" i="9"/>
  <c r="A246" i="9"/>
  <c r="A231" i="9"/>
  <c r="A226" i="9"/>
  <c r="A227" i="9"/>
  <c r="A257" i="9"/>
  <c r="A188" i="9"/>
  <c r="A241" i="9"/>
  <c r="A233" i="9"/>
  <c r="A234" i="9"/>
  <c r="A235" i="9"/>
  <c r="A237" i="9"/>
  <c r="A108" i="9"/>
  <c r="A170" i="9"/>
  <c r="A248" i="9"/>
  <c r="A219" i="9"/>
  <c r="A220" i="9"/>
  <c r="A251" i="9"/>
  <c r="A239" i="9"/>
  <c r="A244" i="9"/>
  <c r="A247" i="9"/>
  <c r="A252" i="9"/>
  <c r="A253" i="9"/>
  <c r="A254" i="9"/>
  <c r="A265" i="9"/>
  <c r="A258" i="9"/>
  <c r="A259" i="9"/>
  <c r="A261" i="9"/>
  <c r="A262" i="9"/>
  <c r="A104" i="9"/>
  <c r="A217" i="9"/>
  <c r="A245" i="9"/>
  <c r="A270" i="9"/>
  <c r="A256" i="9"/>
  <c r="A260" i="9"/>
  <c r="A263" i="9"/>
  <c r="A271" i="9"/>
  <c r="A272" i="9"/>
  <c r="A276" i="9"/>
  <c r="A154" i="9"/>
  <c r="A277" i="9"/>
  <c r="A278" i="9"/>
  <c r="A279" i="9"/>
  <c r="A280" i="9"/>
  <c r="A284" i="9"/>
  <c r="A304" i="9"/>
  <c r="A286" i="9"/>
  <c r="A287" i="9"/>
  <c r="A288" i="9"/>
  <c r="A289" i="9"/>
  <c r="A290" i="9"/>
  <c r="A291" i="9"/>
  <c r="A292" i="9"/>
  <c r="A293" i="9"/>
  <c r="A294" i="9"/>
  <c r="A295" i="9"/>
  <c r="A189" i="9"/>
  <c r="A216" i="9"/>
  <c r="A228" i="9"/>
  <c r="A236" i="9"/>
  <c r="A249" i="9"/>
  <c r="A264" i="9"/>
  <c r="A273" i="9"/>
  <c r="A275" i="9"/>
  <c r="A281" i="9"/>
  <c r="A296" i="9"/>
  <c r="A297" i="9"/>
  <c r="A299" i="9"/>
  <c r="A300" i="9"/>
  <c r="A312" i="9"/>
  <c r="A266" i="9"/>
  <c r="A274" i="9"/>
  <c r="A307" i="9"/>
  <c r="A318" i="9"/>
  <c r="A319" i="9"/>
  <c r="A301" i="9"/>
  <c r="A303" i="9"/>
  <c r="A305" i="9"/>
  <c r="A306" i="9"/>
  <c r="A310" i="9"/>
  <c r="A167" i="9"/>
  <c r="A232" i="9"/>
  <c r="A317" i="9"/>
  <c r="A311" i="9"/>
  <c r="A327" i="9"/>
  <c r="A267" i="9"/>
  <c r="A323" i="9"/>
  <c r="A324" i="9"/>
  <c r="A328" i="9"/>
  <c r="A331" i="9"/>
  <c r="A332" i="9"/>
  <c r="A313" i="9"/>
  <c r="A321" i="9"/>
  <c r="A325" i="9"/>
  <c r="A315" i="9"/>
  <c r="A316" i="9"/>
  <c r="A326" i="9"/>
  <c r="A338" i="9"/>
  <c r="A344" i="9"/>
  <c r="A330" i="9"/>
  <c r="A333" i="9"/>
  <c r="A222" i="9"/>
  <c r="A250" i="9"/>
  <c r="A302" i="9"/>
  <c r="A308" i="9"/>
  <c r="A309" i="9"/>
  <c r="A336" i="9"/>
  <c r="A347" i="9"/>
  <c r="A339" i="9"/>
  <c r="A340" i="9"/>
  <c r="A282" i="9"/>
  <c r="A345" i="9"/>
  <c r="A352" i="9"/>
  <c r="A342" i="9"/>
  <c r="A358" i="9"/>
  <c r="A255" i="9"/>
  <c r="A268" i="9"/>
  <c r="A356" i="9"/>
  <c r="A343" i="9"/>
  <c r="A341" i="9"/>
  <c r="A350" i="9"/>
  <c r="A351" i="9"/>
  <c r="A354" i="9"/>
  <c r="A357" i="9"/>
  <c r="A359" i="9"/>
  <c r="A362" i="9"/>
  <c r="A360" i="9"/>
  <c r="A367" i="9"/>
  <c r="A368" i="9"/>
  <c r="A320" i="9"/>
  <c r="A348" i="9"/>
  <c r="A366" i="9"/>
  <c r="A369" i="9"/>
  <c r="A370" i="9"/>
  <c r="A334" i="9"/>
  <c r="A346" i="9"/>
  <c r="A371" i="9"/>
  <c r="A84" i="9"/>
  <c r="A181" i="9"/>
  <c r="A363" i="9"/>
  <c r="A380" i="9"/>
  <c r="A349" i="9"/>
  <c r="A355" i="9"/>
  <c r="A365" i="9"/>
  <c r="A381" i="9"/>
  <c r="A376" i="9"/>
  <c r="A382" i="9"/>
  <c r="A383" i="9"/>
  <c r="A384" i="9"/>
  <c r="A392" i="9"/>
  <c r="A373" i="9"/>
  <c r="A374" i="9"/>
  <c r="A379" i="9"/>
  <c r="A377" i="9"/>
  <c r="A378" i="9"/>
  <c r="A386" i="9"/>
  <c r="A375" i="9"/>
  <c r="A390" i="9"/>
  <c r="A394" i="9"/>
  <c r="A388" i="9"/>
  <c r="A389" i="9"/>
  <c r="A391" i="9"/>
  <c r="A190" i="9"/>
  <c r="A314" i="9"/>
  <c r="A329" i="9"/>
  <c r="A396" i="9"/>
  <c r="A353" i="9"/>
  <c r="A361" i="9"/>
  <c r="A364" i="9"/>
  <c r="A400" i="9"/>
  <c r="A405" i="9"/>
  <c r="A401" i="9"/>
  <c r="A283" i="9"/>
  <c r="A402" i="9"/>
  <c r="A404" i="9"/>
  <c r="A398" i="9"/>
  <c r="A414" i="9"/>
  <c r="A385" i="9"/>
  <c r="A406" i="9"/>
  <c r="A413" i="9"/>
  <c r="A415" i="9"/>
  <c r="A393" i="9"/>
  <c r="A408" i="9"/>
  <c r="A421" i="9"/>
  <c r="A322" i="9"/>
  <c r="A430" i="9"/>
  <c r="A409" i="9"/>
  <c r="A416" i="9"/>
  <c r="A410" i="9"/>
  <c r="A417" i="9"/>
  <c r="A422" i="9"/>
  <c r="A298" i="9"/>
  <c r="A399" i="9"/>
  <c r="A420" i="9"/>
  <c r="A269" i="9"/>
  <c r="A372" i="9"/>
  <c r="A424" i="9"/>
  <c r="A425" i="9"/>
  <c r="A426" i="9"/>
  <c r="A427" i="9"/>
  <c r="A428" i="9"/>
  <c r="A432" i="9"/>
  <c r="A436" i="9"/>
  <c r="A435" i="9"/>
  <c r="A437" i="9"/>
  <c r="A438" i="9"/>
  <c r="A443" i="9"/>
  <c r="A444" i="9"/>
  <c r="A451" i="9"/>
  <c r="G3" i="10"/>
  <c r="G4" i="10"/>
  <c r="G11" i="10"/>
  <c r="G12" i="10"/>
  <c r="G2" i="10"/>
  <c r="G5" i="10"/>
  <c r="G10" i="10"/>
  <c r="G17" i="10"/>
  <c r="G6" i="10"/>
  <c r="G7" i="10"/>
  <c r="G29" i="10"/>
  <c r="G28" i="10"/>
  <c r="G39" i="10"/>
  <c r="G13" i="10"/>
  <c r="G41" i="10"/>
  <c r="G14" i="10"/>
  <c r="G16" i="10"/>
  <c r="G22" i="10"/>
  <c r="G30" i="10"/>
  <c r="G32" i="10"/>
  <c r="G34" i="10"/>
  <c r="G36" i="10"/>
  <c r="G37" i="10"/>
  <c r="G19" i="10"/>
  <c r="G23" i="10"/>
  <c r="G44" i="10"/>
  <c r="G45" i="10"/>
  <c r="G48" i="10"/>
  <c r="G49" i="10"/>
  <c r="G24" i="10"/>
  <c r="G50" i="10"/>
  <c r="G79" i="10"/>
  <c r="G74" i="10"/>
  <c r="G25" i="10"/>
  <c r="G78" i="10"/>
  <c r="G76" i="10"/>
  <c r="G75" i="10"/>
  <c r="G53" i="10"/>
  <c r="G52" i="10"/>
  <c r="G54" i="10"/>
  <c r="G62" i="10"/>
  <c r="G64" i="10"/>
  <c r="G65" i="10"/>
  <c r="G72" i="10"/>
  <c r="G88" i="10"/>
  <c r="G89" i="10"/>
  <c r="G106" i="10"/>
  <c r="G112" i="10"/>
  <c r="G117" i="10"/>
  <c r="G84" i="10"/>
  <c r="G107" i="10"/>
  <c r="G97" i="10"/>
  <c r="G126" i="10"/>
  <c r="G128" i="10"/>
  <c r="G130" i="10"/>
  <c r="G109" i="10"/>
  <c r="G108" i="10"/>
  <c r="G136" i="10"/>
  <c r="G92" i="10"/>
  <c r="G114" i="10"/>
  <c r="G119" i="10"/>
  <c r="G135" i="10"/>
  <c r="G160" i="10"/>
  <c r="G147" i="10"/>
  <c r="G148" i="10"/>
  <c r="G149" i="10"/>
  <c r="G150" i="10"/>
  <c r="G151" i="10"/>
  <c r="G152" i="10"/>
  <c r="G153" i="10"/>
  <c r="G154" i="10"/>
  <c r="G155" i="10"/>
  <c r="G156" i="10"/>
  <c r="G157" i="10"/>
  <c r="G158" i="10"/>
  <c r="G87" i="10"/>
  <c r="G159" i="10"/>
  <c r="G161" i="10"/>
  <c r="G163" i="10"/>
  <c r="G125" i="10"/>
  <c r="G115" i="10"/>
  <c r="G168" i="10"/>
  <c r="G170" i="10"/>
  <c r="G66" i="10"/>
  <c r="G70" i="10"/>
  <c r="G81" i="10"/>
  <c r="G77" i="10"/>
  <c r="G98" i="10"/>
  <c r="G110" i="10"/>
  <c r="G116" i="10"/>
  <c r="G123" i="10"/>
  <c r="G144" i="10"/>
  <c r="G96" i="10"/>
  <c r="G94" i="10"/>
  <c r="G146" i="10"/>
  <c r="G173" i="10"/>
  <c r="G172" i="10"/>
  <c r="G162" i="10"/>
  <c r="G174" i="10"/>
  <c r="G219" i="10"/>
  <c r="G196" i="10"/>
  <c r="G235" i="10"/>
  <c r="G122" i="10"/>
  <c r="G228" i="10"/>
  <c r="G197" i="10"/>
  <c r="G201" i="10"/>
  <c r="G236" i="10"/>
  <c r="G234" i="10"/>
  <c r="G209" i="10"/>
  <c r="G215" i="10"/>
  <c r="G237" i="10"/>
  <c r="G244" i="10"/>
  <c r="G245" i="10"/>
  <c r="G249" i="10"/>
  <c r="G278" i="10"/>
  <c r="G166" i="10"/>
  <c r="G165" i="10"/>
  <c r="G171" i="10"/>
  <c r="G216" i="10"/>
  <c r="G241" i="10"/>
  <c r="G260" i="10"/>
  <c r="G222" i="10"/>
  <c r="G251" i="10"/>
  <c r="G258" i="10"/>
  <c r="G259" i="10"/>
  <c r="G255" i="10"/>
  <c r="G254" i="10"/>
  <c r="G261" i="10"/>
  <c r="G266" i="10"/>
  <c r="G269" i="10"/>
  <c r="G218" i="10"/>
  <c r="G253" i="10"/>
  <c r="G264" i="10"/>
  <c r="G267" i="10"/>
  <c r="G275" i="10"/>
  <c r="G274" i="10"/>
  <c r="G277" i="10"/>
  <c r="G297" i="10"/>
  <c r="G223" i="10"/>
  <c r="G224" i="10"/>
  <c r="G227" i="10"/>
  <c r="G246" i="10"/>
  <c r="G282" i="10"/>
  <c r="G280" i="10"/>
  <c r="G226" i="10"/>
  <c r="G229" i="10"/>
  <c r="G232" i="10"/>
  <c r="G243" i="10"/>
  <c r="G250" i="10"/>
  <c r="G252" i="10"/>
  <c r="G332" i="10"/>
  <c r="G284" i="10"/>
  <c r="G294" i="10"/>
  <c r="G295" i="10"/>
  <c r="G296" i="10"/>
  <c r="G143" i="10"/>
  <c r="G310" i="10"/>
  <c r="G330" i="10"/>
  <c r="G105" i="10"/>
  <c r="G314" i="10"/>
  <c r="G338" i="10"/>
  <c r="G349" i="10"/>
  <c r="G307" i="10"/>
  <c r="G335" i="10"/>
  <c r="G311" i="10"/>
  <c r="G312" i="10"/>
  <c r="G317" i="10"/>
  <c r="G318" i="10"/>
  <c r="G319" i="10"/>
  <c r="G321" i="10"/>
  <c r="G322" i="10"/>
  <c r="G336" i="10"/>
  <c r="G337" i="10"/>
  <c r="G342" i="10"/>
  <c r="G346" i="10"/>
  <c r="G389" i="10"/>
  <c r="G344" i="10"/>
  <c r="G345" i="10"/>
  <c r="G347" i="10"/>
  <c r="G256" i="10"/>
  <c r="G265" i="10"/>
  <c r="G268" i="10"/>
  <c r="G271" i="10"/>
  <c r="G272" i="10"/>
  <c r="G299" i="10"/>
  <c r="G339" i="10"/>
  <c r="G350" i="10"/>
  <c r="G353" i="10"/>
  <c r="G366" i="10"/>
  <c r="G348" i="10"/>
  <c r="G351" i="10"/>
  <c r="G367" i="10"/>
  <c r="G142" i="10"/>
  <c r="G365" i="10"/>
  <c r="G411" i="10"/>
  <c r="G418" i="10"/>
  <c r="G372" i="10"/>
  <c r="G379" i="10"/>
  <c r="G382" i="10"/>
  <c r="G383" i="10"/>
  <c r="G385" i="10"/>
  <c r="G140" i="10"/>
  <c r="G220" i="10"/>
  <c r="G145" i="10"/>
  <c r="G221" i="10"/>
  <c r="G230" i="10"/>
  <c r="G134" i="10"/>
  <c r="G233" i="10"/>
  <c r="G394" i="10"/>
  <c r="G428" i="10"/>
  <c r="G435" i="10"/>
  <c r="G393" i="10"/>
  <c r="G384" i="10"/>
  <c r="G386" i="10"/>
  <c r="G466" i="10"/>
  <c r="G316" i="10"/>
  <c r="G414" i="10"/>
  <c r="G397" i="10"/>
  <c r="G398" i="10"/>
  <c r="G400" i="10"/>
  <c r="G409" i="10"/>
  <c r="G167" i="10"/>
  <c r="G276" i="10"/>
  <c r="G448" i="10"/>
  <c r="G373" i="10"/>
  <c r="G374" i="10"/>
  <c r="G457" i="10"/>
  <c r="G413" i="10"/>
  <c r="G436" i="10"/>
  <c r="G443" i="10"/>
  <c r="G458" i="10"/>
  <c r="G459" i="10"/>
  <c r="G460" i="10"/>
  <c r="G485" i="10"/>
  <c r="G469" i="10"/>
  <c r="G474" i="10"/>
  <c r="G477" i="10"/>
  <c r="G478" i="10"/>
  <c r="G164" i="10"/>
  <c r="G370" i="10"/>
  <c r="G432" i="10"/>
  <c r="G489" i="10"/>
  <c r="G465" i="10"/>
  <c r="G476" i="10"/>
  <c r="G479" i="10"/>
  <c r="G487" i="10"/>
  <c r="G488" i="10"/>
  <c r="G514" i="10"/>
  <c r="G257" i="10"/>
  <c r="G513" i="10"/>
  <c r="G515" i="10"/>
  <c r="G516" i="10"/>
  <c r="G518" i="10"/>
  <c r="G522" i="10"/>
  <c r="G553" i="10"/>
  <c r="G523" i="10"/>
  <c r="G529" i="10"/>
  <c r="G528" i="10"/>
  <c r="G530" i="10"/>
  <c r="G532" i="10"/>
  <c r="G534" i="10"/>
  <c r="G536" i="10"/>
  <c r="G535" i="10"/>
  <c r="G533" i="10"/>
  <c r="G537" i="10"/>
  <c r="G313" i="10"/>
  <c r="G364" i="10"/>
  <c r="G388" i="10"/>
  <c r="G407" i="10"/>
  <c r="G445" i="10"/>
  <c r="G480" i="10"/>
  <c r="G486" i="10"/>
  <c r="G511" i="10"/>
  <c r="G519" i="10"/>
  <c r="G539" i="10"/>
  <c r="G538" i="10"/>
  <c r="G542" i="10"/>
  <c r="G548" i="10"/>
  <c r="G583" i="10"/>
  <c r="G482" i="10"/>
  <c r="G490" i="10"/>
  <c r="G565" i="10"/>
  <c r="G593" i="10"/>
  <c r="G594" i="10"/>
  <c r="G547" i="10"/>
  <c r="G550" i="10"/>
  <c r="G554" i="10"/>
  <c r="G552" i="10"/>
  <c r="G575" i="10"/>
  <c r="G273" i="10"/>
  <c r="G395" i="10"/>
  <c r="G592" i="10"/>
  <c r="G580" i="10"/>
  <c r="G614" i="10"/>
  <c r="G483" i="10"/>
  <c r="G608" i="10"/>
  <c r="G609" i="10"/>
  <c r="G615" i="10"/>
  <c r="G620" i="10"/>
  <c r="G622" i="10"/>
  <c r="G584" i="10"/>
  <c r="G599" i="10"/>
  <c r="G606" i="10"/>
  <c r="G589" i="10"/>
  <c r="G591" i="10"/>
  <c r="G612" i="10"/>
  <c r="G637" i="10"/>
  <c r="G644" i="10"/>
  <c r="G618" i="10"/>
  <c r="G626" i="10"/>
  <c r="G381" i="10"/>
  <c r="G447" i="10"/>
  <c r="G541" i="10"/>
  <c r="G566" i="10"/>
  <c r="G567" i="10"/>
  <c r="G631" i="10"/>
  <c r="G651" i="10"/>
  <c r="G635" i="10"/>
  <c r="G638" i="10"/>
  <c r="G517" i="10"/>
  <c r="G645" i="10"/>
  <c r="G662" i="10"/>
  <c r="G641" i="10"/>
  <c r="G669" i="10"/>
  <c r="G461" i="10"/>
  <c r="G484" i="10"/>
  <c r="G667" i="10"/>
  <c r="G639" i="10"/>
  <c r="G642" i="10"/>
  <c r="G657" i="10"/>
  <c r="G660" i="10"/>
  <c r="G664" i="10"/>
  <c r="G668" i="10"/>
  <c r="G671" i="10"/>
  <c r="G675" i="10"/>
  <c r="G672" i="10"/>
  <c r="G692" i="10"/>
  <c r="G696" i="10"/>
  <c r="G596" i="10"/>
  <c r="G649" i="10"/>
  <c r="G691" i="10"/>
  <c r="G697" i="10"/>
  <c r="G699" i="10"/>
  <c r="G628" i="10"/>
  <c r="G646" i="10"/>
  <c r="G705" i="10"/>
  <c r="G139" i="10"/>
  <c r="G300" i="10"/>
  <c r="G679" i="10"/>
  <c r="G723" i="10"/>
  <c r="G650" i="10"/>
  <c r="G666" i="10"/>
  <c r="G684" i="10"/>
  <c r="G721" i="10"/>
  <c r="G713" i="10"/>
  <c r="G724" i="10"/>
  <c r="G726" i="10"/>
  <c r="G722" i="10"/>
  <c r="G738" i="10"/>
  <c r="G709" i="10"/>
  <c r="G708" i="10"/>
  <c r="G720" i="10"/>
  <c r="G714" i="10"/>
  <c r="G718" i="10"/>
  <c r="G732" i="10"/>
  <c r="G710" i="10"/>
  <c r="G736" i="10"/>
  <c r="G747" i="10"/>
  <c r="G734" i="10"/>
  <c r="G735" i="10"/>
  <c r="G737" i="10"/>
  <c r="G315" i="10"/>
  <c r="G586" i="10"/>
  <c r="G616" i="10"/>
  <c r="G752" i="10"/>
  <c r="G663" i="10"/>
  <c r="G673" i="10"/>
  <c r="G680" i="10"/>
  <c r="G756" i="10"/>
  <c r="G775" i="10"/>
  <c r="G758" i="10"/>
  <c r="G520" i="10"/>
  <c r="G760" i="10"/>
  <c r="G772" i="10"/>
  <c r="G755" i="10"/>
  <c r="G793" i="10"/>
  <c r="G725" i="10"/>
  <c r="G777" i="10"/>
  <c r="G795" i="10"/>
  <c r="G792" i="10"/>
  <c r="G743" i="10"/>
  <c r="G782" i="10"/>
  <c r="G809" i="10"/>
  <c r="G600" i="10"/>
  <c r="G824" i="10"/>
  <c r="G783" i="10"/>
  <c r="G794" i="10"/>
  <c r="G786" i="10"/>
  <c r="G797" i="10"/>
  <c r="G812" i="10"/>
  <c r="G540" i="10"/>
  <c r="G757" i="10"/>
  <c r="G808" i="10"/>
  <c r="G481" i="10"/>
  <c r="G706" i="10"/>
  <c r="G817" i="10"/>
  <c r="G819" i="10"/>
  <c r="G820" i="10"/>
  <c r="G821" i="10"/>
  <c r="G822" i="10"/>
  <c r="G835" i="10"/>
  <c r="G841" i="10"/>
  <c r="G839" i="10"/>
  <c r="G845" i="10"/>
  <c r="G849" i="10"/>
  <c r="G857" i="10"/>
  <c r="G858" i="10"/>
  <c r="G875" i="10"/>
  <c r="G8" i="10"/>
  <c r="G9" i="10"/>
  <c r="G18" i="10"/>
  <c r="G46" i="10"/>
  <c r="G21" i="10"/>
  <c r="G20" i="10"/>
  <c r="G27" i="10"/>
  <c r="G26" i="10"/>
  <c r="G31" i="10"/>
  <c r="G33" i="10"/>
  <c r="G35" i="10"/>
  <c r="G38" i="10"/>
  <c r="G40" i="10"/>
  <c r="G42" i="10"/>
  <c r="G43" i="10"/>
  <c r="G15" i="10"/>
  <c r="G47" i="10"/>
  <c r="G51" i="10"/>
  <c r="G55" i="10"/>
  <c r="G56" i="10"/>
  <c r="G57" i="10"/>
  <c r="G58" i="10"/>
  <c r="G59" i="10"/>
  <c r="G60" i="10"/>
  <c r="G61" i="10"/>
  <c r="G63" i="10"/>
  <c r="G67" i="10"/>
  <c r="G68" i="10"/>
  <c r="G69" i="10"/>
  <c r="G71" i="10"/>
  <c r="G73" i="10"/>
  <c r="G80" i="10"/>
  <c r="G82" i="10"/>
  <c r="G83" i="10"/>
  <c r="G85" i="10"/>
  <c r="G86" i="10"/>
  <c r="G90" i="10"/>
  <c r="G91" i="10"/>
  <c r="G93" i="10"/>
  <c r="G95" i="10"/>
  <c r="G99" i="10"/>
  <c r="G100" i="10"/>
  <c r="G101" i="10"/>
  <c r="G102" i="10"/>
  <c r="G103" i="10"/>
  <c r="G104" i="10"/>
  <c r="G111" i="10"/>
  <c r="G113" i="10"/>
  <c r="G118" i="10"/>
  <c r="G120" i="10"/>
  <c r="G121" i="10"/>
  <c r="G124" i="10"/>
  <c r="G127" i="10"/>
  <c r="G129" i="10"/>
  <c r="G131" i="10"/>
  <c r="G133" i="10"/>
  <c r="G132" i="10"/>
  <c r="G137" i="10"/>
  <c r="G138" i="10"/>
  <c r="G141" i="10"/>
  <c r="G169" i="10"/>
  <c r="G175" i="10"/>
  <c r="G176" i="10"/>
  <c r="G177" i="10"/>
  <c r="G178" i="10"/>
  <c r="G179" i="10"/>
  <c r="G180" i="10"/>
  <c r="G181" i="10"/>
  <c r="G182" i="10"/>
  <c r="G183" i="10"/>
  <c r="G184" i="10"/>
  <c r="G185" i="10"/>
  <c r="G186" i="10"/>
  <c r="G187" i="10"/>
  <c r="G188" i="10"/>
  <c r="G189" i="10"/>
  <c r="G190" i="10"/>
  <c r="G191" i="10"/>
  <c r="G192" i="10"/>
  <c r="G193" i="10"/>
  <c r="G194" i="10"/>
  <c r="G195" i="10"/>
  <c r="G198" i="10"/>
  <c r="G204" i="10"/>
  <c r="G203" i="10"/>
  <c r="G205" i="10"/>
  <c r="G200" i="10"/>
  <c r="G202" i="10"/>
  <c r="G208" i="10"/>
  <c r="G199" i="10"/>
  <c r="G206" i="10"/>
  <c r="G207" i="10"/>
  <c r="G212" i="10"/>
  <c r="G211" i="10"/>
  <c r="G214" i="10"/>
  <c r="G213" i="10"/>
  <c r="G210" i="10"/>
  <c r="G225" i="10"/>
  <c r="G217" i="10"/>
  <c r="G231" i="10"/>
  <c r="G439" i="10"/>
  <c r="G239" i="10"/>
  <c r="G240" i="10"/>
  <c r="G242" i="10"/>
  <c r="G440" i="10"/>
  <c r="G438" i="10"/>
  <c r="G263" i="10"/>
  <c r="G262" i="10"/>
  <c r="G442" i="10"/>
  <c r="G441" i="10"/>
  <c r="G286" i="10"/>
  <c r="G285" i="10"/>
  <c r="G287" i="10"/>
  <c r="G281" i="10"/>
  <c r="G283" i="10"/>
  <c r="G291" i="10"/>
  <c r="G290" i="10"/>
  <c r="G293" i="10"/>
  <c r="G292" i="10"/>
  <c r="G289" i="10"/>
  <c r="G288" i="10"/>
  <c r="G247" i="10"/>
  <c r="G298" i="10"/>
  <c r="G304" i="10"/>
  <c r="G305" i="10"/>
  <c r="G303" i="10"/>
  <c r="G302" i="10"/>
  <c r="G306" i="10"/>
  <c r="G308" i="10"/>
  <c r="G309" i="10"/>
  <c r="G320" i="10"/>
  <c r="G329" i="10"/>
  <c r="G328" i="10"/>
  <c r="G323" i="10"/>
  <c r="G327" i="10"/>
  <c r="G326" i="10"/>
  <c r="G324" i="10"/>
  <c r="G325" i="10"/>
  <c r="G525" i="10"/>
  <c r="G238" i="10"/>
  <c r="G248" i="10"/>
  <c r="G341" i="10"/>
  <c r="G340" i="10"/>
  <c r="G343" i="10"/>
  <c r="G416" i="10"/>
  <c r="G403" i="10"/>
  <c r="G270" i="10"/>
  <c r="G301" i="10"/>
  <c r="G279" i="10"/>
  <c r="G358" i="10"/>
  <c r="G359" i="10"/>
  <c r="G331" i="10"/>
  <c r="G333" i="10"/>
  <c r="G334" i="10"/>
  <c r="G399" i="10"/>
  <c r="G371" i="10"/>
  <c r="G369" i="10"/>
  <c r="G368" i="10"/>
  <c r="G375" i="10"/>
  <c r="G377" i="10"/>
  <c r="G378" i="10"/>
  <c r="G376" i="10"/>
  <c r="G504" i="10"/>
  <c r="G387" i="10"/>
  <c r="G355" i="10"/>
  <c r="G356" i="10"/>
  <c r="G363" i="10"/>
  <c r="G352" i="10"/>
  <c r="G429" i="10"/>
  <c r="G357" i="10"/>
  <c r="G354" i="10"/>
  <c r="G360" i="10"/>
  <c r="G361" i="10"/>
  <c r="G405" i="10"/>
  <c r="G362" i="10"/>
  <c r="G408" i="10"/>
  <c r="G401" i="10"/>
  <c r="G406" i="10"/>
  <c r="G430" i="10"/>
  <c r="G422" i="10"/>
  <c r="G421" i="10"/>
  <c r="G415" i="10"/>
  <c r="G424" i="10"/>
  <c r="G425" i="10"/>
  <c r="G420" i="10"/>
  <c r="G426" i="10"/>
  <c r="G423" i="10"/>
  <c r="G419" i="10"/>
  <c r="G417" i="10"/>
  <c r="G463" i="10"/>
  <c r="G494" i="10"/>
  <c r="G427" i="10"/>
  <c r="G434" i="10"/>
  <c r="G431" i="10"/>
  <c r="G437" i="10"/>
  <c r="G433" i="10"/>
  <c r="G380" i="10"/>
  <c r="G404" i="10"/>
  <c r="G390" i="10"/>
  <c r="G391" i="10"/>
  <c r="G396" i="10"/>
  <c r="G444" i="10"/>
  <c r="G446" i="10"/>
  <c r="G451" i="10"/>
  <c r="G449" i="10"/>
  <c r="G450" i="10"/>
  <c r="G453" i="10"/>
  <c r="G452" i="10"/>
  <c r="G456" i="10"/>
  <c r="G454" i="10"/>
  <c r="G455" i="10"/>
  <c r="G462" i="10"/>
  <c r="G402" i="10"/>
  <c r="G392" i="10"/>
  <c r="G467" i="10"/>
  <c r="G470" i="10"/>
  <c r="G468" i="10"/>
  <c r="G410" i="10"/>
  <c r="G412" i="10"/>
  <c r="G492" i="10"/>
  <c r="G473" i="10"/>
  <c r="G499" i="10"/>
  <c r="G496" i="10"/>
  <c r="G464" i="10"/>
  <c r="G497" i="10"/>
  <c r="G501" i="10"/>
  <c r="G471" i="10"/>
  <c r="G502" i="10"/>
  <c r="G500" i="10"/>
  <c r="G498" i="10"/>
  <c r="G495" i="10"/>
  <c r="G491" i="10"/>
  <c r="G493" i="10"/>
  <c r="G503" i="10"/>
  <c r="G472" i="10"/>
  <c r="G475" i="10"/>
  <c r="G505" i="10"/>
  <c r="G506" i="10"/>
  <c r="G512" i="10"/>
  <c r="G509" i="10"/>
  <c r="G508" i="10"/>
  <c r="G510" i="10"/>
  <c r="G521" i="10"/>
  <c r="G524" i="10"/>
  <c r="G507" i="10"/>
  <c r="G558" i="10"/>
  <c r="G559" i="10"/>
  <c r="G531" i="10"/>
  <c r="G545" i="10"/>
  <c r="G551" i="10"/>
  <c r="G556" i="10"/>
  <c r="G557" i="10"/>
  <c r="G603" i="10"/>
  <c r="G527" i="10"/>
  <c r="G555" i="10"/>
  <c r="G526" i="10"/>
  <c r="G546" i="10"/>
  <c r="G549" i="10"/>
  <c r="G544" i="10"/>
  <c r="G564" i="10"/>
  <c r="G561" i="10"/>
  <c r="G562" i="10"/>
  <c r="G604" i="10"/>
  <c r="G687" i="10"/>
  <c r="G568" i="10"/>
  <c r="G578" i="10"/>
  <c r="G569" i="10"/>
  <c r="G570" i="10"/>
  <c r="G572" i="10"/>
  <c r="G571" i="10"/>
  <c r="G579" i="10"/>
  <c r="G573" i="10"/>
  <c r="G576" i="10"/>
  <c r="G574" i="10"/>
  <c r="G577" i="10"/>
  <c r="G560" i="10"/>
  <c r="G543" i="10"/>
  <c r="G563" i="10"/>
  <c r="G587" i="10"/>
  <c r="G588" i="10"/>
  <c r="G590" i="10"/>
  <c r="G595" i="10"/>
  <c r="G597" i="10"/>
  <c r="G598" i="10"/>
  <c r="G582" i="10"/>
  <c r="G634" i="10"/>
  <c r="G581" i="10"/>
  <c r="G633" i="10"/>
  <c r="G689" i="10"/>
  <c r="G611" i="10"/>
  <c r="G610" i="10"/>
  <c r="G607" i="10"/>
  <c r="G601" i="10"/>
  <c r="G617" i="10"/>
  <c r="G624" i="10"/>
  <c r="G619" i="10"/>
  <c r="G627" i="10"/>
  <c r="G625" i="10"/>
  <c r="G621" i="10"/>
  <c r="G623" i="10"/>
  <c r="G585" i="10"/>
  <c r="G632" i="10"/>
  <c r="G630" i="10"/>
  <c r="G602" i="10"/>
  <c r="G605" i="10"/>
  <c r="G613" i="10"/>
  <c r="G643" i="10"/>
  <c r="G640" i="10"/>
  <c r="G629" i="10"/>
  <c r="G648" i="10"/>
  <c r="G652" i="10"/>
  <c r="G656" i="10"/>
  <c r="G655" i="10"/>
  <c r="G653" i="10"/>
  <c r="G654" i="10"/>
  <c r="G636" i="10"/>
  <c r="G659" i="10"/>
  <c r="G688" i="10"/>
  <c r="G690" i="10"/>
  <c r="G670" i="10"/>
  <c r="G676" i="10"/>
  <c r="G674" i="10"/>
  <c r="G647" i="10"/>
  <c r="G677" i="10"/>
  <c r="G681" i="10"/>
  <c r="G682" i="10"/>
  <c r="G683" i="10"/>
  <c r="G685" i="10"/>
  <c r="G686" i="10"/>
  <c r="G658" i="10"/>
  <c r="G661" i="10"/>
  <c r="G665" i="10"/>
  <c r="G678" i="10"/>
  <c r="G700" i="10"/>
  <c r="G694" i="10"/>
  <c r="G695" i="10"/>
  <c r="G693" i="10"/>
  <c r="G698" i="10"/>
  <c r="G703" i="10"/>
  <c r="G701" i="10"/>
  <c r="G702" i="10"/>
  <c r="G704" i="10"/>
  <c r="G707" i="10"/>
  <c r="G711" i="10"/>
  <c r="G712" i="10"/>
  <c r="G796" i="10"/>
  <c r="G716" i="10"/>
  <c r="G717" i="10"/>
  <c r="G719" i="10"/>
  <c r="G727" i="10"/>
  <c r="G729" i="10"/>
  <c r="G730" i="10"/>
  <c r="G728" i="10"/>
  <c r="G731" i="10"/>
  <c r="G764" i="10"/>
  <c r="G740" i="10"/>
  <c r="G741" i="10"/>
  <c r="G739" i="10"/>
  <c r="G742" i="10"/>
  <c r="G745" i="10"/>
  <c r="G744" i="10"/>
  <c r="G746" i="10"/>
  <c r="G715" i="10"/>
  <c r="G733" i="10"/>
  <c r="G751" i="10"/>
  <c r="G754" i="10"/>
  <c r="G761" i="10"/>
  <c r="G759" i="10"/>
  <c r="G748" i="10"/>
  <c r="G749" i="10"/>
  <c r="G762" i="10"/>
  <c r="G769" i="10"/>
  <c r="G768" i="10"/>
  <c r="G767" i="10"/>
  <c r="G763" i="10"/>
  <c r="G770" i="10"/>
  <c r="G774" i="10"/>
  <c r="G773" i="10"/>
  <c r="G771" i="10"/>
  <c r="G776" i="10"/>
  <c r="G766" i="10"/>
  <c r="G779" i="10"/>
  <c r="G765" i="10"/>
  <c r="G778" i="10"/>
  <c r="G801" i="10"/>
  <c r="G802" i="10"/>
  <c r="G804" i="10"/>
  <c r="G803" i="10"/>
  <c r="G811" i="10"/>
  <c r="G810" i="10"/>
  <c r="G814" i="10"/>
  <c r="G823" i="10"/>
  <c r="G825" i="10"/>
  <c r="G827" i="10"/>
  <c r="G826" i="10"/>
  <c r="G828" i="10"/>
  <c r="G829" i="10"/>
  <c r="G788" i="10"/>
  <c r="G816" i="10"/>
  <c r="G836" i="10"/>
  <c r="G838" i="10"/>
  <c r="G840" i="10"/>
  <c r="G852" i="10"/>
  <c r="G846" i="10"/>
  <c r="G847" i="10"/>
  <c r="G837" i="10"/>
  <c r="G831" i="10"/>
  <c r="G832" i="10"/>
  <c r="G833" i="10"/>
  <c r="G834" i="10"/>
  <c r="G842" i="10"/>
  <c r="G851" i="10"/>
  <c r="G860" i="10"/>
  <c r="G850" i="10"/>
  <c r="G854" i="10"/>
  <c r="G862" i="10"/>
  <c r="G863" i="10"/>
  <c r="G876" i="10"/>
  <c r="F10" i="2" l="1"/>
  <c r="F9" i="2"/>
  <c r="E10" i="2"/>
  <c r="E9" i="2"/>
  <c r="R7" i="5"/>
  <c r="R8" i="5"/>
  <c r="R3" i="5"/>
  <c r="R5" i="5"/>
  <c r="R4" i="5"/>
  <c r="S7" i="5"/>
  <c r="J5" i="2" s="1"/>
  <c r="R6" i="5"/>
  <c r="S4" i="5"/>
  <c r="R2" i="5"/>
  <c r="S6" i="5"/>
  <c r="S8" i="5"/>
  <c r="S3" i="5"/>
  <c r="P101" i="9"/>
  <c r="P444" i="9"/>
  <c r="P298" i="9"/>
  <c r="P398" i="9"/>
  <c r="P388" i="9"/>
  <c r="P365" i="9"/>
  <c r="P367" i="9"/>
  <c r="P345" i="9"/>
  <c r="P316" i="9"/>
  <c r="P310" i="9"/>
  <c r="P275" i="9"/>
  <c r="P287" i="9"/>
  <c r="P245" i="9"/>
  <c r="P219" i="9"/>
  <c r="P230" i="9"/>
  <c r="P85" i="9"/>
  <c r="P205" i="9"/>
  <c r="P199" i="9"/>
  <c r="P129" i="9"/>
  <c r="P160" i="9"/>
  <c r="P140" i="9"/>
  <c r="P112" i="9"/>
  <c r="P67" i="9"/>
  <c r="P87" i="9"/>
  <c r="P69" i="9"/>
  <c r="P43" i="9"/>
  <c r="P15" i="9"/>
  <c r="P6" i="9"/>
  <c r="P3" i="9"/>
  <c r="P427" i="9"/>
  <c r="P421" i="9"/>
  <c r="P361" i="9"/>
  <c r="P374" i="9"/>
  <c r="P346" i="9"/>
  <c r="P341" i="9"/>
  <c r="P302" i="9"/>
  <c r="P324" i="9"/>
  <c r="P274" i="9"/>
  <c r="P295" i="9"/>
  <c r="P154" i="9"/>
  <c r="P254" i="9"/>
  <c r="P241" i="9"/>
  <c r="P225" i="9"/>
  <c r="P180" i="9"/>
  <c r="P193" i="9"/>
  <c r="P176" i="9"/>
  <c r="P172" i="9"/>
  <c r="P155" i="9"/>
  <c r="P115" i="9"/>
  <c r="P62" i="9"/>
  <c r="P96" i="9"/>
  <c r="P64" i="9"/>
  <c r="P37" i="9"/>
  <c r="P17" i="9"/>
  <c r="P451" i="9"/>
  <c r="P399" i="9"/>
  <c r="P364" i="9"/>
  <c r="P379" i="9"/>
  <c r="P371" i="9"/>
  <c r="P350" i="9"/>
  <c r="P308" i="9"/>
  <c r="P328" i="9"/>
  <c r="P307" i="9"/>
  <c r="P189" i="9"/>
  <c r="P277" i="9"/>
  <c r="P265" i="9"/>
  <c r="P233" i="9"/>
  <c r="P215" i="9"/>
  <c r="P206" i="9"/>
  <c r="P207" i="9"/>
  <c r="P130" i="9"/>
  <c r="P162" i="9"/>
  <c r="P144" i="9"/>
  <c r="P103" i="9"/>
  <c r="P97" i="9"/>
  <c r="P79" i="9"/>
  <c r="P38" i="9"/>
  <c r="P29" i="9"/>
  <c r="P7" i="9"/>
  <c r="P443" i="9"/>
  <c r="P426" i="9"/>
  <c r="P422" i="9"/>
  <c r="P408" i="9"/>
  <c r="P404" i="9"/>
  <c r="P353" i="9"/>
  <c r="P394" i="9"/>
  <c r="P373" i="9"/>
  <c r="P355" i="9"/>
  <c r="P334" i="9"/>
  <c r="P360" i="9"/>
  <c r="P343" i="9"/>
  <c r="P282" i="9"/>
  <c r="P250" i="9"/>
  <c r="P315" i="9"/>
  <c r="P323" i="9"/>
  <c r="P306" i="9"/>
  <c r="P266" i="9"/>
  <c r="P273" i="9"/>
  <c r="P294" i="9"/>
  <c r="P286" i="9"/>
  <c r="P276" i="9"/>
  <c r="P217" i="9"/>
  <c r="P253" i="9"/>
  <c r="P248" i="9"/>
  <c r="P188" i="9"/>
  <c r="P137" i="9"/>
  <c r="P224" i="9"/>
  <c r="P214" i="9"/>
  <c r="P166" i="9"/>
  <c r="P229" i="9"/>
  <c r="P192" i="9"/>
  <c r="P184" i="9"/>
  <c r="P175" i="9"/>
  <c r="P173" i="9"/>
  <c r="P169" i="9"/>
  <c r="P156" i="9"/>
  <c r="P138" i="9"/>
  <c r="P141" i="9"/>
  <c r="P127" i="9"/>
  <c r="P111" i="9"/>
  <c r="P56" i="9"/>
  <c r="P73" i="9"/>
  <c r="P95" i="9"/>
  <c r="P91" i="9"/>
  <c r="P61" i="9"/>
  <c r="P65" i="9"/>
  <c r="P36" i="9"/>
  <c r="P47" i="9"/>
  <c r="P13" i="9"/>
  <c r="P14" i="9"/>
  <c r="P12" i="9"/>
  <c r="P438" i="9"/>
  <c r="P425" i="9"/>
  <c r="P417" i="9"/>
  <c r="P393" i="9"/>
  <c r="P402" i="9"/>
  <c r="P396" i="9"/>
  <c r="P390" i="9"/>
  <c r="P392" i="9"/>
  <c r="P349" i="9"/>
  <c r="P370" i="9"/>
  <c r="P362" i="9"/>
  <c r="P356" i="9"/>
  <c r="P340" i="9"/>
  <c r="P222" i="9"/>
  <c r="P325" i="9"/>
  <c r="P267" i="9"/>
  <c r="P305" i="9"/>
  <c r="P312" i="9"/>
  <c r="P264" i="9"/>
  <c r="P293" i="9"/>
  <c r="P304" i="9"/>
  <c r="P272" i="9"/>
  <c r="P104" i="9"/>
  <c r="P252" i="9"/>
  <c r="P170" i="9"/>
  <c r="P257" i="9"/>
  <c r="P78" i="9"/>
  <c r="P223" i="9"/>
  <c r="P211" i="9"/>
  <c r="P165" i="9"/>
  <c r="P204" i="9"/>
  <c r="P187" i="9"/>
  <c r="P59" i="9"/>
  <c r="P196" i="9"/>
  <c r="P174" i="9"/>
  <c r="P168" i="9"/>
  <c r="P152" i="9"/>
  <c r="P119" i="9"/>
  <c r="P136" i="9"/>
  <c r="P72" i="9"/>
  <c r="P81" i="9"/>
  <c r="P46" i="9"/>
  <c r="P102" i="9"/>
  <c r="P94" i="9"/>
  <c r="P99" i="9"/>
  <c r="P76" i="9"/>
  <c r="P60" i="9"/>
  <c r="P34" i="9"/>
  <c r="P33" i="9"/>
  <c r="P26" i="9"/>
  <c r="P28" i="9"/>
  <c r="P8" i="9"/>
  <c r="P437" i="9"/>
  <c r="P424" i="9"/>
  <c r="P410" i="9"/>
  <c r="P415" i="9"/>
  <c r="P283" i="9"/>
  <c r="P329" i="9"/>
  <c r="P375" i="9"/>
  <c r="P384" i="9"/>
  <c r="P380" i="9"/>
  <c r="P369" i="9"/>
  <c r="P359" i="9"/>
  <c r="P268" i="9"/>
  <c r="P339" i="9"/>
  <c r="P333" i="9"/>
  <c r="P321" i="9"/>
  <c r="P327" i="9"/>
  <c r="P303" i="9"/>
  <c r="P300" i="9"/>
  <c r="P249" i="9"/>
  <c r="P292" i="9"/>
  <c r="P284" i="9"/>
  <c r="P271" i="9"/>
  <c r="P262" i="9"/>
  <c r="P247" i="9"/>
  <c r="P108" i="9"/>
  <c r="P227" i="9"/>
  <c r="P131" i="9"/>
  <c r="P221" i="9"/>
  <c r="P210" i="9"/>
  <c r="P164" i="9"/>
  <c r="P203" i="9"/>
  <c r="P186" i="9"/>
  <c r="P197" i="9"/>
  <c r="P148" i="9"/>
  <c r="P142" i="9"/>
  <c r="P163" i="9"/>
  <c r="P151" i="9"/>
  <c r="P110" i="9"/>
  <c r="P118" i="9"/>
  <c r="P133" i="9"/>
  <c r="P58" i="9"/>
  <c r="P49" i="9"/>
  <c r="P93" i="9"/>
  <c r="P77" i="9"/>
  <c r="P75" i="9"/>
  <c r="P53" i="9"/>
  <c r="P35" i="9"/>
  <c r="P18" i="9"/>
  <c r="P25" i="9"/>
  <c r="P11" i="9"/>
  <c r="P5" i="9"/>
  <c r="P435" i="9"/>
  <c r="P372" i="9"/>
  <c r="P416" i="9"/>
  <c r="P413" i="9"/>
  <c r="P401" i="9"/>
  <c r="P314" i="9"/>
  <c r="P386" i="9"/>
  <c r="P383" i="9"/>
  <c r="P363" i="9"/>
  <c r="P366" i="9"/>
  <c r="P357" i="9"/>
  <c r="P255" i="9"/>
  <c r="P347" i="9"/>
  <c r="P330" i="9"/>
  <c r="P313" i="9"/>
  <c r="P311" i="9"/>
  <c r="P301" i="9"/>
  <c r="P299" i="9"/>
  <c r="P236" i="9"/>
  <c r="P291" i="9"/>
  <c r="P280" i="9"/>
  <c r="P263" i="9"/>
  <c r="P261" i="9"/>
  <c r="P244" i="9"/>
  <c r="P237" i="9"/>
  <c r="P226" i="9"/>
  <c r="P123" i="9"/>
  <c r="P218" i="9"/>
  <c r="P213" i="9"/>
  <c r="P161" i="9"/>
  <c r="P201" i="9"/>
  <c r="P185" i="9"/>
  <c r="P183" i="9"/>
  <c r="P145" i="9"/>
  <c r="P128" i="9"/>
  <c r="P158" i="9"/>
  <c r="P150" i="9"/>
  <c r="P107" i="9"/>
  <c r="P117" i="9"/>
  <c r="P114" i="9"/>
  <c r="P57" i="9"/>
  <c r="P41" i="9"/>
  <c r="P100" i="9"/>
  <c r="P92" i="9"/>
  <c r="P70" i="9"/>
  <c r="P74" i="9"/>
  <c r="P52" i="9"/>
  <c r="P44" i="9"/>
  <c r="P32" i="9"/>
  <c r="P24" i="9"/>
  <c r="P27" i="9"/>
  <c r="P2" i="9"/>
  <c r="P269" i="9"/>
  <c r="P406" i="9"/>
  <c r="P190" i="9"/>
  <c r="P382" i="9"/>
  <c r="P354" i="9"/>
  <c r="P336" i="9"/>
  <c r="P332" i="9"/>
  <c r="P319" i="9"/>
  <c r="P228" i="9"/>
  <c r="P436" i="9"/>
  <c r="P409" i="9"/>
  <c r="P405" i="9"/>
  <c r="P378" i="9"/>
  <c r="P181" i="9"/>
  <c r="P348" i="9"/>
  <c r="P358" i="9"/>
  <c r="P344" i="9"/>
  <c r="P317" i="9"/>
  <c r="P297" i="9"/>
  <c r="P428" i="9"/>
  <c r="P322" i="9"/>
  <c r="P414" i="9"/>
  <c r="P389" i="9"/>
  <c r="P381" i="9"/>
  <c r="P368" i="9"/>
  <c r="P352" i="9"/>
  <c r="P326" i="9"/>
  <c r="P167" i="9"/>
  <c r="P281" i="9"/>
  <c r="P288" i="9"/>
  <c r="P270" i="9"/>
  <c r="P220" i="9"/>
  <c r="P243" i="9"/>
  <c r="P83" i="9"/>
  <c r="P202" i="9"/>
  <c r="P194" i="9"/>
  <c r="P177" i="9"/>
  <c r="P178" i="9"/>
  <c r="P124" i="9"/>
  <c r="P116" i="9"/>
  <c r="P68" i="9"/>
  <c r="P105" i="9"/>
  <c r="P88" i="9"/>
  <c r="P50" i="9"/>
  <c r="P20" i="9"/>
  <c r="P16" i="9"/>
  <c r="P4" i="9"/>
  <c r="P290" i="9"/>
  <c r="P279" i="9"/>
  <c r="P260" i="9"/>
  <c r="P259" i="9"/>
  <c r="P239" i="9"/>
  <c r="P235" i="9"/>
  <c r="P231" i="9"/>
  <c r="P86" i="9"/>
  <c r="P240" i="9"/>
  <c r="P212" i="9"/>
  <c r="P153" i="9"/>
  <c r="P200" i="9"/>
  <c r="P198" i="9"/>
  <c r="P82" i="9"/>
  <c r="P139" i="9"/>
  <c r="P126" i="9"/>
  <c r="P147" i="9"/>
  <c r="P149" i="9"/>
  <c r="P106" i="9"/>
  <c r="P135" i="9"/>
  <c r="P121" i="9"/>
  <c r="P80" i="9"/>
  <c r="P40" i="9"/>
  <c r="P51" i="9"/>
  <c r="P90" i="9"/>
  <c r="P66" i="9"/>
  <c r="P55" i="9"/>
  <c r="P42" i="9"/>
  <c r="P45" i="9"/>
  <c r="P31" i="9"/>
  <c r="P23" i="9"/>
  <c r="P19" i="9"/>
  <c r="P10" i="9"/>
  <c r="P432" i="9"/>
  <c r="P420" i="9"/>
  <c r="P430" i="9"/>
  <c r="P385" i="9"/>
  <c r="P400" i="9"/>
  <c r="P391" i="9"/>
  <c r="P377" i="9"/>
  <c r="P376" i="9"/>
  <c r="P84" i="9"/>
  <c r="P320" i="9"/>
  <c r="P351" i="9"/>
  <c r="P342" i="9"/>
  <c r="P309" i="9"/>
  <c r="P338" i="9"/>
  <c r="P331" i="9"/>
  <c r="P232" i="9"/>
  <c r="P318" i="9"/>
  <c r="P296" i="9"/>
  <c r="P216" i="9"/>
  <c r="P289" i="9"/>
  <c r="P278" i="9"/>
  <c r="P256" i="9"/>
  <c r="P258" i="9"/>
  <c r="P251" i="9"/>
  <c r="P234" i="9"/>
  <c r="P246" i="9"/>
  <c r="P122" i="9"/>
  <c r="P238" i="9"/>
  <c r="P209" i="9"/>
  <c r="P208" i="9"/>
  <c r="P195" i="9"/>
  <c r="P182" i="9"/>
  <c r="P179" i="9"/>
  <c r="P132" i="9"/>
  <c r="P125" i="9"/>
  <c r="P120" i="9"/>
  <c r="P146" i="9"/>
  <c r="P171" i="9"/>
  <c r="P134" i="9"/>
  <c r="P113" i="9"/>
  <c r="P71" i="9"/>
  <c r="P109" i="9"/>
  <c r="P98" i="9"/>
  <c r="P89" i="9"/>
  <c r="P54" i="9"/>
  <c r="P63" i="9"/>
  <c r="P39" i="9"/>
  <c r="P48" i="9"/>
  <c r="P30" i="9"/>
  <c r="P22" i="9"/>
  <c r="P21" i="9"/>
  <c r="P9" i="9"/>
  <c r="O435" i="9"/>
  <c r="O372" i="9"/>
  <c r="O416" i="9"/>
  <c r="O269" i="9"/>
  <c r="O190" i="9"/>
  <c r="O378" i="9"/>
  <c r="O436" i="9"/>
  <c r="O409" i="9"/>
  <c r="O451" i="9"/>
  <c r="O406" i="9"/>
  <c r="O336" i="9"/>
  <c r="O401" i="9"/>
  <c r="O314" i="9"/>
  <c r="O383" i="9"/>
  <c r="O363" i="9"/>
  <c r="O366" i="9"/>
  <c r="O357" i="9"/>
  <c r="O255" i="9"/>
  <c r="O347" i="9"/>
  <c r="O330" i="9"/>
  <c r="O313" i="9"/>
  <c r="O311" i="9"/>
  <c r="O301" i="9"/>
  <c r="O299" i="9"/>
  <c r="O236" i="9"/>
  <c r="O291" i="9"/>
  <c r="O280" i="9"/>
  <c r="O263" i="9"/>
  <c r="O261" i="9"/>
  <c r="O244" i="9"/>
  <c r="O237" i="9"/>
  <c r="O226" i="9"/>
  <c r="O218" i="9"/>
  <c r="O213" i="9"/>
  <c r="O161" i="9"/>
  <c r="O201" i="9"/>
  <c r="O185" i="9"/>
  <c r="O183" i="9"/>
  <c r="O145" i="9"/>
  <c r="O128" i="9"/>
  <c r="O158" i="9"/>
  <c r="O150" i="9"/>
  <c r="O107" i="9"/>
  <c r="O117" i="9"/>
  <c r="O57" i="9"/>
  <c r="O41" i="9"/>
  <c r="O100" i="9"/>
  <c r="O92" i="9"/>
  <c r="O70" i="9"/>
  <c r="O52" i="9"/>
  <c r="O44" i="9"/>
  <c r="O24" i="9"/>
  <c r="O27" i="9"/>
  <c r="O2" i="9"/>
  <c r="O181" i="9"/>
  <c r="O348" i="9"/>
  <c r="O354" i="9"/>
  <c r="O358" i="9"/>
  <c r="O344" i="9"/>
  <c r="O332" i="9"/>
  <c r="O317" i="9"/>
  <c r="O319" i="9"/>
  <c r="O297" i="9"/>
  <c r="O228" i="9"/>
  <c r="O290" i="9"/>
  <c r="O279" i="9"/>
  <c r="O260" i="9"/>
  <c r="O259" i="9"/>
  <c r="O239" i="9"/>
  <c r="O235" i="9"/>
  <c r="O231" i="9"/>
  <c r="O240" i="9"/>
  <c r="O212" i="9"/>
  <c r="O153" i="9"/>
  <c r="O200" i="9"/>
  <c r="O198" i="9"/>
  <c r="O82" i="9"/>
  <c r="O139" i="9"/>
  <c r="O126" i="9"/>
  <c r="O147" i="9"/>
  <c r="O149" i="9"/>
  <c r="O106" i="9"/>
  <c r="O135" i="9"/>
  <c r="O121" i="9"/>
  <c r="O80" i="9"/>
  <c r="O40" i="9"/>
  <c r="O51" i="9"/>
  <c r="O66" i="9"/>
  <c r="O55" i="9"/>
  <c r="O42" i="9"/>
  <c r="O45" i="9"/>
  <c r="O23" i="9"/>
  <c r="O19" i="9"/>
  <c r="O10" i="9"/>
  <c r="O382" i="9"/>
  <c r="O432" i="9"/>
  <c r="O420" i="9"/>
  <c r="O430" i="9"/>
  <c r="O385" i="9"/>
  <c r="O400" i="9"/>
  <c r="O391" i="9"/>
  <c r="O386" i="9"/>
  <c r="O90" i="9"/>
  <c r="O364" i="9"/>
  <c r="O389" i="9"/>
  <c r="O379" i="9"/>
  <c r="O381" i="9"/>
  <c r="O371" i="9"/>
  <c r="O368" i="9"/>
  <c r="O350" i="9"/>
  <c r="O352" i="9"/>
  <c r="O308" i="9"/>
  <c r="O326" i="9"/>
  <c r="O328" i="9"/>
  <c r="O307" i="9"/>
  <c r="O281" i="9"/>
  <c r="O189" i="9"/>
  <c r="O288" i="9"/>
  <c r="O277" i="9"/>
  <c r="O265" i="9"/>
  <c r="O220" i="9"/>
  <c r="O233" i="9"/>
  <c r="O243" i="9"/>
  <c r="O83" i="9"/>
  <c r="O215" i="9"/>
  <c r="O202" i="9"/>
  <c r="O206" i="9"/>
  <c r="O194" i="9"/>
  <c r="O207" i="9"/>
  <c r="O177" i="9"/>
  <c r="O130" i="9"/>
  <c r="O178" i="9"/>
  <c r="O162" i="9"/>
  <c r="O124" i="9"/>
  <c r="O144" i="9"/>
  <c r="O116" i="9"/>
  <c r="O103" i="9"/>
  <c r="O68" i="9"/>
  <c r="O105" i="9"/>
  <c r="O97" i="9"/>
  <c r="O50" i="9"/>
  <c r="O38" i="9"/>
  <c r="O20" i="9"/>
  <c r="O322" i="9"/>
  <c r="O444" i="9"/>
  <c r="O443" i="9"/>
  <c r="O422" i="9"/>
  <c r="O408" i="9"/>
  <c r="O404" i="9"/>
  <c r="O414" i="9"/>
  <c r="O426" i="9"/>
  <c r="O31" i="9"/>
  <c r="O79" i="9"/>
  <c r="O88" i="9"/>
  <c r="O353" i="9"/>
  <c r="O394" i="9"/>
  <c r="O373" i="9"/>
  <c r="O334" i="9"/>
  <c r="O360" i="9"/>
  <c r="O343" i="9"/>
  <c r="O282" i="9"/>
  <c r="O250" i="9"/>
  <c r="O315" i="9"/>
  <c r="O323" i="9"/>
  <c r="O306" i="9"/>
  <c r="O266" i="9"/>
  <c r="O273" i="9"/>
  <c r="O294" i="9"/>
  <c r="O286" i="9"/>
  <c r="O276" i="9"/>
  <c r="O217" i="9"/>
  <c r="O253" i="9"/>
  <c r="O248" i="9"/>
  <c r="O188" i="9"/>
  <c r="O137" i="9"/>
  <c r="O224" i="9"/>
  <c r="O214" i="9"/>
  <c r="O229" i="9"/>
  <c r="O192" i="9"/>
  <c r="O184" i="9"/>
  <c r="O175" i="9"/>
  <c r="O173" i="9"/>
  <c r="O169" i="9"/>
  <c r="O156" i="9"/>
  <c r="O138" i="9"/>
  <c r="O141" i="9"/>
  <c r="O127" i="9"/>
  <c r="O111" i="9"/>
  <c r="O56" i="9"/>
  <c r="O73" i="9"/>
  <c r="O95" i="9"/>
  <c r="O91" i="9"/>
  <c r="O61" i="9"/>
  <c r="O65" i="9"/>
  <c r="O47" i="9"/>
  <c r="O13" i="9"/>
  <c r="O14" i="9"/>
  <c r="O12" i="9"/>
  <c r="O427" i="9"/>
  <c r="O405" i="9"/>
  <c r="O438" i="9"/>
  <c r="O425" i="9"/>
  <c r="O417" i="9"/>
  <c r="O393" i="9"/>
  <c r="O402" i="9"/>
  <c r="O396" i="9"/>
  <c r="O390" i="9"/>
  <c r="O392" i="9"/>
  <c r="O349" i="9"/>
  <c r="O370" i="9"/>
  <c r="O362" i="9"/>
  <c r="O356" i="9"/>
  <c r="O340" i="9"/>
  <c r="O222" i="9"/>
  <c r="O325" i="9"/>
  <c r="O267" i="9"/>
  <c r="O305" i="9"/>
  <c r="O312" i="9"/>
  <c r="O264" i="9"/>
  <c r="O293" i="9"/>
  <c r="O304" i="9"/>
  <c r="O272" i="9"/>
  <c r="O104" i="9"/>
  <c r="O252" i="9"/>
  <c r="O170" i="9"/>
  <c r="O78" i="9"/>
  <c r="O223" i="9"/>
  <c r="O211" i="9"/>
  <c r="O165" i="9"/>
  <c r="O204" i="9"/>
  <c r="O187" i="9"/>
  <c r="O59" i="9"/>
  <c r="O196" i="9"/>
  <c r="O174" i="9"/>
  <c r="O168" i="9"/>
  <c r="O152" i="9"/>
  <c r="O119" i="9"/>
  <c r="O136" i="9"/>
  <c r="O72" i="9"/>
  <c r="O81" i="9"/>
  <c r="O46" i="9"/>
  <c r="O102" i="9"/>
  <c r="O94" i="9"/>
  <c r="O99" i="9"/>
  <c r="O76" i="9"/>
  <c r="O60" i="9"/>
  <c r="O34" i="9"/>
  <c r="O33" i="9"/>
  <c r="O26" i="9"/>
  <c r="O28" i="9"/>
  <c r="O8" i="9"/>
  <c r="O64" i="9"/>
  <c r="O437" i="9"/>
  <c r="O424" i="9"/>
  <c r="O410" i="9"/>
  <c r="O415" i="9"/>
  <c r="O283" i="9"/>
  <c r="O329" i="9"/>
  <c r="O375" i="9"/>
  <c r="O384" i="9"/>
  <c r="O380" i="9"/>
  <c r="O369" i="9"/>
  <c r="O359" i="9"/>
  <c r="O268" i="9"/>
  <c r="O339" i="9"/>
  <c r="O333" i="9"/>
  <c r="O321" i="9"/>
  <c r="O327" i="9"/>
  <c r="O303" i="9"/>
  <c r="O300" i="9"/>
  <c r="O249" i="9"/>
  <c r="O292" i="9"/>
  <c r="O284" i="9"/>
  <c r="O271" i="9"/>
  <c r="O262" i="9"/>
  <c r="O247" i="9"/>
  <c r="O108" i="9"/>
  <c r="O227" i="9"/>
  <c r="O131" i="9"/>
  <c r="O221" i="9"/>
  <c r="O210" i="9"/>
  <c r="O164" i="9"/>
  <c r="O203" i="9"/>
  <c r="O186" i="9"/>
  <c r="O197" i="9"/>
  <c r="O148" i="9"/>
  <c r="O142" i="9"/>
  <c r="O163" i="9"/>
  <c r="O151" i="9"/>
  <c r="O110" i="9"/>
  <c r="O118" i="9"/>
  <c r="O133" i="9"/>
  <c r="O58" i="9"/>
  <c r="O49" i="9"/>
  <c r="O101" i="9"/>
  <c r="O93" i="9"/>
  <c r="O77" i="9"/>
  <c r="O75" i="9"/>
  <c r="O53" i="9"/>
  <c r="O35" i="9"/>
  <c r="O18" i="9"/>
  <c r="O25" i="9"/>
  <c r="O11" i="9"/>
  <c r="O5" i="9"/>
  <c r="O115" i="9"/>
  <c r="O166" i="9"/>
  <c r="O413" i="9"/>
  <c r="O114" i="9"/>
  <c r="O399" i="9"/>
  <c r="O377" i="9"/>
  <c r="O376" i="9"/>
  <c r="O84" i="9"/>
  <c r="O320" i="9"/>
  <c r="O351" i="9"/>
  <c r="O342" i="9"/>
  <c r="O309" i="9"/>
  <c r="O338" i="9"/>
  <c r="O331" i="9"/>
  <c r="O232" i="9"/>
  <c r="O318" i="9"/>
  <c r="O296" i="9"/>
  <c r="O216" i="9"/>
  <c r="O289" i="9"/>
  <c r="O278" i="9"/>
  <c r="O256" i="9"/>
  <c r="O258" i="9"/>
  <c r="O251" i="9"/>
  <c r="O234" i="9"/>
  <c r="O246" i="9"/>
  <c r="O122" i="9"/>
  <c r="O238" i="9"/>
  <c r="O209" i="9"/>
  <c r="O208" i="9"/>
  <c r="O195" i="9"/>
  <c r="O182" i="9"/>
  <c r="O179" i="9"/>
  <c r="O132" i="9"/>
  <c r="O125" i="9"/>
  <c r="O120" i="9"/>
  <c r="O146" i="9"/>
  <c r="O171" i="9"/>
  <c r="O134" i="9"/>
  <c r="O113" i="9"/>
  <c r="O71" i="9"/>
  <c r="O109" i="9"/>
  <c r="O98" i="9"/>
  <c r="O89" i="9"/>
  <c r="O54" i="9"/>
  <c r="O63" i="9"/>
  <c r="O39" i="9"/>
  <c r="O48" i="9"/>
  <c r="O30" i="9"/>
  <c r="O22" i="9"/>
  <c r="O21" i="9"/>
  <c r="O167" i="9"/>
  <c r="O74" i="9"/>
  <c r="O355" i="9"/>
  <c r="O29" i="9"/>
  <c r="O16" i="9"/>
  <c r="O7" i="9"/>
  <c r="O4" i="9"/>
  <c r="O32" i="9"/>
  <c r="O298" i="9"/>
  <c r="O421" i="9"/>
  <c r="O398" i="9"/>
  <c r="O361" i="9"/>
  <c r="O388" i="9"/>
  <c r="O374" i="9"/>
  <c r="O365" i="9"/>
  <c r="O346" i="9"/>
  <c r="O367" i="9"/>
  <c r="O345" i="9"/>
  <c r="O302" i="9"/>
  <c r="O316" i="9"/>
  <c r="O324" i="9"/>
  <c r="O310" i="9"/>
  <c r="O274" i="9"/>
  <c r="O275" i="9"/>
  <c r="O295" i="9"/>
  <c r="O287" i="9"/>
  <c r="O154" i="9"/>
  <c r="O245" i="9"/>
  <c r="O254" i="9"/>
  <c r="O219" i="9"/>
  <c r="O241" i="9"/>
  <c r="O230" i="9"/>
  <c r="O225" i="9"/>
  <c r="O180" i="9"/>
  <c r="O205" i="9"/>
  <c r="O193" i="9"/>
  <c r="O199" i="9"/>
  <c r="O176" i="9"/>
  <c r="O129" i="9"/>
  <c r="O172" i="9"/>
  <c r="O160" i="9"/>
  <c r="O155" i="9"/>
  <c r="O140" i="9"/>
  <c r="O112" i="9"/>
  <c r="O62" i="9"/>
  <c r="O67" i="9"/>
  <c r="O96" i="9"/>
  <c r="O87" i="9"/>
  <c r="O69" i="9"/>
  <c r="O37" i="9"/>
  <c r="O43" i="9"/>
  <c r="O17" i="9"/>
  <c r="O36" i="9"/>
  <c r="O15" i="9"/>
  <c r="O6" i="9"/>
  <c r="O3" i="9"/>
  <c r="O9" i="9"/>
  <c r="O428" i="9"/>
  <c r="O270" i="9"/>
  <c r="S14" i="5" l="1"/>
  <c r="R14" i="5"/>
  <c r="I5" i="2"/>
  <c r="O123" i="9"/>
  <c r="O86" i="9"/>
  <c r="G750" i="10"/>
  <c r="G753" i="10"/>
  <c r="G780" i="10"/>
  <c r="G781" i="10"/>
  <c r="G784" i="10"/>
  <c r="G785" i="10"/>
  <c r="G787" i="10"/>
  <c r="G789" i="10"/>
  <c r="G790" i="10"/>
  <c r="G791" i="10"/>
  <c r="G798" i="10"/>
  <c r="G799" i="10"/>
  <c r="G800" i="10"/>
  <c r="G805" i="10"/>
  <c r="G806" i="10"/>
  <c r="G807" i="10"/>
  <c r="G813" i="10"/>
  <c r="G815" i="10"/>
  <c r="G818" i="10"/>
  <c r="G830" i="10"/>
  <c r="G843" i="10"/>
  <c r="G844" i="10"/>
  <c r="G848" i="10"/>
  <c r="G853" i="10"/>
  <c r="G855" i="10"/>
  <c r="G856" i="10"/>
  <c r="G859" i="10"/>
  <c r="G861" i="10"/>
  <c r="G864" i="10"/>
  <c r="G865" i="10"/>
  <c r="G866" i="10"/>
  <c r="G867" i="10"/>
  <c r="G868" i="10"/>
  <c r="G869" i="10"/>
  <c r="G870" i="10"/>
  <c r="G871" i="10"/>
  <c r="G872" i="10"/>
  <c r="G873" i="10"/>
  <c r="G874" i="10"/>
  <c r="G877" i="10"/>
  <c r="H11" i="13"/>
  <c r="H10" i="13"/>
  <c r="H5" i="13"/>
  <c r="H4" i="13"/>
  <c r="H3" i="13"/>
  <c r="H2" i="13"/>
  <c r="O85" i="9" l="1"/>
  <c r="O341" i="9"/>
  <c r="O257" i="9"/>
  <c r="A395" i="9"/>
  <c r="P395" i="9" s="1"/>
  <c r="A407" i="9"/>
  <c r="A411" i="9"/>
  <c r="P411" i="9" s="1"/>
  <c r="A412" i="9"/>
  <c r="P412" i="9" s="1"/>
  <c r="A419" i="9"/>
  <c r="P419" i="9" s="1"/>
  <c r="A143" i="9"/>
  <c r="P143" i="9" s="1"/>
  <c r="A157" i="9"/>
  <c r="P157" i="9" s="1"/>
  <c r="A159" i="9"/>
  <c r="P159" i="9" s="1"/>
  <c r="A191" i="9"/>
  <c r="P191" i="9" s="1"/>
  <c r="A242" i="9"/>
  <c r="P242" i="9" s="1"/>
  <c r="A285" i="9"/>
  <c r="P285" i="9" s="1"/>
  <c r="A335" i="9"/>
  <c r="P335" i="9" s="1"/>
  <c r="A337" i="9"/>
  <c r="P337" i="9" s="1"/>
  <c r="A387" i="9"/>
  <c r="P387" i="9" s="1"/>
  <c r="A423" i="9"/>
  <c r="P423" i="9" s="1"/>
  <c r="A397" i="9"/>
  <c r="P397" i="9" s="1"/>
  <c r="A403" i="9"/>
  <c r="P403" i="9" s="1"/>
  <c r="A418" i="9"/>
  <c r="P418" i="9" s="1"/>
  <c r="A429" i="9"/>
  <c r="P429" i="9" s="1"/>
  <c r="A431" i="9"/>
  <c r="P431" i="9" s="1"/>
  <c r="T5" i="5" s="1"/>
  <c r="A433" i="9"/>
  <c r="P433" i="9" s="1"/>
  <c r="A434" i="9"/>
  <c r="P434" i="9" s="1"/>
  <c r="A439" i="9"/>
  <c r="P439" i="9" s="1"/>
  <c r="A440" i="9"/>
  <c r="P440" i="9" s="1"/>
  <c r="A442" i="9"/>
  <c r="P442" i="9" s="1"/>
  <c r="T7" i="5" s="1"/>
  <c r="K5" i="2" s="1"/>
  <c r="A441" i="9"/>
  <c r="P441" i="9" s="1"/>
  <c r="A445" i="9"/>
  <c r="P445" i="9" s="1"/>
  <c r="A447" i="9"/>
  <c r="P447" i="9" s="1"/>
  <c r="A446" i="9"/>
  <c r="P446" i="9" s="1"/>
  <c r="A452" i="9"/>
  <c r="P452" i="9" s="1"/>
  <c r="A453" i="9"/>
  <c r="P453" i="9" s="1"/>
  <c r="A448" i="9"/>
  <c r="P448" i="9" s="1"/>
  <c r="A454" i="9"/>
  <c r="P454" i="9" s="1"/>
  <c r="A449" i="9"/>
  <c r="P449" i="9" s="1"/>
  <c r="A450" i="9"/>
  <c r="P450" i="9" s="1"/>
  <c r="A455" i="9"/>
  <c r="P455" i="9" s="1"/>
  <c r="T2" i="5" l="1"/>
  <c r="T8" i="5"/>
  <c r="T6" i="5"/>
  <c r="T4" i="5"/>
  <c r="P407" i="9"/>
  <c r="T3" i="5" s="1"/>
  <c r="O159" i="9"/>
  <c r="O447" i="9"/>
  <c r="O429" i="9"/>
  <c r="O403" i="9"/>
  <c r="O191" i="9"/>
  <c r="O157" i="9"/>
  <c r="O439" i="9"/>
  <c r="O434" i="9"/>
  <c r="O387" i="9"/>
  <c r="O143" i="9"/>
  <c r="O433" i="9"/>
  <c r="O337" i="9"/>
  <c r="O440" i="9"/>
  <c r="O455" i="9"/>
  <c r="O431" i="9"/>
  <c r="O335" i="9"/>
  <c r="O285" i="9"/>
  <c r="O397" i="9"/>
  <c r="O445" i="9"/>
  <c r="O441" i="9"/>
  <c r="O418" i="9"/>
  <c r="O242" i="9"/>
  <c r="O450" i="9"/>
  <c r="O411" i="9"/>
  <c r="O449" i="9"/>
  <c r="O423" i="9"/>
  <c r="O454" i="9"/>
  <c r="O453" i="9"/>
  <c r="O452" i="9"/>
  <c r="O448" i="9"/>
  <c r="O446" i="9"/>
  <c r="O442" i="9"/>
  <c r="O407" i="9"/>
  <c r="O395" i="9"/>
  <c r="O419" i="9"/>
  <c r="O412" i="9"/>
  <c r="B2" i="5" a="1"/>
  <c r="B2" i="5" s="1"/>
  <c r="B3" i="5" s="1" a="1"/>
  <c r="B3" i="5" s="1"/>
  <c r="T14" i="5" l="1"/>
  <c r="C2" i="5" a="1"/>
  <c r="C2" i="5" s="1"/>
  <c r="C3" i="5" s="1" a="1"/>
  <c r="C3" i="5" s="1"/>
  <c r="C4" i="5" s="1" a="1"/>
  <c r="C4" i="5" s="1"/>
  <c r="C5" i="5" s="1" a="1"/>
  <c r="C5" i="5" s="1"/>
  <c r="D10" i="2"/>
  <c r="A2" i="5" a="1"/>
  <c r="A2" i="5" s="1"/>
  <c r="A3" i="5" s="1" a="1"/>
  <c r="A3" i="5" s="1"/>
  <c r="D9" i="2"/>
  <c r="B4" i="5" a="1"/>
  <c r="B4" i="5" s="1"/>
  <c r="B5" i="5" s="1" a="1"/>
  <c r="B5" i="5" s="1"/>
  <c r="B6" i="5" s="1" a="1"/>
  <c r="B6" i="5" s="1"/>
  <c r="C6" i="5" l="1" a="1"/>
  <c r="C6" i="5" s="1"/>
  <c r="C7" i="5" s="1" a="1"/>
  <c r="C7" i="5" s="1"/>
  <c r="A4" i="5" a="1"/>
  <c r="A4" i="5" s="1"/>
  <c r="A5" i="5" s="1" a="1"/>
  <c r="A5" i="5" s="1"/>
  <c r="B7" i="5" a="1"/>
  <c r="B7" i="5" s="1"/>
  <c r="B8" i="5" s="1" a="1"/>
  <c r="B8" i="5" s="1"/>
  <c r="A6" i="5" l="1" a="1"/>
  <c r="A6" i="5" s="1"/>
  <c r="A7" i="5" s="1" a="1"/>
  <c r="A7" i="5" s="1"/>
  <c r="A8" i="5" s="1" a="1"/>
  <c r="A8" i="5" s="1"/>
  <c r="C8" i="5" a="1"/>
  <c r="C8" i="5" s="1"/>
  <c r="B9" i="5" a="1"/>
  <c r="B9" i="5" s="1"/>
  <c r="B10" i="5" l="1" a="1"/>
  <c r="B10" i="5" s="1"/>
  <c r="A9" i="5" a="1"/>
  <c r="A9" i="5" s="1"/>
  <c r="C9" i="5" a="1"/>
  <c r="C9" i="5" s="1"/>
  <c r="A10" i="5" l="1" a="1"/>
  <c r="A10" i="5" s="1"/>
  <c r="B11" i="5" a="1"/>
  <c r="B11" i="5" s="1"/>
  <c r="B12" i="5" s="1" a="1"/>
  <c r="B12" i="5" s="1"/>
  <c r="B13" i="5" s="1" a="1"/>
  <c r="B13" i="5" s="1"/>
  <c r="B14" i="5" s="1" a="1"/>
  <c r="B14" i="5" s="1"/>
  <c r="B15" i="5" s="1" a="1"/>
  <c r="B15" i="5" s="1"/>
  <c r="B16" i="5" s="1" a="1"/>
  <c r="B16" i="5" s="1"/>
  <c r="B17" i="5" s="1" a="1"/>
  <c r="B17" i="5" s="1"/>
  <c r="B18" i="5" s="1" a="1"/>
  <c r="B18" i="5" s="1"/>
  <c r="B19" i="5" s="1" a="1"/>
  <c r="B19" i="5" s="1"/>
  <c r="B20" i="5" s="1" a="1"/>
  <c r="B20" i="5" s="1"/>
  <c r="B21" i="5" s="1" a="1"/>
  <c r="B21" i="5" s="1"/>
  <c r="B22" i="5" s="1" a="1"/>
  <c r="B22" i="5" s="1"/>
  <c r="B23" i="5" s="1" a="1"/>
  <c r="B23" i="5" s="1"/>
  <c r="B24" i="5" s="1" a="1"/>
  <c r="B24" i="5" s="1"/>
  <c r="B25" i="5" s="1" a="1"/>
  <c r="B25" i="5" s="1"/>
  <c r="B26" i="5" s="1" a="1"/>
  <c r="B26" i="5" s="1"/>
  <c r="B27" i="5" s="1" a="1"/>
  <c r="B27" i="5" s="1"/>
  <c r="B28" i="5" s="1" a="1"/>
  <c r="B28" i="5" s="1"/>
  <c r="B29" i="5" s="1" a="1"/>
  <c r="B29" i="5" s="1"/>
  <c r="B30" i="5" s="1" a="1"/>
  <c r="B30" i="5" s="1"/>
  <c r="B31" i="5" s="1" a="1"/>
  <c r="B31" i="5" s="1"/>
  <c r="B32" i="5" s="1" a="1"/>
  <c r="B32" i="5" s="1"/>
  <c r="B33" i="5" s="1" a="1"/>
  <c r="B33" i="5" s="1"/>
  <c r="B34" i="5" s="1" a="1"/>
  <c r="B34" i="5" s="1"/>
  <c r="B35" i="5" s="1" a="1"/>
  <c r="B35" i="5" s="1"/>
  <c r="B36" i="5" s="1" a="1"/>
  <c r="B36" i="5" s="1"/>
  <c r="B37" i="5" s="1" a="1"/>
  <c r="B37" i="5" s="1"/>
  <c r="B38" i="5" s="1" a="1"/>
  <c r="B38" i="5" s="1"/>
  <c r="B39" i="5" s="1" a="1"/>
  <c r="B39" i="5" s="1"/>
  <c r="B40" i="5" s="1" a="1"/>
  <c r="B40" i="5" s="1"/>
  <c r="B41" i="5" s="1" a="1"/>
  <c r="B41" i="5" s="1"/>
  <c r="B42" i="5" s="1" a="1"/>
  <c r="B42" i="5" s="1"/>
  <c r="B43" i="5" s="1" a="1"/>
  <c r="B43" i="5" s="1"/>
  <c r="B44" i="5" s="1" a="1"/>
  <c r="B44" i="5" s="1"/>
  <c r="B45" i="5" s="1" a="1"/>
  <c r="B45" i="5" s="1"/>
  <c r="B46" i="5" s="1" a="1"/>
  <c r="B46" i="5" s="1"/>
  <c r="B47" i="5" s="1" a="1"/>
  <c r="B47" i="5" s="1"/>
  <c r="B48" i="5" s="1" a="1"/>
  <c r="B48" i="5" s="1"/>
  <c r="B49" i="5" s="1" a="1"/>
  <c r="B49" i="5" s="1"/>
  <c r="B50" i="5" s="1" a="1"/>
  <c r="B50" i="5" s="1"/>
  <c r="C10" i="5" a="1"/>
  <c r="C10" i="5" s="1"/>
  <c r="C11" i="5" s="1" a="1"/>
  <c r="C11" i="5" s="1"/>
  <c r="C12" i="5" s="1" a="1"/>
  <c r="C12" i="5" s="1"/>
  <c r="A11" i="5" l="1" a="1"/>
  <c r="A11" i="5" s="1"/>
  <c r="C13" i="5" a="1"/>
  <c r="C13" i="5" s="1"/>
  <c r="C14" i="5" s="1" a="1"/>
  <c r="C14" i="5" s="1"/>
  <c r="C15" i="5" s="1" a="1"/>
  <c r="C15" i="5" s="1"/>
  <c r="C16" i="5" s="1" a="1"/>
  <c r="C16" i="5" s="1"/>
  <c r="C17" i="5" s="1" a="1"/>
  <c r="C17" i="5" s="1"/>
  <c r="C18" i="5" s="1" a="1"/>
  <c r="C18" i="5" s="1"/>
  <c r="C19" i="5" s="1" a="1"/>
  <c r="C19" i="5" s="1"/>
  <c r="C20" i="5" s="1" a="1"/>
  <c r="C20" i="5" s="1"/>
  <c r="C21" i="5" s="1" a="1"/>
  <c r="C21" i="5" s="1"/>
  <c r="C22" i="5" s="1" a="1"/>
  <c r="C22" i="5" s="1"/>
  <c r="C23" i="5" s="1" a="1"/>
  <c r="C23" i="5" s="1"/>
  <c r="C24" i="5" s="1" a="1"/>
  <c r="C24" i="5" s="1"/>
  <c r="C25" i="5" s="1" a="1"/>
  <c r="C25" i="5" s="1"/>
  <c r="C26" i="5" s="1" a="1"/>
  <c r="C26" i="5" s="1"/>
  <c r="C27" i="5" s="1" a="1"/>
  <c r="C27" i="5" s="1"/>
  <c r="C28" i="5" s="1" a="1"/>
  <c r="C28" i="5" s="1"/>
  <c r="C29" i="5" s="1" a="1"/>
  <c r="C29" i="5" s="1"/>
  <c r="C30" i="5" s="1" a="1"/>
  <c r="C30" i="5" s="1"/>
  <c r="C31" i="5" s="1" a="1"/>
  <c r="C31" i="5" s="1"/>
  <c r="C32" i="5" s="1" a="1"/>
  <c r="C32" i="5" s="1"/>
  <c r="C33" i="5" s="1" a="1"/>
  <c r="C33" i="5" s="1"/>
  <c r="C34" i="5" s="1" a="1"/>
  <c r="C34" i="5" s="1"/>
  <c r="C35" i="5" s="1" a="1"/>
  <c r="C35" i="5" s="1"/>
  <c r="C36" i="5" s="1" a="1"/>
  <c r="C36" i="5" s="1"/>
  <c r="C37" i="5" s="1" a="1"/>
  <c r="C37" i="5" s="1"/>
  <c r="C38" i="5" s="1" a="1"/>
  <c r="C38" i="5" s="1"/>
  <c r="C39" i="5" s="1" a="1"/>
  <c r="C39" i="5" s="1"/>
  <c r="C40" i="5" s="1" a="1"/>
  <c r="C40" i="5" s="1"/>
  <c r="C41" i="5" s="1" a="1"/>
  <c r="C41" i="5" s="1"/>
  <c r="C42" i="5" s="1" a="1"/>
  <c r="C42" i="5" s="1"/>
  <c r="C43" i="5" s="1" a="1"/>
  <c r="C43" i="5" s="1"/>
  <c r="C44" i="5" s="1" a="1"/>
  <c r="C44" i="5" s="1"/>
  <c r="C45" i="5" s="1" a="1"/>
  <c r="C45" i="5" s="1"/>
  <c r="C46" i="5" s="1" a="1"/>
  <c r="C46" i="5" s="1"/>
  <c r="C47" i="5" s="1" a="1"/>
  <c r="C47" i="5" s="1"/>
  <c r="C48" i="5" s="1" a="1"/>
  <c r="C48" i="5" s="1"/>
  <c r="C49" i="5" s="1" a="1"/>
  <c r="C49" i="5" s="1"/>
  <c r="C50" i="5" s="1" a="1"/>
  <c r="C50" i="5" s="1"/>
  <c r="A12" i="5" l="1" a="1"/>
  <c r="A12" i="5" s="1"/>
  <c r="A13" i="5" s="1" a="1"/>
  <c r="A13" i="5" s="1"/>
  <c r="A14" i="5" s="1" a="1"/>
  <c r="A14" i="5" s="1"/>
  <c r="A15" i="5" s="1" a="1"/>
  <c r="A15" i="5" s="1"/>
  <c r="A16" i="5" s="1" a="1"/>
  <c r="A16" i="5" s="1"/>
  <c r="A17" i="5" s="1" a="1"/>
  <c r="A17" i="5" s="1"/>
  <c r="A18" i="5" s="1" a="1"/>
  <c r="A18" i="5" s="1"/>
  <c r="A19" i="5" s="1" a="1"/>
  <c r="A19" i="5" s="1"/>
  <c r="A20" i="5" s="1" a="1"/>
  <c r="A20" i="5" s="1"/>
  <c r="A21" i="5" s="1" a="1"/>
  <c r="A21" i="5" s="1"/>
  <c r="A22" i="5" s="1" a="1"/>
  <c r="A22" i="5" s="1"/>
  <c r="A23" i="5" s="1" a="1"/>
  <c r="A23" i="5" s="1"/>
  <c r="A24" i="5" s="1" a="1"/>
  <c r="A24" i="5" s="1"/>
  <c r="A25" i="5" s="1" a="1"/>
  <c r="A25" i="5" s="1"/>
  <c r="A26" i="5" s="1" a="1"/>
  <c r="A26" i="5" s="1"/>
  <c r="A27" i="5" s="1" a="1"/>
  <c r="A27" i="5" s="1"/>
  <c r="A28" i="5" s="1" a="1"/>
  <c r="A28" i="5" s="1"/>
  <c r="A29" i="5" s="1" a="1"/>
  <c r="A29" i="5" s="1"/>
  <c r="A30" i="5" s="1" a="1"/>
  <c r="A30" i="5" s="1"/>
  <c r="A31" i="5" s="1" a="1"/>
  <c r="A31" i="5" s="1"/>
  <c r="A32" i="5" s="1" a="1"/>
  <c r="A32" i="5" s="1"/>
  <c r="A33" i="5" s="1" a="1"/>
  <c r="A33" i="5" s="1"/>
  <c r="A34" i="5" s="1" a="1"/>
  <c r="A34" i="5" s="1"/>
  <c r="A35" i="5" l="1" a="1"/>
  <c r="A35" i="5" s="1"/>
  <c r="A36" i="5" l="1" a="1"/>
  <c r="A36" i="5" s="1"/>
  <c r="A37" i="5" l="1" a="1"/>
  <c r="A37" i="5" s="1"/>
  <c r="A38" i="5" l="1" a="1"/>
  <c r="A38" i="5" s="1"/>
  <c r="A39" i="5" l="1" a="1"/>
  <c r="A39" i="5" s="1"/>
  <c r="A40" i="5" l="1" a="1"/>
  <c r="A40" i="5" s="1"/>
  <c r="A41" i="5" l="1" a="1"/>
  <c r="A41" i="5" s="1"/>
  <c r="A42" i="5" l="1" a="1"/>
  <c r="A42" i="5" s="1"/>
  <c r="A43" i="5" l="1" a="1"/>
  <c r="A43" i="5" s="1"/>
  <c r="A44" i="5" s="1" a="1"/>
  <c r="A44" i="5" s="1"/>
  <c r="A45" i="5" s="1" a="1"/>
  <c r="A45" i="5" s="1"/>
  <c r="A46" i="5" s="1" a="1"/>
  <c r="A46" i="5" s="1"/>
  <c r="A47" i="5" s="1" a="1"/>
  <c r="A47" i="5" s="1"/>
  <c r="A48" i="5" s="1" a="1"/>
  <c r="A48" i="5" s="1"/>
  <c r="A49" i="5" s="1" a="1"/>
  <c r="A49" i="5" s="1"/>
  <c r="A50" i="5" s="1" a="1"/>
  <c r="A50" i="5"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<sst xmlns="http://schemas.openxmlformats.org/spreadsheetml/2006/main" count="12572" uniqueCount="1565">
  <si>
    <t>Date Received</t>
  </si>
  <si>
    <t>Group Entity</t>
  </si>
  <si>
    <t>Counterparty</t>
  </si>
  <si>
    <t>Branch</t>
  </si>
  <si>
    <t>Legal</t>
  </si>
  <si>
    <t>Internal Dept</t>
  </si>
  <si>
    <t>Contract Type</t>
  </si>
  <si>
    <t>Contract Name</t>
  </si>
  <si>
    <t>Internal Stakeholder</t>
  </si>
  <si>
    <t>Who With</t>
  </si>
  <si>
    <t>Commentary</t>
  </si>
  <si>
    <t>Medivet Group Limited</t>
  </si>
  <si>
    <t>Tu Sen</t>
  </si>
  <si>
    <t>n/a</t>
  </si>
  <si>
    <t>Procurement</t>
  </si>
  <si>
    <t>Outbound</t>
  </si>
  <si>
    <t>Charlotte</t>
  </si>
  <si>
    <t>Inbound</t>
  </si>
  <si>
    <t>Open</t>
  </si>
  <si>
    <t>Ref</t>
  </si>
  <si>
    <t>Andrew</t>
  </si>
  <si>
    <t>Overall Status</t>
  </si>
  <si>
    <t>Stage</t>
  </si>
  <si>
    <t>Received/Under Review</t>
  </si>
  <si>
    <t>Otherside</t>
  </si>
  <si>
    <t>Date of Update</t>
  </si>
  <si>
    <t>Comments</t>
  </si>
  <si>
    <t>Finance</t>
  </si>
  <si>
    <t>Bart Borms</t>
  </si>
  <si>
    <t>Integrations</t>
  </si>
  <si>
    <t>HR</t>
  </si>
  <si>
    <t>Chris Wright</t>
  </si>
  <si>
    <t>Services Agreement</t>
  </si>
  <si>
    <t>Novation Agreement</t>
  </si>
  <si>
    <t>IT</t>
  </si>
  <si>
    <t>Claire O'Connell</t>
  </si>
  <si>
    <t>Operations</t>
  </si>
  <si>
    <t>Acquisitions</t>
  </si>
  <si>
    <t>Charlotte Jennings</t>
  </si>
  <si>
    <t>Joey Kapf</t>
  </si>
  <si>
    <t>Nantwich Crewe Road</t>
  </si>
  <si>
    <t>Consultancy Agreement</t>
  </si>
  <si>
    <t>Roule Stam</t>
  </si>
  <si>
    <t>VPIS</t>
  </si>
  <si>
    <t xml:space="preserve">Adaptix </t>
  </si>
  <si>
    <t>RSPCA</t>
  </si>
  <si>
    <t>Supply Agreement</t>
  </si>
  <si>
    <t>Patrick Jubb</t>
  </si>
  <si>
    <t>Rebate Agreement</t>
  </si>
  <si>
    <t>Siemens Financial Services Limited</t>
  </si>
  <si>
    <t>Animalcare</t>
  </si>
  <si>
    <t>Sushil Melwani</t>
  </si>
  <si>
    <t xml:space="preserve">CACI </t>
  </si>
  <si>
    <t>Ryan Davies</t>
  </si>
  <si>
    <t>Blakemere</t>
  </si>
  <si>
    <t>Waiting for signature.</t>
  </si>
  <si>
    <t>Lintbells</t>
  </si>
  <si>
    <t xml:space="preserve">Vetoquinol </t>
  </si>
  <si>
    <t>Norbrook</t>
  </si>
  <si>
    <t xml:space="preserve">Otherside </t>
  </si>
  <si>
    <t>SaaS contract</t>
  </si>
  <si>
    <t>Service Contract</t>
  </si>
  <si>
    <t>Inspired Energy</t>
  </si>
  <si>
    <t>Lynda Church</t>
  </si>
  <si>
    <t xml:space="preserve">Elanco UK AH Limited  </t>
  </si>
  <si>
    <t>MSD</t>
  </si>
  <si>
    <t>Edenbridge</t>
  </si>
  <si>
    <t>EDF</t>
  </si>
  <si>
    <t>Utility contract</t>
  </si>
  <si>
    <t>Provided comments</t>
  </si>
  <si>
    <t>To review.</t>
  </si>
  <si>
    <t>Services Contract</t>
  </si>
  <si>
    <t>Waiting for comments.</t>
  </si>
  <si>
    <t>Reviewing contract</t>
  </si>
  <si>
    <t>William Hassall</t>
  </si>
  <si>
    <t>Vet CT</t>
  </si>
  <si>
    <t>John Beel</t>
  </si>
  <si>
    <t>Andrea Jefferys</t>
  </si>
  <si>
    <t>Andy Wiltshire</t>
  </si>
  <si>
    <t>Ladbrokes Betting &amp; Gaming Ltd</t>
  </si>
  <si>
    <t>Gem Rouse</t>
  </si>
  <si>
    <t>New contract to draft for services agreement between Edenbridge and Crayford Stadium to provide vet services to the dogs. Existing informal agreement. On HOLD until confirmed that this was commercially desired. 19/02 requested company details to start draft. 01/03 details recieved. 06/03 updated draft sent back. 12/03 Gem sent to other side for signing. 21/05 no update.</t>
  </si>
  <si>
    <t>Rebecca Morrisey</t>
  </si>
  <si>
    <t>Tony Parker</t>
  </si>
  <si>
    <t>Cats Protection</t>
  </si>
  <si>
    <t>DPA</t>
  </si>
  <si>
    <t>Giovanni Soliman</t>
  </si>
  <si>
    <t>DPA for review as a side to new informal agreement to provide services. 12/02 advised that it needed to be group level, not clinic level, and that only exec can sign. 29/02 Gio returned with amended terms for review. 01/03 I provided comments on DPA. 21/05 no update.</t>
  </si>
  <si>
    <t>Provided Comments</t>
  </si>
  <si>
    <t>Stripe</t>
  </si>
  <si>
    <t>Leominster</t>
  </si>
  <si>
    <t>19/02 Michael Hunt provided comments on the reason for a novation agreement 20/02 response to query other available options - Michael confirmed this is with the supplier to see if we can buy the equipment. 21/05 no update.</t>
  </si>
  <si>
    <t>Graham Oliver</t>
  </si>
  <si>
    <t>New consultancy agreement with GO. Amendments to template needed as he will be paid as a % of his revenue that he brings to the clinic. With Kurt to calculate the formula for payment to write into agreement. 26/02 initial draft and comments sent back to Andrea. 17/04 sent to GO for comments/signing. 21/05 GO returned with comments. Reviewed and saught instruction. Final instructions provided on 12/06 so comments sent back to GO's solicitors. 04/07 comments returned from solicitors. Awaiting instruction.</t>
  </si>
  <si>
    <t>Sussex Police</t>
  </si>
  <si>
    <t>West Byfleet</t>
  </si>
  <si>
    <t>Contract sent to us - advised to complete the review form and amend any terms that don't meet our standard rules of engagement. Once completed, we can complete our review. 18/05 BP chased. I advised we had not received the request form. BP cannot complete request form. ROD advisde to support and negotiate on commercial terms. Sent for signing</t>
  </si>
  <si>
    <t>PVA</t>
  </si>
  <si>
    <t>Service Level Agreement</t>
  </si>
  <si>
    <t>Dealing with requests for payment of existing obligations</t>
  </si>
  <si>
    <t xml:space="preserve">Medivet Group Limited </t>
  </si>
  <si>
    <t>VetIT</t>
  </si>
  <si>
    <t>Contract reviewed and comments made.</t>
  </si>
  <si>
    <t>Time Right Limited</t>
  </si>
  <si>
    <t>Requested instructions from Chris.</t>
  </si>
  <si>
    <t>Probo Medical</t>
  </si>
  <si>
    <t>CT servicing contract</t>
  </si>
  <si>
    <t>Provided comments.  Chased Sushil</t>
  </si>
  <si>
    <t>MRMC couriers</t>
  </si>
  <si>
    <t>Lab courier contract</t>
  </si>
  <si>
    <t>Comments provided.</t>
  </si>
  <si>
    <t>IM3</t>
  </si>
  <si>
    <t>Put on hold</t>
  </si>
  <si>
    <t>RSPCA SLA</t>
  </si>
  <si>
    <t>Teleconsult contract</t>
  </si>
  <si>
    <t>Humm</t>
  </si>
  <si>
    <t>Waiting for final commercial terms.</t>
  </si>
  <si>
    <t>Pageone</t>
  </si>
  <si>
    <t>14/03 request to assist novate contract. AN advised that we could not novate as company struck off, but we could enter a short form agreement to state that we are taking over the work. In the first instance, the business needs to confirm from procurement and IT that this is the preferred option. 18/03 Charlotte sent further clarification to Roule. 21/05 no update.</t>
  </si>
  <si>
    <t>Darwin Smith</t>
  </si>
  <si>
    <t>Agency Contract</t>
  </si>
  <si>
    <t>To have meeting with Patrick to discuss contract.</t>
  </si>
  <si>
    <t>Concur</t>
  </si>
  <si>
    <t xml:space="preserve">Al Gregory </t>
  </si>
  <si>
    <t>Airtricity</t>
  </si>
  <si>
    <t>Lurgan</t>
  </si>
  <si>
    <t>Facilities</t>
  </si>
  <si>
    <t>Locumbell</t>
  </si>
  <si>
    <t>Lisa Gray</t>
  </si>
  <si>
    <t>Waiting for confirmation document agreed.</t>
  </si>
  <si>
    <t>Vodafone</t>
  </si>
  <si>
    <t>Phone contract</t>
  </si>
  <si>
    <t>Metlife</t>
  </si>
  <si>
    <t>Life Insurance Contract</t>
  </si>
  <si>
    <t>CC to advise on DP provisions.</t>
  </si>
  <si>
    <t>Efficio</t>
  </si>
  <si>
    <t>SLA and T&amp;Cs</t>
  </si>
  <si>
    <t>Contract for Efficio services to review MGL and find efficiencies across finance/procurement. AN sent to CC on 09/06 to review. Comments sent to AN 12-06. Comments sent to BB 20/06.</t>
  </si>
  <si>
    <t>Hills</t>
  </si>
  <si>
    <t>Sale of Goods contract</t>
  </si>
  <si>
    <t>Extension Agreement</t>
  </si>
  <si>
    <t>Jayne Heywood</t>
  </si>
  <si>
    <t>To review extension agreement.</t>
  </si>
  <si>
    <t>Cowbridge</t>
  </si>
  <si>
    <t>Services agreement</t>
  </si>
  <si>
    <t>Streetvet</t>
  </si>
  <si>
    <t>(multi)</t>
  </si>
  <si>
    <t>Pro-bono Servuces Agreement</t>
  </si>
  <si>
    <t>Alexandra Borges</t>
  </si>
  <si>
    <t>Streetvet is a charity providing vet services to the animals of homeless people. This doucment is formalising an existing agreement.</t>
  </si>
  <si>
    <t>Lynda shared a folder with 6 contracts to review where the otherside amended our standard terms.</t>
  </si>
  <si>
    <t>Ladbrokes Betting &amp; Gaming Ltd - Services Agreement</t>
  </si>
  <si>
    <t>Cats Protection - DPA</t>
  </si>
  <si>
    <t>Siemens Financial Services Limited - Novation Agreement</t>
  </si>
  <si>
    <t>Graham Oliver - Consultancy Agreement</t>
  </si>
  <si>
    <t>Sussex Police - Services Agreement</t>
  </si>
  <si>
    <t>Pageone - Novation Agreement</t>
  </si>
  <si>
    <t>Efficio - SLA and T&amp;Cs</t>
  </si>
  <si>
    <t>Streetvet - Pro-bono Servuces Agreement</t>
  </si>
  <si>
    <t>Animalcare - Rebate Agreement</t>
  </si>
  <si>
    <t>Elanco UK AH Limited   - Rebate Agreement</t>
  </si>
  <si>
    <t>MSD - Supply Agreement</t>
  </si>
  <si>
    <t>Norbrook - Rebate Agreement</t>
  </si>
  <si>
    <t>Vetoquinol  - Rebate Agreement</t>
  </si>
  <si>
    <t>Drafted/Comments Sent</t>
  </si>
  <si>
    <t>Days with Legal</t>
  </si>
  <si>
    <t>Further/Final Review</t>
  </si>
  <si>
    <t>Counterparty Signature</t>
  </si>
  <si>
    <t>Internal Signature</t>
  </si>
  <si>
    <t>Closed</t>
  </si>
  <si>
    <t xml:space="preserve">New contract to draft for services agreement between Edenbridge and Crayford Stadium to provide vet services to the dogs. Existing informal agreement. </t>
  </si>
  <si>
    <t xml:space="preserve">New contract to draft for services agreement between Edenbridge and Crayford Stadium to provide vet services to the dogs. Existing informal agreement. On HOLD until confirmed that this was commercially desired. 19/02 requested company details to start draft. 01/03 details recieved. 06/03 updated draft sent back. </t>
  </si>
  <si>
    <t xml:space="preserve">New contract to draft for services agreement between Edenbridge and Crayford Stadium to provide vet services to the dogs. Existing informal agreement. On HOLD until confirmed that this was commercially desired. </t>
  </si>
  <si>
    <t xml:space="preserve">New contract to draft for services agreement between Edenbridge and Crayford Stadium to provide vet services to the dogs. Existing informal agreement. On HOLD until confirmed that this was commercially desired. 19/02 requested company details to start draft. </t>
  </si>
  <si>
    <t xml:space="preserve">New contract to draft for services agreement between Edenbridge and Crayford Stadium to provide vet services to the dogs. Existing informal agreement. On HOLD until confirmed that this was commercially desired. 19/02 requested company details to start draft. 01/03 details recieved. </t>
  </si>
  <si>
    <t xml:space="preserve">New contract to draft for services agreement between Edenbridge and Crayford Stadium to provide vet services to the dogs. Existing informal agreement. On HOLD until confirmed that this was commercially desired. 19/02 requested company details to start draft. 01/03 details recieved. 06/03 updated draft sent back. 12/03 Gem sent to other side for signing. </t>
  </si>
  <si>
    <t xml:space="preserve">DPA for review as a side to new informal agreement to provide services. 12/02 advised that it needed to be group level, not clinic level, and that only exec can sign. 29/02 Gio returned with amended terms for review. </t>
  </si>
  <si>
    <t xml:space="preserve">DPA for review as a side to new informal agreement to provide services. 12/02 advised that it needed to be group level, not clinic level, and that only exec can sign. </t>
  </si>
  <si>
    <t xml:space="preserve">19/02 Michael Hunt provided comments on the reason for a novation agreement </t>
  </si>
  <si>
    <t xml:space="preserve">New consultancy agreement with GO. Amendments to template needed as he will be paid as a % of his revenue that he brings to the clinic. </t>
  </si>
  <si>
    <t xml:space="preserve">New consultancy agreement with GO. Amendments to template needed as he will be paid as a % of his revenue that he brings to the clinic. With Kurt to calculate the formula for payment to write into agreement. </t>
  </si>
  <si>
    <t xml:space="preserve">New consultancy agreement with GO. Amendments to template needed as he will be paid as a % of his revenue that he brings to the clinic. With Kurt to calculate the formula for payment to write into agreement. 26/02 initial draft and comments sent back to Andrea. </t>
  </si>
  <si>
    <t xml:space="preserve">New consultancy agreement with GO. Amendments to template needed as he will be paid as a % of his revenue that he brings to the clinic. With Kurt to calculate the formula for payment to write into agreement. 26/02 initial draft and comments sent back to Andrea. 17/04 sent to GO for comments/signing. </t>
  </si>
  <si>
    <t xml:space="preserve">New consultancy agreement with GO. Amendments to template needed as he will be paid as a % of his revenue that he brings to the clinic. With Kurt to calculate the formula for payment to write into agreement. 26/02 initial draft and comments sent back to Andrea. 17/04 sent to GO for comments/signing. 21/05 GO returned with comments. Reviewed and saught instruction. </t>
  </si>
  <si>
    <t>New consultancy agreement with GO. Amendments to template needed as he will be paid as a % of his revenue that he brings to the clinic. With Kurt to calculate the formula for payment to write into agreement. 26/02 initial draft and comments sent back to Andrea. 17/04 sent to GO for comments/signing. 21/05 GO returned with comments. Reviewed and saught instruction. Final instructions provided on 12/06 so comments sent back to GO's solicitors.</t>
  </si>
  <si>
    <t xml:space="preserve">New consultancy agreement with GO. Amendments to template needed as he will be paid as a % of his revenue that he brings to the clinic. With Kurt to calculate the formula for payment to write into agreement. 26/02 initial draft and comments sent back to Andrea. 17/04 sent to GO for comments/signing. 21/05 GO returned with comments. Reviewed and saught instruction. Final instructions provided on 12/06 so comments sent back to GO's solicitors. 04/07 comments returned from solicitors. </t>
  </si>
  <si>
    <t xml:space="preserve">Contract sent to us - advised to complete the review form and amend any terms that don't meet our standard rules of engagement. Once completed, we can complete our review. 18/05 BP chased. I advised we had not received the request form. BP cannot complete request form. ROD advised to support and negotiate on commercial terms. </t>
  </si>
  <si>
    <t>Contract sent to us - advised to complete the review form and amend any terms that don't meet our standard rules of engagement. Once completed, we can complete our review. 18/05 BP chased. I advised we had not received the request form. BP cannot complete request form. ROD advised to support and negotiate on commercial terms. ROD sent comments back to me to review.</t>
  </si>
  <si>
    <t xml:space="preserve">Contract sent to us - advised to complete the review form and amend any terms that don't meet our standard rules of engagement. Once completed, we can complete our review. </t>
  </si>
  <si>
    <t xml:space="preserve">Contract sent to us - advised to complete the review form and amend any terms that don't meet our standard rules of engagement. Once completed, we can complete our review. 18/05 BP chased. I advised we had not received the request form. BP cannot complete request form. ROD advised to support and negotiate on commercial terms. ROD sent comments back to me to review. Comments sent to otherside. </t>
  </si>
  <si>
    <t>Contract sent to us - advised to complete the review form and amend any terms that don't meet our standard rules of engagement. Once completed, we can complete our review. 18/05 BP chased. I advised we had not received the request form. BP cannot complete request form. ROD advised to support and negotiate on commercial terms. ROD sent comments back to me to review. Comments sent to otherside. Comments agreed and sent for internal signing.</t>
  </si>
  <si>
    <t xml:space="preserve">14/03 request to assist novate contract. AN advised that we could not novate as company struck off, but we could enter a short form agreement to state that we are taking over the work. In the first instance, the business needs to confirm from procurement and IT that this is the preferred option. </t>
  </si>
  <si>
    <t xml:space="preserve">Contract for Efficio services to review MGL and find efficiencies across finance/procurement. AN sent to CC on 09/06 to review. Comments sent to AN 12-06. </t>
  </si>
  <si>
    <t xml:space="preserve">Contract for Efficio services to review MGL and find efficiencies across finance/procurement. AN sent to CC on 09/06 to review. </t>
  </si>
  <si>
    <t>Open Contracts</t>
  </si>
  <si>
    <t>Total Cycle Time</t>
  </si>
  <si>
    <t>Status</t>
  </si>
  <si>
    <t>KPMG</t>
  </si>
  <si>
    <t>Engagement Letter</t>
  </si>
  <si>
    <t>N/A</t>
  </si>
  <si>
    <t>AMCO CPM Solutions Limited</t>
  </si>
  <si>
    <t>Service Agreement</t>
  </si>
  <si>
    <t>ezofficesystems</t>
  </si>
  <si>
    <t>Barton Veterinary Center</t>
  </si>
  <si>
    <t>Software License and Support Agreement</t>
  </si>
  <si>
    <t>Kelly Gibbs</t>
  </si>
  <si>
    <t>Assumed Closed - Out for signing</t>
  </si>
  <si>
    <t>Cornerstone</t>
  </si>
  <si>
    <t>Ellie Sheridan-Swain</t>
  </si>
  <si>
    <t>Data Processing Agreement</t>
  </si>
  <si>
    <t>Fincloud Accountancy</t>
  </si>
  <si>
    <t>Saul Kelion</t>
  </si>
  <si>
    <t>NVS</t>
  </si>
  <si>
    <t>Extension to Supply Agreement</t>
  </si>
  <si>
    <t>No response from GS following initial questions</t>
  </si>
  <si>
    <t>Pet Cremation Services</t>
  </si>
  <si>
    <t>Georgiana Sandhu</t>
  </si>
  <si>
    <t>No response from CW following initial questions</t>
  </si>
  <si>
    <t>Grant Thornton</t>
  </si>
  <si>
    <t>Signal Pet X Ray</t>
  </si>
  <si>
    <t>Civvals</t>
  </si>
  <si>
    <t>PWC</t>
  </si>
  <si>
    <t>Engagement Letters x 3</t>
  </si>
  <si>
    <t>Consent Agreement</t>
  </si>
  <si>
    <t>Termination Letter</t>
  </si>
  <si>
    <t>IDEXX</t>
  </si>
  <si>
    <t>Secondment Letter</t>
  </si>
  <si>
    <t>Inrehearsal</t>
  </si>
  <si>
    <t>License Agreement</t>
  </si>
  <si>
    <t>Darren Shurmer</t>
  </si>
  <si>
    <t>HR put this project on hold.</t>
  </si>
  <si>
    <t>Vet Expo</t>
  </si>
  <si>
    <t>Foot Anstey</t>
  </si>
  <si>
    <t>Marketing</t>
  </si>
  <si>
    <t>Sponsorship Agreement</t>
  </si>
  <si>
    <t>Signed</t>
  </si>
  <si>
    <t>4Com</t>
  </si>
  <si>
    <t>White Horse</t>
  </si>
  <si>
    <t>Novation of Rental Agreement</t>
  </si>
  <si>
    <t>Assumed Closed - AN followed up with Michael on 17 June</t>
  </si>
  <si>
    <t>Grenke</t>
  </si>
  <si>
    <t>Riverside Vets Benfleet</t>
  </si>
  <si>
    <t xml:space="preserve">Hire Agreement </t>
  </si>
  <si>
    <t>Vet IT</t>
  </si>
  <si>
    <t>IT Services Agreement</t>
  </si>
  <si>
    <t>Rob Gilmore</t>
  </si>
  <si>
    <t>Business Integration Partners SpA</t>
  </si>
  <si>
    <t>Copthorne Vets</t>
  </si>
  <si>
    <t>Shrewsbury 24</t>
  </si>
  <si>
    <t>Client</t>
  </si>
  <si>
    <t>Referral Agreement</t>
  </si>
  <si>
    <t>Simon Cook</t>
  </si>
  <si>
    <t>Vets Now</t>
  </si>
  <si>
    <t>Stocton Vets</t>
  </si>
  <si>
    <t>Charlotte Morgan</t>
  </si>
  <si>
    <t xml:space="preserve">Assumed Closed - </t>
  </si>
  <si>
    <t>Dogwood Vets</t>
  </si>
  <si>
    <t>Assumed Closed - Comments with Kelly</t>
  </si>
  <si>
    <t>Vet Value LLP</t>
  </si>
  <si>
    <t>Peugeot Fleet</t>
  </si>
  <si>
    <t>Fleet Support Agreement</t>
  </si>
  <si>
    <t>Alenka Taylor</t>
  </si>
  <si>
    <t>Assumed Closed - AN followed with Michael on 17 June</t>
  </si>
  <si>
    <t>Hazlewoods</t>
  </si>
  <si>
    <t>NDA</t>
  </si>
  <si>
    <t>Aldwych</t>
  </si>
  <si>
    <t>Engagement letter: CMA</t>
  </si>
  <si>
    <t>ALP</t>
  </si>
  <si>
    <t>Gallagher</t>
  </si>
  <si>
    <t>Engagement Letter: Artemis DD</t>
  </si>
  <si>
    <t>Ben Hanning</t>
  </si>
  <si>
    <t>F Lex</t>
  </si>
  <si>
    <t>Recruitment Agreement</t>
  </si>
  <si>
    <t>St Runwalds Surgery</t>
  </si>
  <si>
    <t>Vets4Pets East Sheen</t>
  </si>
  <si>
    <t>Richmond 24 Hr</t>
  </si>
  <si>
    <t>OOH Agreement</t>
  </si>
  <si>
    <t>CVS</t>
  </si>
  <si>
    <t>Whitstable</t>
  </si>
  <si>
    <t>Vicky King</t>
  </si>
  <si>
    <t>Improve</t>
  </si>
  <si>
    <t>Simon Jersey</t>
  </si>
  <si>
    <t>Jessica Murray Keane</t>
  </si>
  <si>
    <t>Crewe Hall</t>
  </si>
  <si>
    <t>Joncon Ltd</t>
  </si>
  <si>
    <t>the 'consultancy agreement'/Variation</t>
  </si>
  <si>
    <t>Hive Digital Media LTD</t>
  </si>
  <si>
    <t>Umar</t>
  </si>
  <si>
    <t>ISVPS</t>
  </si>
  <si>
    <t xml:space="preserve">Graduate Recruitment </t>
  </si>
  <si>
    <t>Rhian Littles</t>
  </si>
  <si>
    <t>Rhian</t>
  </si>
  <si>
    <t xml:space="preserve">BNP Leasing </t>
  </si>
  <si>
    <t>Assisi (Tiptree)</t>
  </si>
  <si>
    <t>Sophie Harrington</t>
  </si>
  <si>
    <t>Pee Gee Ltd</t>
  </si>
  <si>
    <t>Stanhope Park</t>
  </si>
  <si>
    <t>Hire Agreement (washing machine)</t>
  </si>
  <si>
    <t xml:space="preserve">MSD </t>
  </si>
  <si>
    <t>Eran</t>
  </si>
  <si>
    <t xml:space="preserve">Pharma Supply Agreement </t>
  </si>
  <si>
    <t>Execution Version circulated</t>
  </si>
  <si>
    <t>Kebir house</t>
  </si>
  <si>
    <t xml:space="preserve">RSA </t>
  </si>
  <si>
    <t>Wear refferals Ltd</t>
  </si>
  <si>
    <t>Chester le Street</t>
  </si>
  <si>
    <t>Charlotte Stock</t>
  </si>
  <si>
    <t>Assumed Closed - Sent for signing</t>
  </si>
  <si>
    <t>Indigo Lighthouse GA</t>
  </si>
  <si>
    <t>Healthcare Plans</t>
  </si>
  <si>
    <t>Cain Richards</t>
  </si>
  <si>
    <t>Connectr</t>
  </si>
  <si>
    <t>SaaS</t>
  </si>
  <si>
    <t>Donna Cotton</t>
  </si>
  <si>
    <t>Donna</t>
  </si>
  <si>
    <t>Red Cross</t>
  </si>
  <si>
    <t>H&amp;S</t>
  </si>
  <si>
    <t>Training Services Agreement</t>
  </si>
  <si>
    <t>Chris Carter</t>
  </si>
  <si>
    <t>GoCardless</t>
  </si>
  <si>
    <t>Malthouse Vets</t>
  </si>
  <si>
    <t>Abzorb</t>
  </si>
  <si>
    <t xml:space="preserve">Torrington Orthapaedics </t>
  </si>
  <si>
    <t>Alessandro Salvetti</t>
  </si>
  <si>
    <t>Randalstown</t>
  </si>
  <si>
    <t xml:space="preserve">IDEX 360 Agreement </t>
  </si>
  <si>
    <t>Balleymena Grove</t>
  </si>
  <si>
    <t>Novation Letter</t>
  </si>
  <si>
    <t>Nottingham Student Union</t>
  </si>
  <si>
    <t>Boxclever</t>
  </si>
  <si>
    <t>Withy Grove Veterinary Clinic</t>
  </si>
  <si>
    <t>Rental Agreement</t>
  </si>
  <si>
    <t>Sophie De Blanc</t>
  </si>
  <si>
    <t>JLA</t>
  </si>
  <si>
    <t>Hire Agreement</t>
  </si>
  <si>
    <t>Linda Westbrook</t>
  </si>
  <si>
    <t>PEAC Ltd</t>
  </si>
  <si>
    <t>Kim Backler</t>
  </si>
  <si>
    <t>Redline Tele</t>
  </si>
  <si>
    <t>Ludlow</t>
  </si>
  <si>
    <t>Order form</t>
  </si>
  <si>
    <t>BNP Leasing (4Com)</t>
  </si>
  <si>
    <t>BNP Paribas Leasing Soloutions Limited</t>
  </si>
  <si>
    <t xml:space="preserve">Novation agreement </t>
  </si>
  <si>
    <t>Leominister</t>
  </si>
  <si>
    <t>Quadient</t>
  </si>
  <si>
    <t xml:space="preserve">Neofunds Franking Machine Agreement </t>
  </si>
  <si>
    <t>Vets4Pets Shrewsbury</t>
  </si>
  <si>
    <t>Other side</t>
  </si>
  <si>
    <t>Oakengates</t>
  </si>
  <si>
    <t>X Ray Loan Agreement</t>
  </si>
  <si>
    <t>OC</t>
  </si>
  <si>
    <t>Medivet not entering into financings</t>
  </si>
  <si>
    <t>Prima Vets</t>
  </si>
  <si>
    <t>Ashton</t>
  </si>
  <si>
    <t>Craig McDonald</t>
  </si>
  <si>
    <t>agreement executed 7.9.22</t>
  </si>
  <si>
    <t>EY</t>
  </si>
  <si>
    <t xml:space="preserve">Letter of Engagement </t>
  </si>
  <si>
    <t>Supreme Animal Foods</t>
  </si>
  <si>
    <t>New Cross</t>
  </si>
  <si>
    <t>Yasmin Hajji</t>
  </si>
  <si>
    <t>AN followed up on 12 Sept.</t>
  </si>
  <si>
    <t>Tower Leasing Limited</t>
  </si>
  <si>
    <t>Premier Vets (Low Fell)</t>
  </si>
  <si>
    <t xml:space="preserve">Royal Canin </t>
  </si>
  <si>
    <t xml:space="preserve">Supply Agreement </t>
  </si>
  <si>
    <t>Zen</t>
  </si>
  <si>
    <t>Barton Upon Humber</t>
  </si>
  <si>
    <t>Bee Safe</t>
  </si>
  <si>
    <t>Turner Duckworth</t>
  </si>
  <si>
    <t>Naming Services Agreement</t>
  </si>
  <si>
    <t>TVM</t>
  </si>
  <si>
    <t>Execution version with CW. AN followed up on 12 September</t>
  </si>
  <si>
    <t xml:space="preserve">Hills </t>
  </si>
  <si>
    <t>Elanco</t>
  </si>
  <si>
    <t>Pharma Supply Rebate Agreement</t>
  </si>
  <si>
    <t>Chris to send counterparty updated draft 14.9.22</t>
  </si>
  <si>
    <t>Virbac</t>
  </si>
  <si>
    <t>PTL Voice and Data</t>
  </si>
  <si>
    <t>draft still in negotiations</t>
  </si>
  <si>
    <t>Alexander Mann Solutions Limited (AMS)</t>
  </si>
  <si>
    <t>Ellie still budgeting and will revert when there are any instructions.  To chase HR.</t>
  </si>
  <si>
    <t>Deed of Novation</t>
  </si>
  <si>
    <t>The Hackney Vet Limited</t>
  </si>
  <si>
    <t>Baris Tarcan</t>
  </si>
  <si>
    <t>Ellie to provide instructions To chase HR.</t>
  </si>
  <si>
    <t>Closed 03/03/2023 after no updates. Sent to Linda for other side signing</t>
  </si>
  <si>
    <t>Quest Software</t>
  </si>
  <si>
    <t>Matthew Lindop</t>
  </si>
  <si>
    <t>signed on 31/10/22</t>
  </si>
  <si>
    <t>Minimum Order Agreement</t>
  </si>
  <si>
    <t>HOT in negotiations 01/11/22</t>
  </si>
  <si>
    <t>Grant Thornton (tax consultants)</t>
  </si>
  <si>
    <t>Jason Steinberg</t>
  </si>
  <si>
    <t>signed 4/11/22</t>
  </si>
  <si>
    <t>Northalleten</t>
  </si>
  <si>
    <t xml:space="preserve">Novation Agreement </t>
  </si>
  <si>
    <t xml:space="preserve">Closed 03/03/2023 after no updates. </t>
  </si>
  <si>
    <t>Vet Plus</t>
  </si>
  <si>
    <t>Karen Cook</t>
  </si>
  <si>
    <t>CC organising signature</t>
  </si>
  <si>
    <t>Dechra</t>
  </si>
  <si>
    <t>Solution IP Communications</t>
  </si>
  <si>
    <t>Ferring Street Vets</t>
  </si>
  <si>
    <t>Allesandro Salvetti</t>
  </si>
  <si>
    <t>Closed 03/03/2023 after no updates. Bart Signed sent back for cross signing</t>
  </si>
  <si>
    <t>Premier Vets</t>
  </si>
  <si>
    <t>Eran Goren</t>
  </si>
  <si>
    <t>Closed 03/03/2023 after no updates. Sent to Bart for signing</t>
  </si>
  <si>
    <t>Vidivet</t>
  </si>
  <si>
    <t>Patrick</t>
  </si>
  <si>
    <t>Completed.</t>
  </si>
  <si>
    <t>redcentric</t>
  </si>
  <si>
    <t>Javier Mestre</t>
  </si>
  <si>
    <t>VVS</t>
  </si>
  <si>
    <t>Claire advised letter no longer required as information provided.</t>
  </si>
  <si>
    <t>Alphatax</t>
  </si>
  <si>
    <t>Tax</t>
  </si>
  <si>
    <t>Darwin Cooper</t>
  </si>
  <si>
    <t>Acton Lane Vets</t>
  </si>
  <si>
    <t>Agency fee query</t>
  </si>
  <si>
    <t>Advice provided that standard Medivet fee could be provided.</t>
  </si>
  <si>
    <t>Dr Mitev</t>
  </si>
  <si>
    <t>Woodstock</t>
  </si>
  <si>
    <t>Partnership</t>
  </si>
  <si>
    <t>Deed of Retirement</t>
  </si>
  <si>
    <t>Andrew Tartaglia</t>
  </si>
  <si>
    <t>Sent to counterparty 11.8.22, Eran chased 21.9.22</t>
  </si>
  <si>
    <t>Dr Farid Rahman</t>
  </si>
  <si>
    <t>Oxted</t>
  </si>
  <si>
    <t>Deed of Adherence to Partnership</t>
  </si>
  <si>
    <t>Currently under review cross-orgranisation</t>
  </si>
  <si>
    <t>Lois Wilkie</t>
  </si>
  <si>
    <t>Cardiff Cat Clinic</t>
  </si>
  <si>
    <t>BPA</t>
  </si>
  <si>
    <t>Jose De Seica</t>
  </si>
  <si>
    <t>with Jose 18.8.22, Eran chased 21.9.22</t>
  </si>
  <si>
    <t>Egencia UK Limited</t>
  </si>
  <si>
    <t>draft in negotiations</t>
  </si>
  <si>
    <t>BDO</t>
  </si>
  <si>
    <t>Comments provided</t>
  </si>
  <si>
    <t>Charlotte Capstaff</t>
  </si>
  <si>
    <t>Transfer of Broadband</t>
  </si>
  <si>
    <t>8Advisory</t>
  </si>
  <si>
    <t>Kurt Tiedt</t>
  </si>
  <si>
    <t>Advice and KYC details provided.</t>
  </si>
  <si>
    <t>Viking</t>
  </si>
  <si>
    <t>Companion Care (Bicester) Limited</t>
  </si>
  <si>
    <t>Bicester</t>
  </si>
  <si>
    <t xml:space="preserve">Hendon </t>
  </si>
  <si>
    <t>Sale and purchase of Partnership share</t>
  </si>
  <si>
    <t>Andy Cresswell</t>
  </si>
  <si>
    <t>Completed</t>
  </si>
  <si>
    <t>Contingency Recovery Associates Limited</t>
  </si>
  <si>
    <t>Property</t>
  </si>
  <si>
    <t>Mayur Dasani</t>
  </si>
  <si>
    <t>Zenoffice</t>
  </si>
  <si>
    <t>Advice provided.  Waiting for resolution of increased fees.</t>
  </si>
  <si>
    <t>PDSA</t>
  </si>
  <si>
    <t>CC to complete</t>
  </si>
  <si>
    <t>Hastee</t>
  </si>
  <si>
    <t>James Dickins</t>
  </si>
  <si>
    <t>novation of existing agreement</t>
  </si>
  <si>
    <t xml:space="preserve">Intervet International B.V. </t>
  </si>
  <si>
    <t>Aimee Warner</t>
  </si>
  <si>
    <t>Requested Ops director to look into obtaining OOH for the Richmond branch.</t>
  </si>
  <si>
    <t>Andrew Nethercot</t>
  </si>
  <si>
    <t>Boehringer Ingelheim Animal Health</t>
  </si>
  <si>
    <t>Advice provided</t>
  </si>
  <si>
    <t>Littleover</t>
  </si>
  <si>
    <t xml:space="preserve">Suspension and investigation </t>
  </si>
  <si>
    <t>Karen Lynch</t>
  </si>
  <si>
    <t>Advised that immediate suspension not required and that full investigation undertaken before suspension</t>
  </si>
  <si>
    <t>BlueVenn</t>
  </si>
  <si>
    <t>Services Contract (renewal)</t>
  </si>
  <si>
    <t>Access/Ezipay</t>
  </si>
  <si>
    <t>Blakemere Vets has been acquired by Medivet and the contracts either need novating or ending and a new agreement in place. Access/Ezipay has contacted us to complete this.
Awaiting new trading agreement draft.
Send to Integrations for review before signing.</t>
  </si>
  <si>
    <t>Parkside Veterinary Centre Ltd</t>
  </si>
  <si>
    <t>Sutton Clinic</t>
  </si>
  <si>
    <t>Holly Smith</t>
  </si>
  <si>
    <t xml:space="preserve">Parkside want to utilise Sutton Clinic for OOH. </t>
  </si>
  <si>
    <t>FP</t>
  </si>
  <si>
    <t>Blakemere are purchasing their existing franking machine rather than novating the contract with FP. Sophie advised that Medivet don’t usually use franking machines, but Blakemere’s substantial use (and issues with the supply of stamps) means that there is actually a cost benefit to the purchase. 
Gemma Passant and Michael Hunt have both agreed that this can proceed.
Perform a contracts review and revert to AN.
Waiting on Cain to provide supporting documents.</t>
  </si>
  <si>
    <t>Maysor LLP</t>
  </si>
  <si>
    <t>Kensington</t>
  </si>
  <si>
    <t>Lease</t>
  </si>
  <si>
    <t>Steven Holley</t>
  </si>
  <si>
    <t>Provided advice on alterations clause and that structural alterations may be allowed with consent.</t>
  </si>
  <si>
    <t>Braid Lewis</t>
  </si>
  <si>
    <t>Lease Query</t>
  </si>
  <si>
    <t xml:space="preserve">Provided advise and waiting for follow up queries.  </t>
  </si>
  <si>
    <t>Bremner</t>
  </si>
  <si>
    <t>Colchester</t>
  </si>
  <si>
    <t>Query</t>
  </si>
  <si>
    <t xml:space="preserve">Drafted email response </t>
  </si>
  <si>
    <t>Absorb</t>
  </si>
  <si>
    <t>Brighouse</t>
  </si>
  <si>
    <t>Migration of Medivet Brighouse's broadband from Torrignton Orthapaoedics. Due to the time since the original contract signing, Abzorb are not willing to novate the existing agreement.</t>
  </si>
  <si>
    <t>White Horse/Lyneham</t>
  </si>
  <si>
    <t>Novation of telephony as branch not ready to transfer to preferred supplier. Current supplier will not change the name on the invoices without novating the contract.</t>
  </si>
  <si>
    <t>TBC</t>
  </si>
  <si>
    <t>Leomington 24</t>
  </si>
  <si>
    <t>Fiona Hawkins</t>
  </si>
  <si>
    <t>Closed after no response - External party wishing to use Leomington 24hr for OOH. Asked for details before snding out draft.</t>
  </si>
  <si>
    <t>TBC - Southport Vet clinic</t>
  </si>
  <si>
    <t>Alder 24</t>
  </si>
  <si>
    <t>Victoria Humphrey</t>
  </si>
  <si>
    <t>We have been approached by another Veterinary company to use our OOH services at Alder 24. CC - asked for details of company.</t>
  </si>
  <si>
    <t>Chris Hunter</t>
  </si>
  <si>
    <t>Lab Services</t>
  </si>
  <si>
    <t>NDA Agreement</t>
  </si>
  <si>
    <t>Laura Snowdon</t>
  </si>
  <si>
    <t>Dechra Veterinary Products Limited</t>
  </si>
  <si>
    <t>Waiting for execution copies.</t>
  </si>
  <si>
    <t>Frontier Economics</t>
  </si>
  <si>
    <t>To review ancillary documents</t>
  </si>
  <si>
    <t>Forest Vet Vendors</t>
  </si>
  <si>
    <t>Forest Vet</t>
  </si>
  <si>
    <t>Settlement Agreement</t>
  </si>
  <si>
    <t>Lucie Cooper</t>
  </si>
  <si>
    <t>Settlement of the reserved funds after acquisition.</t>
  </si>
  <si>
    <t>Grove Vets Vendors</t>
  </si>
  <si>
    <t>Grove Vets</t>
  </si>
  <si>
    <t>Monument Vendors</t>
  </si>
  <si>
    <t>Monument</t>
  </si>
  <si>
    <t>Premier/Lowfell</t>
  </si>
  <si>
    <t>Nextmune</t>
  </si>
  <si>
    <t>Signed by Bart.  Waiting for completed copy.</t>
  </si>
  <si>
    <t>Credit Safe</t>
  </si>
  <si>
    <t>Financial and compliance check</t>
  </si>
  <si>
    <t>Provided comments.</t>
  </si>
  <si>
    <t>Woodham Lane</t>
  </si>
  <si>
    <t>Advice</t>
  </si>
  <si>
    <t>Mubbashir Kahn</t>
  </si>
  <si>
    <t>advice no longer needed as accounts provided.</t>
  </si>
  <si>
    <t>Filter Digital</t>
  </si>
  <si>
    <t>Website Support Agreement</t>
  </si>
  <si>
    <t>Rethink</t>
  </si>
  <si>
    <t>Client review software contract</t>
  </si>
  <si>
    <t>Andy Creswell</t>
  </si>
  <si>
    <t>Scottish Power</t>
  </si>
  <si>
    <t>Dispute</t>
  </si>
  <si>
    <t>CC to follow up.</t>
  </si>
  <si>
    <t>Medical Physics Services</t>
  </si>
  <si>
    <t>Provision of Radiopharmaceuticals Contract</t>
  </si>
  <si>
    <t>Linneaus</t>
  </si>
  <si>
    <t>Calne and Lyneham</t>
  </si>
  <si>
    <t>Danielle Arlott</t>
  </si>
  <si>
    <t>Clane and Lyneham require OOH services and there are no Mediet 24 hr cnetres nearby. Linneaus wish to use their standard terms, which have been reviewed and sent for signing.</t>
  </si>
  <si>
    <t>PMS - providers</t>
  </si>
  <si>
    <t>Various</t>
  </si>
  <si>
    <t>Provided draft termination notice.</t>
  </si>
  <si>
    <t>Laurels Vendors</t>
  </si>
  <si>
    <t>Laurels</t>
  </si>
  <si>
    <t>Mews Vendors</t>
  </si>
  <si>
    <t>Mews</t>
  </si>
  <si>
    <t>VOGT Vendors</t>
  </si>
  <si>
    <t>VOGT</t>
  </si>
  <si>
    <t>Blagreaves Vendors</t>
  </si>
  <si>
    <t>Blagreaves</t>
  </si>
  <si>
    <t>Graduate Gala Agreemenrs</t>
  </si>
  <si>
    <t>Withy Grove Veterinary Clinic Vendors</t>
  </si>
  <si>
    <t>Kebir House Vendors</t>
  </si>
  <si>
    <t>Kebir House</t>
  </si>
  <si>
    <t>2 Vets Vendors</t>
  </si>
  <si>
    <t>2 Vets</t>
  </si>
  <si>
    <t>Fitzalan Vendors</t>
  </si>
  <si>
    <t>Fitzalan</t>
  </si>
  <si>
    <t>Suez</t>
  </si>
  <si>
    <t>TVCC Vendors</t>
  </si>
  <si>
    <t>TVCC</t>
  </si>
  <si>
    <t>Vu</t>
  </si>
  <si>
    <t>advice provided.</t>
  </si>
  <si>
    <t>Life Technologies Limited</t>
  </si>
  <si>
    <t>Sysmex</t>
  </si>
  <si>
    <t>Graduate Gala Agreements</t>
  </si>
  <si>
    <t>Event Contract</t>
  </si>
  <si>
    <t xml:space="preserve">Contracts reviewed and comments made </t>
  </si>
  <si>
    <t>Gemma Passant</t>
  </si>
  <si>
    <t>Provided advice and waiting for instructions</t>
  </si>
  <si>
    <t>Guildford</t>
  </si>
  <si>
    <t>Iqbal Gills</t>
  </si>
  <si>
    <t>Rent Review documents completed</t>
  </si>
  <si>
    <t>Harrow</t>
  </si>
  <si>
    <t>Termination letter signed.</t>
  </si>
  <si>
    <t>Labserve</t>
  </si>
  <si>
    <t>Lab</t>
  </si>
  <si>
    <t>Services contract</t>
  </si>
  <si>
    <t>Helen Taylor</t>
  </si>
  <si>
    <t>To seek signature.</t>
  </si>
  <si>
    <t>Welsh</t>
  </si>
  <si>
    <t>Enniskillen</t>
  </si>
  <si>
    <t>Disciplinary actions</t>
  </si>
  <si>
    <t>Charlotte Stoddard</t>
  </si>
  <si>
    <t>Drafted letter advising BP that he can work with restrictions pending the external investigations.</t>
  </si>
  <si>
    <t>Validium</t>
  </si>
  <si>
    <t>EAP Contract</t>
  </si>
  <si>
    <t>Ecoserve</t>
  </si>
  <si>
    <t>Cleaning Contract</t>
  </si>
  <si>
    <t>Advised Alan that contract does not need to be renewed.</t>
  </si>
  <si>
    <t>Anita James</t>
  </si>
  <si>
    <t>Maintenance dispute</t>
  </si>
  <si>
    <t>Diana Chamberlain</t>
  </si>
  <si>
    <t xml:space="preserve">Diana </t>
  </si>
  <si>
    <t>Steven Holley dealing.</t>
  </si>
  <si>
    <t>Holiday Inn</t>
  </si>
  <si>
    <t>Terms &amp; Conditions</t>
  </si>
  <si>
    <t>Laura Bates</t>
  </si>
  <si>
    <t>Chess</t>
  </si>
  <si>
    <t>Watford 24 Hr</t>
  </si>
  <si>
    <t>Becky Wallis</t>
  </si>
  <si>
    <t>Chelsea Allen</t>
  </si>
  <si>
    <t>Watford are trying to set up contracts with other vets who use Watford's OOH services. Template sent for completion and advice given RE costs.</t>
  </si>
  <si>
    <t>Pets Relaxed</t>
  </si>
  <si>
    <t>Ashton 24</t>
  </si>
  <si>
    <t>Pets relaxed</t>
  </si>
  <si>
    <t>OOH with Pets relaxed. Reviewed and passed back to Pets relaxed for signature. No response. Assumed closed</t>
  </si>
  <si>
    <t>Stevenage</t>
  </si>
  <si>
    <t>SPA</t>
  </si>
  <si>
    <t>Ben Robinson</t>
  </si>
  <si>
    <t>Ben</t>
  </si>
  <si>
    <t>Provided advice to Ben and waiting for follow up queries.</t>
  </si>
  <si>
    <t>UKAS</t>
  </si>
  <si>
    <t>Accreditation Customer agreement</t>
  </si>
  <si>
    <t>Brookmans Park</t>
  </si>
  <si>
    <t>Jemma Bickle</t>
  </si>
  <si>
    <t>Drafted termination agreement.  Waiting for confirmation to send.</t>
  </si>
  <si>
    <t>Vet Value LLP Vendors</t>
  </si>
  <si>
    <t>Shire Leasing</t>
  </si>
  <si>
    <t>Witten Park/Northam</t>
  </si>
  <si>
    <t>Aston Clinton Vendors</t>
  </si>
  <si>
    <t>Aston Clinton</t>
  </si>
  <si>
    <t>Emergency Vetcare Vendors</t>
  </si>
  <si>
    <t>Emergency Vetcare</t>
  </si>
  <si>
    <t>Valley Vets Vendors</t>
  </si>
  <si>
    <t>Valley Vets</t>
  </si>
  <si>
    <t>BSI</t>
  </si>
  <si>
    <t>ISO Assessment Services</t>
  </si>
  <si>
    <t>Chris to confirm if anything outstanding.</t>
  </si>
  <si>
    <t>Reliance</t>
  </si>
  <si>
    <t>Pioneer</t>
  </si>
  <si>
    <t>Be-Safe Technologies</t>
  </si>
  <si>
    <t xml:space="preserve">Animalcare/Ecuphar </t>
  </si>
  <si>
    <t>Tollbarn Vets</t>
  </si>
  <si>
    <t>completed</t>
  </si>
  <si>
    <t>BVA</t>
  </si>
  <si>
    <t>Tara Fell</t>
  </si>
  <si>
    <t>Provided advice on cancellation costs.</t>
  </si>
  <si>
    <t>Oldham</t>
  </si>
  <si>
    <t>Contract completed.</t>
  </si>
  <si>
    <t>MykindaCrowd</t>
  </si>
  <si>
    <t>Ambassor recruitment contract</t>
  </si>
  <si>
    <t>Provided advice that we can retain ambassadors after contract expiry.</t>
  </si>
  <si>
    <t xml:space="preserve">NEC </t>
  </si>
  <si>
    <t>Forest Vet/Maresfield</t>
  </si>
  <si>
    <t>I T Kalogera Vendors</t>
  </si>
  <si>
    <t>I T Kalogera</t>
  </si>
  <si>
    <t>Safenames</t>
  </si>
  <si>
    <t>Domain agreement</t>
  </si>
  <si>
    <t>For signature.</t>
  </si>
  <si>
    <t>Intra-group loan agreement</t>
  </si>
  <si>
    <t>CC to obtain signed documents.</t>
  </si>
  <si>
    <t>Marches Vets Vendors</t>
  </si>
  <si>
    <t>Marches Vets</t>
  </si>
  <si>
    <t>Walton Lodge Vendors</t>
  </si>
  <si>
    <t>Walton Lodge</t>
  </si>
  <si>
    <t>Blythewood</t>
  </si>
  <si>
    <t>Hillcrest Vendors</t>
  </si>
  <si>
    <t>Hillcrest</t>
  </si>
  <si>
    <t>Marcel Mulholland</t>
  </si>
  <si>
    <t>Lurgam Vets</t>
  </si>
  <si>
    <t>Tom Fitzsimons</t>
  </si>
  <si>
    <t>Ernst &amp; Young LLP</t>
  </si>
  <si>
    <t>Waiting for Jason to confirm final documents agreed.</t>
  </si>
  <si>
    <t>Vet Station Vendors</t>
  </si>
  <si>
    <t>Vet Station</t>
  </si>
  <si>
    <t>Improve International Limited</t>
  </si>
  <si>
    <t>Wet Lab services contract</t>
  </si>
  <si>
    <t>To review comments.</t>
  </si>
  <si>
    <t>Thermo Fisher Scientific</t>
  </si>
  <si>
    <t>Equipment renewal contract</t>
  </si>
  <si>
    <t>Assisi Vets Vendors</t>
  </si>
  <si>
    <t>Assisi Vets</t>
  </si>
  <si>
    <t>Woodley Equipment Company Ltd</t>
  </si>
  <si>
    <t>Stephen Putnam</t>
  </si>
  <si>
    <t>St Ives</t>
  </si>
  <si>
    <t>Employment</t>
  </si>
  <si>
    <t>Partnership Agreement</t>
  </si>
  <si>
    <t>Silva Correia</t>
  </si>
  <si>
    <t>Provided comments and suggested wording regarding settlement.</t>
  </si>
  <si>
    <t>Letter of Authority and Terms of Business</t>
  </si>
  <si>
    <t>Easy Direct Debit</t>
  </si>
  <si>
    <t>Indemnity</t>
  </si>
  <si>
    <t>To review documents regarding requirement to provide indemnity.</t>
  </si>
  <si>
    <t>Bytes</t>
  </si>
  <si>
    <t>Variation Agreement</t>
  </si>
  <si>
    <t>Chorley</t>
  </si>
  <si>
    <t>Cardiff Cat Clinic Vendors</t>
  </si>
  <si>
    <t>Chertsey Vets Vendors</t>
  </si>
  <si>
    <t>Chertsey Vets Limited</t>
  </si>
  <si>
    <t>Band Vets</t>
  </si>
  <si>
    <t>Betavet</t>
  </si>
  <si>
    <t>Rapier Communications</t>
  </si>
  <si>
    <t>Clients</t>
  </si>
  <si>
    <t>GL Hearn</t>
  </si>
  <si>
    <t>Business Rates Contract</t>
  </si>
  <si>
    <t xml:space="preserve">Beckerlegge and Waibel </t>
  </si>
  <si>
    <t>Thirsk</t>
  </si>
  <si>
    <t>Deed of Variation</t>
  </si>
  <si>
    <t>Engagement letter</t>
  </si>
  <si>
    <t>closed</t>
  </si>
  <si>
    <t>Waiting for signature.  Bart advised budget not available for this.</t>
  </si>
  <si>
    <t xml:space="preserve">MSDAH intervet </t>
  </si>
  <si>
    <t>Rebate Extension</t>
  </si>
  <si>
    <t>Rebate extension letter for checking</t>
  </si>
  <si>
    <t>G9 Chemicals Ltd</t>
  </si>
  <si>
    <t>SAP Concur</t>
  </si>
  <si>
    <t>SAP Concur Data Processing Agreement</t>
  </si>
  <si>
    <t>Al Drummond</t>
  </si>
  <si>
    <t xml:space="preserve">SAP Concur are amending their contracts to include the amended SCCs. </t>
  </si>
  <si>
    <t>Schouwstra</t>
  </si>
  <si>
    <t>Jose De Seica Ferreira</t>
  </si>
  <si>
    <t>To push back on requests to agreement.  Waiting for clarifications on working hours and visa issues.</t>
  </si>
  <si>
    <t>PJS Services</t>
  </si>
  <si>
    <t xml:space="preserve">PJS are hosting Lab Services new website and the T&amp;Cs need to be reviewed. T&amp;Cs reviewed and amends agreed with PJS. Waiting on start date from Laura. </t>
  </si>
  <si>
    <t xml:space="preserve">Duggan Veterinary Supplies  </t>
  </si>
  <si>
    <t>Rebate agreement for checking - should be standard template. Sent for signing.</t>
  </si>
  <si>
    <t>St Leonards</t>
  </si>
  <si>
    <t>Document signed</t>
  </si>
  <si>
    <t>Ferring Street</t>
  </si>
  <si>
    <t>Tyldesley and Standish</t>
  </si>
  <si>
    <t>Pype Hayes</t>
  </si>
  <si>
    <t>Zoetis</t>
  </si>
  <si>
    <t>Rebate Variation</t>
  </si>
  <si>
    <t>Rebate variation provided by Lintbells. Review completed and comments sent to Lintbells</t>
  </si>
  <si>
    <t>Hansa</t>
  </si>
  <si>
    <t>Chris Cools</t>
  </si>
  <si>
    <t>Negotiating NDA</t>
  </si>
  <si>
    <t>Pentex Property</t>
  </si>
  <si>
    <t>Support Centre</t>
  </si>
  <si>
    <t>Steven  Holley</t>
  </si>
  <si>
    <t>Cranbrook</t>
  </si>
  <si>
    <t>Employment and Earn Out dispute</t>
  </si>
  <si>
    <t>Silva</t>
  </si>
  <si>
    <t>Silva to obtain commercial instructions as to how to progress settlement.</t>
  </si>
  <si>
    <t>Arigon &amp; Florido</t>
  </si>
  <si>
    <t>Great Gaddesden</t>
  </si>
  <si>
    <t>Waiting for employment claim to be heard.</t>
  </si>
  <si>
    <t>College of Animal Welfare Limited</t>
  </si>
  <si>
    <t>Payment of invoice query</t>
  </si>
  <si>
    <t>Vicki Hale</t>
  </si>
  <si>
    <t>Drafted letter disputing liability.</t>
  </si>
  <si>
    <t>Champken</t>
  </si>
  <si>
    <t>Cardiff Gate</t>
  </si>
  <si>
    <t>Branch Parternship Agreement</t>
  </si>
  <si>
    <t>Partner withdrew from matter but may have meeting to convince him to proceed.</t>
  </si>
  <si>
    <t>Workday</t>
  </si>
  <si>
    <t>Helen Charles-Smith</t>
  </si>
  <si>
    <t>Waiting for Kainos scope.</t>
  </si>
  <si>
    <t>E-bate Limited</t>
  </si>
  <si>
    <t>Provided amended contract.</t>
  </si>
  <si>
    <t>Orcom Civvals Limited</t>
  </si>
  <si>
    <t>Requested instructions from Bart.</t>
  </si>
  <si>
    <t>Merkle</t>
  </si>
  <si>
    <t>MarTech contract</t>
  </si>
  <si>
    <t>Patel</t>
  </si>
  <si>
    <t>Pinner</t>
  </si>
  <si>
    <t>Branch Partnership Agreement</t>
  </si>
  <si>
    <t>Jurox</t>
  </si>
  <si>
    <t>Oxford Cat Clinic</t>
  </si>
  <si>
    <t>Bond Globat</t>
  </si>
  <si>
    <t>Rebecca Martin-Cortez</t>
  </si>
  <si>
    <t>Andy McVee</t>
  </si>
  <si>
    <t>Employment contract</t>
  </si>
  <si>
    <t>Waiting for signatories from BPs.</t>
  </si>
  <si>
    <t>Energy Meter contract</t>
  </si>
  <si>
    <t>Paul Salt</t>
  </si>
  <si>
    <t>To prepare for signing after details received.</t>
  </si>
  <si>
    <t>Croner-i</t>
  </si>
  <si>
    <t>Not required.</t>
  </si>
  <si>
    <t>ERM</t>
  </si>
  <si>
    <t>Alan Goddon</t>
  </si>
  <si>
    <t>Document provided to CVC for signature as they will pay costs.</t>
  </si>
  <si>
    <t>Village Hotels</t>
  </si>
  <si>
    <t>Meeting and Beds Contract</t>
  </si>
  <si>
    <t>Contract for hotel booking for graduate gala 2024.</t>
  </si>
  <si>
    <t>Prosper</t>
  </si>
  <si>
    <t>Rebate Agreement. Comments sent to Lynda.</t>
  </si>
  <si>
    <t>Whisker and Woof</t>
  </si>
  <si>
    <t>Beckenham 24</t>
  </si>
  <si>
    <t>Pamela Christie</t>
  </si>
  <si>
    <t>Incoming OOH agreement</t>
  </si>
  <si>
    <t>Agreement Addendum</t>
  </si>
  <si>
    <t>External</t>
  </si>
  <si>
    <t>Contract for the extension of using two machines/sample storers/testers in the lab. Life Technologies would not alter their standard terms. Negotiated a change in payment terms.</t>
  </si>
  <si>
    <t>Universiry of Surrey</t>
  </si>
  <si>
    <t>Wokingham</t>
  </si>
  <si>
    <t>Student training contract</t>
  </si>
  <si>
    <t>Dean</t>
  </si>
  <si>
    <t>Boroughbridge Vets Ltd</t>
  </si>
  <si>
    <t>Thirsk 24</t>
  </si>
  <si>
    <t>Sarah Beckerlegge</t>
  </si>
  <si>
    <t>Standard OOH agreement - Thirsk providing. Boroughbridge altered the terms to state referral, however, we require the terms to state OOH. Signed contract received on 27-07 and sent for countersignature from Andy Cresswell 27-07.</t>
  </si>
  <si>
    <t>Advance PM Ltd</t>
  </si>
  <si>
    <t xml:space="preserve">Leckhampton </t>
  </si>
  <si>
    <t>Construction Contract</t>
  </si>
  <si>
    <t>James Logan</t>
  </si>
  <si>
    <t>Ines Serrao</t>
  </si>
  <si>
    <t>Enfield</t>
  </si>
  <si>
    <t>BP not proceeding.</t>
  </si>
  <si>
    <t>Eight Advisory</t>
  </si>
  <si>
    <t>Spectrum</t>
  </si>
  <si>
    <t>Termination Advice</t>
  </si>
  <si>
    <t>Provided advice</t>
  </si>
  <si>
    <t>MML</t>
  </si>
  <si>
    <t>Evans</t>
  </si>
  <si>
    <t>Sutton Farm</t>
  </si>
  <si>
    <t>Clinical Breach letter</t>
  </si>
  <si>
    <t>Drafted letter.</t>
  </si>
  <si>
    <t>Evans Partnership</t>
  </si>
  <si>
    <t>Sara Glenworth</t>
  </si>
  <si>
    <t>Obtaining signature</t>
  </si>
  <si>
    <t>Pets Naturally</t>
  </si>
  <si>
    <t>Vethub</t>
  </si>
  <si>
    <t>Hackney</t>
  </si>
  <si>
    <t>Michael Hunt</t>
  </si>
  <si>
    <t>No longer required.</t>
  </si>
  <si>
    <t>Biogal</t>
  </si>
  <si>
    <t>CVC</t>
  </si>
  <si>
    <t>Exclusive supplier agreement</t>
  </si>
  <si>
    <t>Jessica Case</t>
  </si>
  <si>
    <t>Chanelle Pharma</t>
  </si>
  <si>
    <t>Vetark</t>
  </si>
  <si>
    <t>TriVantage</t>
  </si>
  <si>
    <t>Requested consultant use our standard form contract.</t>
  </si>
  <si>
    <t>Business Rates Contract addendum</t>
  </si>
  <si>
    <t>Greg Thompson</t>
  </si>
  <si>
    <t xml:space="preserve">Provided comments </t>
  </si>
  <si>
    <t>Northam</t>
  </si>
  <si>
    <t>Equipment Hire</t>
  </si>
  <si>
    <t>This is a low-value contract (£30 per month) for the hire of some in-house testing equipment for Medivet Northam.The supplier, Woodley Equipment Company Ltd, have agreed 45 day payment terms through invoicing, rather than a direct debit. However, the term is fixed for three years and early termination results in payment of the full fees for the 3 years.
We have been assured that branches have similar agreements and that the equipment is essential for the branch. Bart has approved so sent for signing.</t>
  </si>
  <si>
    <t>Methringham</t>
  </si>
  <si>
    <t>Termination advice</t>
  </si>
  <si>
    <t>Provided comments and requested further information</t>
  </si>
  <si>
    <t>Corpaul</t>
  </si>
  <si>
    <t>UCLan</t>
  </si>
  <si>
    <t>Mayo</t>
  </si>
  <si>
    <t>Provided advice on fifth year earnout.  Waiting for instructions.</t>
  </si>
  <si>
    <t>Dotdigital</t>
  </si>
  <si>
    <t>Waiting for signed documents</t>
  </si>
  <si>
    <t>GRG Executive Search</t>
  </si>
  <si>
    <t>Optimisely</t>
  </si>
  <si>
    <t>Millpleadge</t>
  </si>
  <si>
    <t>Vet Exchange</t>
  </si>
  <si>
    <t>HR mentoring Sass contract</t>
  </si>
  <si>
    <t>Waiting for service credit instructions.</t>
  </si>
  <si>
    <t>Vet Empowered Limited</t>
  </si>
  <si>
    <t>Coaching contract</t>
  </si>
  <si>
    <t>AQ Cardiology Ltd</t>
  </si>
  <si>
    <t>Alina Baldwin</t>
  </si>
  <si>
    <t>Hillside</t>
  </si>
  <si>
    <t>Assured Thought</t>
  </si>
  <si>
    <t>Delaware</t>
  </si>
  <si>
    <t>MSA and SOW</t>
  </si>
  <si>
    <t>No further instructions</t>
  </si>
  <si>
    <t>Pink Squid</t>
  </si>
  <si>
    <t>Onboarding contract</t>
  </si>
  <si>
    <t>Story Tellers</t>
  </si>
  <si>
    <t>Master Services Agreement</t>
  </si>
  <si>
    <t>Helen Joslin</t>
  </si>
  <si>
    <t>Forte</t>
  </si>
  <si>
    <t>Pet Vaccination Centre</t>
  </si>
  <si>
    <t>CVC Nottingham</t>
  </si>
  <si>
    <t>DNA Vets</t>
  </si>
  <si>
    <t>OOH Agreement between the two former clinics now owned by DNA vets. Cancelled.</t>
  </si>
  <si>
    <t>BIOMERIEUX</t>
  </si>
  <si>
    <t>Service Contract Renewal</t>
  </si>
  <si>
    <t>Contract for servicing of equipment at the lab. Auto-renews each year</t>
  </si>
  <si>
    <t>Safe4</t>
  </si>
  <si>
    <t>Break Advice</t>
  </si>
  <si>
    <t>Notice drafted and circulated.</t>
  </si>
  <si>
    <t>Dechra Veterinary Solutions Limited</t>
  </si>
  <si>
    <t>Rebate Extension on medivet standard letter. Sent for signing 17/10/2023</t>
  </si>
  <si>
    <t>Reputation</t>
  </si>
  <si>
    <t>Services Renewal Agreement</t>
  </si>
  <si>
    <t>Ecovardis</t>
  </si>
  <si>
    <t>Farmcare</t>
  </si>
  <si>
    <t>Matlock</t>
  </si>
  <si>
    <t>Termination letter</t>
  </si>
  <si>
    <t>Jenna Covill</t>
  </si>
  <si>
    <t>Letter provided.</t>
  </si>
  <si>
    <t>Star Storycrafters Ltd.</t>
  </si>
  <si>
    <t>Becky Robinson</t>
  </si>
  <si>
    <t>New agreement for a HR contractor on our standard terms. Checked and signed.</t>
  </si>
  <si>
    <t>Central CPD</t>
  </si>
  <si>
    <t>Julius Neuman</t>
  </si>
  <si>
    <t>Vets2YourPets</t>
  </si>
  <si>
    <t>Agreement with Vets2YourPets for them to provide promotion of Medivet to their clients. In return, Medivet will be available as a daytime premises for any referrals. Final version sent to JOB on 24/01/2024 for their comments</t>
  </si>
  <si>
    <t>Air Liquide</t>
  </si>
  <si>
    <t>Scott Millar</t>
  </si>
  <si>
    <t>Deed of variation provided</t>
  </si>
  <si>
    <t>DAC</t>
  </si>
  <si>
    <t>Geoff Potts</t>
  </si>
  <si>
    <t>Allstar</t>
  </si>
  <si>
    <t>Collateral Contract</t>
  </si>
  <si>
    <t>Johnson and Johnson</t>
  </si>
  <si>
    <t>New agreement with J&amp;J on their terms. Commercially agreed by Chris. Needed to update contact address and bank details etc. so returned. 01/02 received updated copy - checked and sent for signature.</t>
  </si>
  <si>
    <t>Chant</t>
  </si>
  <si>
    <t>Harriet Buller</t>
  </si>
  <si>
    <t>Suntera Trustees (Jersey) Limited</t>
  </si>
  <si>
    <t>Folkestone</t>
  </si>
  <si>
    <t xml:space="preserve">Surrender </t>
  </si>
  <si>
    <t>B &amp; J Properties (Harrogate) LimitedHarrogate</t>
  </si>
  <si>
    <t>Npower</t>
  </si>
  <si>
    <t>Real World</t>
  </si>
  <si>
    <t>Carol Cooke</t>
  </si>
  <si>
    <t>Experian</t>
  </si>
  <si>
    <t xml:space="preserve">Services Contract </t>
  </si>
  <si>
    <t>Comtract Ltd</t>
  </si>
  <si>
    <t>New consultancy agreement with Chris Macdonald of Comtract.</t>
  </si>
  <si>
    <t>Clare Renwick</t>
  </si>
  <si>
    <t>Sponsorship agreement with Virbac for a Medivet event. Template completed by Clare and sent to CC to review on 16/11</t>
  </si>
  <si>
    <t>Impington</t>
  </si>
  <si>
    <t>Claire Grimsley</t>
  </si>
  <si>
    <t>Standard contract on Linnaeus terms. Responded to Claire on 08/12 to say that only exec can sign and we need a write-enabled format to provide comments and add our branch details etc. 16/01 update - no reply from Claire yet. 19/01 word doc provided. 22/01 comments sent back to Linnaeus.</t>
  </si>
  <si>
    <t>Stormtech</t>
  </si>
  <si>
    <t>Top Employer</t>
  </si>
  <si>
    <t>Louisa Lahmar</t>
  </si>
  <si>
    <t>Advised contract no longer required.</t>
  </si>
  <si>
    <t>Hilton</t>
  </si>
  <si>
    <t>Forum booking contract</t>
  </si>
  <si>
    <t>Grainne Freeman</t>
  </si>
  <si>
    <t>Hilton Garden Inn</t>
  </si>
  <si>
    <t>Event Venue Hire Contract</t>
  </si>
  <si>
    <t>Halayne Junkere</t>
  </si>
  <si>
    <t>Contract for venue hire in Feb 2024. Met with Halayne 11/12 to clarify what we require to enable a review. This contract was forward along with another contract for venue hire. 04/01 Helen Joslin chased. 18-01 comments sent back to Halayne but advised this can be signed. Closed as not heard anything further.</t>
  </si>
  <si>
    <t>Holiday Inn Garforth</t>
  </si>
  <si>
    <t>Contract for venue hire in Feb 2024. Met with Halayne 11/12 to clarify what we require to enable a review. This contract was forward along with another contract for venue hire. 04/01 Helen Joslin chased. 18/01 comments sent back to Halayne. Closed as not heard anything further.</t>
  </si>
  <si>
    <t>Dogs Trust</t>
  </si>
  <si>
    <t>Leamington</t>
  </si>
  <si>
    <t>Veterinary Services Agreement</t>
  </si>
  <si>
    <t xml:space="preserve">Agreement with Dogs Trust on their terms for provision of standard veterinary services. Dogs Trust are approaching multiple clinics (not just Medivet) to enter into new terms to continue providing services to dogs at Dogs Trust. Deadline is 01/02/2024. Clinic sent price list to be added into contract on 19/01. </t>
  </si>
  <si>
    <t>Vet Services Contract</t>
  </si>
  <si>
    <t>Helen McMullen</t>
  </si>
  <si>
    <t>Advised no longer required</t>
  </si>
  <si>
    <t>Ritico and Duarte</t>
  </si>
  <si>
    <t>Camberwell</t>
  </si>
  <si>
    <t>Reena Patel</t>
  </si>
  <si>
    <t>Morar</t>
  </si>
  <si>
    <t>Andy McVey</t>
  </si>
  <si>
    <t>New agreement for the utility brokers. Comments provided 01/02. Returned for final review 12/02. Confirmed for signing 12/02.</t>
  </si>
  <si>
    <t>Advised support no longer required</t>
  </si>
  <si>
    <t>Flexible</t>
  </si>
  <si>
    <t>Saas benefits contract</t>
  </si>
  <si>
    <t>Ernst Young</t>
  </si>
  <si>
    <t>Confidentiality Agreement</t>
  </si>
  <si>
    <t xml:space="preserve">Confidentiality agreement with EY for providing analytical services to HR. </t>
  </si>
  <si>
    <t>Varian</t>
  </si>
  <si>
    <t>Farringdon</t>
  </si>
  <si>
    <t>Marshalls Vehicles</t>
  </si>
  <si>
    <t>Trial Agreement</t>
  </si>
  <si>
    <t>Anthony Roland</t>
  </si>
  <si>
    <t>Trial agreement for vehicles trackers. Comments sent back on 01/02. Need them to confirm how the installation fee is invoiced and change signatory to Helen C-S.</t>
  </si>
  <si>
    <t>Engage</t>
  </si>
  <si>
    <t xml:space="preserve">Engage are providing broker services for health insurance for employees. Their standard contract does not contain sufifcient DP provisions, so a separate DPA is required. </t>
  </si>
  <si>
    <t>Pet Blook Bank</t>
  </si>
  <si>
    <t>Asset Purchase Agreement</t>
  </si>
  <si>
    <t>Rhian Littlehales</t>
  </si>
  <si>
    <t>Rapp consultancy</t>
  </si>
  <si>
    <t>Stark Connect Limited</t>
  </si>
  <si>
    <t>Thorpe Bay</t>
  </si>
  <si>
    <t>Grace and Co</t>
  </si>
  <si>
    <t>To mark up contract</t>
  </si>
  <si>
    <t>Samuel Lippiatt</t>
  </si>
  <si>
    <t>Clawback Agreement</t>
  </si>
  <si>
    <t>James Stillman</t>
  </si>
  <si>
    <t>16/02 request for clawback agreement to pay new vets training contract from his old employer - standard template sent. Query returned as to whether template would work as they want to pay the old clinic. Advised this is not possible. James to query how we can pay the new vet and avoid tax issues. 22/03 Jason agreed Benefit in Kind can be paid by Medivet. James to complete usual template and returned to edit terms. 22/03 no longer required.</t>
  </si>
  <si>
    <t>Worldpay</t>
  </si>
  <si>
    <t>Sarah Carruthers</t>
  </si>
  <si>
    <t>Matter resolved.</t>
  </si>
  <si>
    <t>Summit</t>
  </si>
  <si>
    <t>16/02 (Fri) contract for new drugs supplier for review 19/02 (Mon) sent comments back to Lynda</t>
  </si>
  <si>
    <t>Reassure Limited</t>
  </si>
  <si>
    <t>Hyde</t>
  </si>
  <si>
    <t>Car Parking Licence</t>
  </si>
  <si>
    <t>No further legal assistance required.</t>
  </si>
  <si>
    <t>Tu Sen Tran</t>
  </si>
  <si>
    <t>19/02 TST requested review of the DP provisions in the stripe agreement. 21/02 comments sent back.</t>
  </si>
  <si>
    <t>Fencovis</t>
  </si>
  <si>
    <t>Rebate Amendment</t>
  </si>
  <si>
    <t>28/02 additional sku to be added to rebate amendment, updated T&amp;Cs. 05/03 reviewed and requested completion of missing details eg bank account. 18/03 completed doc returned and sent for signing. 18/03 signed</t>
  </si>
  <si>
    <t>xDesign</t>
  </si>
  <si>
    <t>Feldon</t>
  </si>
  <si>
    <t>North Yorkshire Police</t>
  </si>
  <si>
    <t>Helen McMullen/Sarah Beckerlegge</t>
  </si>
  <si>
    <t>06/03/2024 Contract came in to review 07/03 intial comments/questions sent 14/03 comments returned (during annual leave) 18/03 (returned from leave) further comments sent back to internal stakeholder. Advised that comments passed to otherside for review. 27/03 clinic advised that the police were told the terms were agreed during the bidding process, we advised that this was a miscommunication, and only specific information had been requested. Contract presents specific risks to the company so these needed to be approved by Andy C if we were to proceed. Sent to Andy C 11/04. 19/04 clinic chased, I chased Andy C. 25/04 Andy C replied. 30/04 further responses provided and approval requested. 07/05 and 08/05 clinic/ROD chased. 09/05 Rebecca Thorne returned with further questions for Andy C (which were responded to) but then went on annual leave. 15/05 chased. 20/05 chased - Rebecca confirmed that Andy C would need board approval due to the contract length and followed up on a response she had missed. I confirmed that Gio had approved the fixed prices for 4 years.</t>
  </si>
  <si>
    <t>Alex Llorens</t>
  </si>
  <si>
    <t>Forest Row</t>
  </si>
  <si>
    <t>OOH referral no longer going ahead</t>
  </si>
  <si>
    <t>BUPA</t>
  </si>
  <si>
    <t>Health Shield</t>
  </si>
  <si>
    <t>Contract for the supply of health benefits to all employees. Due to go live 01 June. Advised Tony that this may need to wait until TST's return due to the contract value. Tu Sen provide CC with comments on 08/04. CC sent comments (and DP comments) back to Tony on 16/04. 22/04 Health Shield returned with comments - we agreed. 08/05 Health SHield provided updated terms.</t>
  </si>
  <si>
    <t>Independent Vetcare Limited</t>
  </si>
  <si>
    <t>Wootton</t>
  </si>
  <si>
    <t>Independent Vetcare are updating their terms and have sent new agreements through to review. 20/03 I asked for clarification on these new terms and a copy of the old agreements so that I could compare the changes. 14/04 Old agreements provided.</t>
  </si>
  <si>
    <t>Wisbech</t>
  </si>
  <si>
    <t>Sutton</t>
  </si>
  <si>
    <t>Heacham</t>
  </si>
  <si>
    <t>MSD Animal Health</t>
  </si>
  <si>
    <t xml:space="preserve">03/05 contract received for review. 10/05 comments returned, queried payment schedule. Lynda confirmed this was agreeable. 15/05 Lynda sent for signature. 16/05 Bart flagged address was incorrect. Corrected version sent. </t>
  </si>
  <si>
    <t>Speakers Corner</t>
  </si>
  <si>
    <t>G4S</t>
  </si>
  <si>
    <t>Cash Services</t>
  </si>
  <si>
    <t>Daniela Carpiuc</t>
  </si>
  <si>
    <t xml:space="preserve">13/05 sent to TST to review, passed to Charlotte. 21/05 comments provided. </t>
  </si>
  <si>
    <t>Provided comments.  Tara to provide instructions.</t>
  </si>
  <si>
    <t>Cantelo</t>
  </si>
  <si>
    <t>Drafted documents.</t>
  </si>
  <si>
    <t>Statement of Work</t>
  </si>
  <si>
    <t>Hallmarq</t>
  </si>
  <si>
    <t>CT Contract</t>
  </si>
  <si>
    <t>Tom Felton</t>
  </si>
  <si>
    <t>Veolia</t>
  </si>
  <si>
    <t>Veolia made amendments to our standard NDA template. Dana asked for it to be reviewed and approved.</t>
  </si>
  <si>
    <t>Co-Sec</t>
  </si>
  <si>
    <t>New Contracts</t>
  </si>
  <si>
    <t>Closed Contracts</t>
  </si>
  <si>
    <t>Rolling Open Contracts</t>
  </si>
  <si>
    <t>Strike off applications made</t>
  </si>
  <si>
    <t>No. Struck off</t>
  </si>
  <si>
    <t>Filings</t>
  </si>
  <si>
    <t>Date of Fraud</t>
  </si>
  <si>
    <t>Date MGL made aware</t>
  </si>
  <si>
    <t>MGL colleague making notification</t>
  </si>
  <si>
    <t>Department impacted</t>
  </si>
  <si>
    <t>Details</t>
  </si>
  <si>
    <t>Loss suffered</t>
  </si>
  <si>
    <t>Actions Taken</t>
  </si>
  <si>
    <t>Tracey Hannell</t>
  </si>
  <si>
    <t>Payroll</t>
  </si>
  <si>
    <t>Fraululent email to change bank account details. This was not checked with the employee and the details were changed. Payment made to fraudulent account.</t>
  </si>
  <si>
    <t>1 month salary (amount TBC)</t>
  </si>
  <si>
    <t>Payroll to trace bank details to recover payments.
Process changed to confirm personal email address and confirm with colleague directly when a change in bank account is requested.</t>
  </si>
  <si>
    <t>Jan-Apr 2023</t>
  </si>
  <si>
    <t>Locums finance</t>
  </si>
  <si>
    <t xml:space="preserve">A locum has submitted several fraudulent invoices claiming shifts that she has not actually worked. These invoices have been paid. This was flagged after the locums dept asked the locum to start using the new form. </t>
  </si>
  <si>
    <t>Letter before claim sent to colleague. Ops to instruct debt collectors as no response received. Ops to inform the police.</t>
  </si>
  <si>
    <t>approx £10,000</t>
  </si>
  <si>
    <t xml:space="preserve">Letter before claim sent to colleague. </t>
  </si>
  <si>
    <t>Mumta Sharma</t>
  </si>
  <si>
    <t>Refunds</t>
  </si>
  <si>
    <t>There have been fraudulent refunds provided via the card terminals in a number of clustered clinics. The ROD/DOD suspect one nurse, who works across all these branches and was on shift during these refunds. Matter is still under investigation as of 25-01-2024.</t>
  </si>
  <si>
    <t>Still investigating. Suspect is on sick leave, so on hold until occupational health.</t>
  </si>
  <si>
    <t>Helen Orr</t>
  </si>
  <si>
    <t>Branch Partner charged with falsifying tuberculosis records by tagging animal as reactor.</t>
  </si>
  <si>
    <t>Awaiting prosecution for charge.</t>
  </si>
  <si>
    <t>Start Date</t>
  </si>
  <si>
    <t>Type of Work</t>
  </si>
  <si>
    <t>Legal Team Member</t>
  </si>
  <si>
    <t>Proposed End Date</t>
  </si>
  <si>
    <t>Completion Date</t>
  </si>
  <si>
    <t>Contact Name</t>
  </si>
  <si>
    <t>Policies &amp; Procedures</t>
  </si>
  <si>
    <t>Review the privacy and cookies policies that Eran has drafted/reviewed</t>
  </si>
  <si>
    <t>Template Documentation</t>
  </si>
  <si>
    <t>Create a template 'checklist' for contracts for departments to use prior to legal review</t>
  </si>
  <si>
    <t>Create external communication policy</t>
  </si>
  <si>
    <t>Revise Locum agency contract</t>
  </si>
  <si>
    <t>Conflict of Interest policy</t>
  </si>
  <si>
    <t>Anti-Bribery Policy</t>
  </si>
  <si>
    <t>Training Deed</t>
  </si>
  <si>
    <t>AI Policy</t>
  </si>
  <si>
    <t>Update to Rules of Engagement</t>
  </si>
  <si>
    <t>Update to External Comms policy</t>
  </si>
  <si>
    <t>Avg. Time w/Legal</t>
  </si>
  <si>
    <t>Avg. Total Cycle Time</t>
  </si>
  <si>
    <t>Avg. Time w/Stakeholder</t>
  </si>
  <si>
    <t>Medivet Group Holdings Limited</t>
  </si>
  <si>
    <t>Medivet Germany GmbH</t>
  </si>
  <si>
    <t>Hecate Bidco Limited</t>
  </si>
  <si>
    <t>Kebir House Veterinary Clinic Ltd</t>
  </si>
  <si>
    <t>Stanhope Park Veterinary Clinic Ltd</t>
  </si>
  <si>
    <t>Medviet Group Limited</t>
  </si>
  <si>
    <t>Medivet Group</t>
  </si>
  <si>
    <t>Medivet Group Limited, Northalleten</t>
  </si>
  <si>
    <t>medivet Group Limited</t>
  </si>
  <si>
    <t>Complete Animal Care</t>
  </si>
  <si>
    <t>AMCO CPM Solutions Limited - Service Agreement</t>
  </si>
  <si>
    <t>ezofficesystems - Software License and Support Agreement</t>
  </si>
  <si>
    <t>Cornerstone - Service Agreement</t>
  </si>
  <si>
    <t>Cornerstone - Data Processing Agreement</t>
  </si>
  <si>
    <t>Fincloud Accountancy - Engagement Letter</t>
  </si>
  <si>
    <t>NVS - Extension to Supply Agreement</t>
  </si>
  <si>
    <t>Pet Cremation Services - Services Agreement</t>
  </si>
  <si>
    <t>Grant Thornton - Engagement Letter</t>
  </si>
  <si>
    <t>Signal Pet X Ray - Services Agreement</t>
  </si>
  <si>
    <t>Civvals - Engagement Letter</t>
  </si>
  <si>
    <t>PWC - Engagement Letters x 3</t>
  </si>
  <si>
    <t>ezofficesystems - Consent Agreement</t>
  </si>
  <si>
    <t>ezofficesystems - Termination Letter</t>
  </si>
  <si>
    <t>IDEXX - Novation Agreement</t>
  </si>
  <si>
    <t>KPMG - Secondment Letter</t>
  </si>
  <si>
    <t>Inrehearsal - License Agreement</t>
  </si>
  <si>
    <t>Vet Expo - Sponsorship Agreement</t>
  </si>
  <si>
    <t>4Com - Novation of Rental Agreement</t>
  </si>
  <si>
    <t>Vet IT - IT Services Agreement</t>
  </si>
  <si>
    <t>Business Integration Partners SpA - Service Agreement</t>
  </si>
  <si>
    <t>Copthorne Vets - Referral Agreement</t>
  </si>
  <si>
    <t>Vets Now - License Agreement</t>
  </si>
  <si>
    <t>Peugeot Fleet - Fleet Support Agreement</t>
  </si>
  <si>
    <t>Hazlewoods - NDA</t>
  </si>
  <si>
    <t>Aldwych - Engagement letter: CMA</t>
  </si>
  <si>
    <t>ALP - Data Processing Agreement</t>
  </si>
  <si>
    <t>Gallagher - NDA</t>
  </si>
  <si>
    <t>Hazlewoods - Engagement Letter: Artemis DD</t>
  </si>
  <si>
    <t>F Lex - Recruitment Agreement</t>
  </si>
  <si>
    <t>Vets4Pets East Sheen - OOH Agreement</t>
  </si>
  <si>
    <t>CVS - OOH Agreement</t>
  </si>
  <si>
    <t>Improve - NDA</t>
  </si>
  <si>
    <t>Simon Jersey - NDA</t>
  </si>
  <si>
    <t>Joncon Ltd - the 'consultancy agreement'/Variation</t>
  </si>
  <si>
    <t>Hive Digital Media LTD - Consultancy Agreement</t>
  </si>
  <si>
    <t>ISVPS - NDA</t>
  </si>
  <si>
    <t>BNP Leasing  - Novation Agreement</t>
  </si>
  <si>
    <t>Pee Gee Ltd - Hire Agreement (washing machine)</t>
  </si>
  <si>
    <t xml:space="preserve">MSD  - Pharma Supply Agreement </t>
  </si>
  <si>
    <t>Pee Gee Ltd - Termination Letter</t>
  </si>
  <si>
    <t>RSA  - NDA</t>
  </si>
  <si>
    <t>Wear refferals Ltd - OOH Agreement</t>
  </si>
  <si>
    <t>Indigo Lighthouse GA - NDA</t>
  </si>
  <si>
    <t>VPIS - Services Agreement</t>
  </si>
  <si>
    <t>Connectr - SaaS</t>
  </si>
  <si>
    <t>Red Cross - Training Services Agreement</t>
  </si>
  <si>
    <t>GoCardless - NDA</t>
  </si>
  <si>
    <t>Malthouse Vets - OOH Agreement</t>
  </si>
  <si>
    <t>Abzorb - Service Agreement</t>
  </si>
  <si>
    <t xml:space="preserve">IDEXX - IDEX 360 Agreement </t>
  </si>
  <si>
    <t>IDEXX - Novation Letter</t>
  </si>
  <si>
    <t>Nottingham Student Union - Sponsorship Agreement</t>
  </si>
  <si>
    <t>Boxclever - Rental Agreement</t>
  </si>
  <si>
    <t>Boxclever - Termination Letter</t>
  </si>
  <si>
    <t>JLA - Hire Agreement</t>
  </si>
  <si>
    <t>JLA - Termination Letter</t>
  </si>
  <si>
    <t>PEAC Ltd - Novation Agreement</t>
  </si>
  <si>
    <t>Redline Tele - Order form</t>
  </si>
  <si>
    <t>BNP Leasing (4Com) - Novation Agreement</t>
  </si>
  <si>
    <t xml:space="preserve">BNP Paribas Leasing Soloutions Limited - Novation agreement </t>
  </si>
  <si>
    <t xml:space="preserve">Quadient - Neofunds Franking Machine Agreement </t>
  </si>
  <si>
    <t>Vets4Pets Shrewsbury - OOH Agreement</t>
  </si>
  <si>
    <t>Adaptix  - X Ray Loan Agreement</t>
  </si>
  <si>
    <t>Prima Vets - OOH Agreement</t>
  </si>
  <si>
    <t xml:space="preserve">EY - Letter of Engagement </t>
  </si>
  <si>
    <t>Supreme Animal Foods - Referral Agreement</t>
  </si>
  <si>
    <t>RSPCA - Services Agreement</t>
  </si>
  <si>
    <t>Tower Leasing Limited - Novation Agreement</t>
  </si>
  <si>
    <t xml:space="preserve">Royal Canin  - Supply Agreement </t>
  </si>
  <si>
    <t>Zen - Novation Agreement</t>
  </si>
  <si>
    <t>Bee Safe - Supply Agreement</t>
  </si>
  <si>
    <t>Turner Duckworth - Naming Services Agreement</t>
  </si>
  <si>
    <t>TVM - Rebate Agreement</t>
  </si>
  <si>
    <t>Hills  - Supply Agreement</t>
  </si>
  <si>
    <t>Elanco - Pharma Supply Rebate Agreement</t>
  </si>
  <si>
    <t>Virbac - Rebate Agreement</t>
  </si>
  <si>
    <t>PTL Voice and Data - Services Agreement</t>
  </si>
  <si>
    <t>Alexander Mann Solutions Limited (AMS) - Services Agreement</t>
  </si>
  <si>
    <t>4Com - Deed of Novation</t>
  </si>
  <si>
    <t>IDEXX - Termination Letter</t>
  </si>
  <si>
    <t>Baris Tarcan - Services Agreement</t>
  </si>
  <si>
    <t>Quest Software - Software License and Support Agreement</t>
  </si>
  <si>
    <t>Simon Jersey - Minimum Order Agreement</t>
  </si>
  <si>
    <t>Grant Thornton (tax consultants) - Services Agreement</t>
  </si>
  <si>
    <t xml:space="preserve">Quadient - Novation Agreement </t>
  </si>
  <si>
    <t>Vet Plus - Sponsorship Agreement</t>
  </si>
  <si>
    <t>Dechra - Sponsorship Agreement</t>
  </si>
  <si>
    <t>Solution IP Communications - Service Agreement</t>
  </si>
  <si>
    <t>Vidivet - Services Agreement</t>
  </si>
  <si>
    <t>redcentric - Services Agreement</t>
  </si>
  <si>
    <t>VVS - Services Agreement</t>
  </si>
  <si>
    <t>Alphatax - Software License and Support Agreement</t>
  </si>
  <si>
    <t>Darwin Cooper - Agency fee query</t>
  </si>
  <si>
    <t>Dr Mitev - Deed of Retirement</t>
  </si>
  <si>
    <t>Dr Farid Rahman - Deed of Adherence to Partnership</t>
  </si>
  <si>
    <t>Lois Wilkie - BPA</t>
  </si>
  <si>
    <t>Egencia UK Limited - Services Agreement</t>
  </si>
  <si>
    <t>BDO - Services Agreement</t>
  </si>
  <si>
    <t>Animalcare - Sponsorship Agreement</t>
  </si>
  <si>
    <t>Zen - Deed of Novation</t>
  </si>
  <si>
    <t>8Advisory - Engagement Letter</t>
  </si>
  <si>
    <t>Simon Jersey - Services Agreement</t>
  </si>
  <si>
    <t>Viking - Supply Agreement</t>
  </si>
  <si>
    <t>Companion Care (Bicester) Limited - OOH Agreement</t>
  </si>
  <si>
    <t xml:space="preserve"> - Sale and purchase of Partnership share</t>
  </si>
  <si>
    <t>Contingency Recovery Associates Limited - Services Agreement</t>
  </si>
  <si>
    <t>Zenoffice - Termination Letter</t>
  </si>
  <si>
    <t>PDSA - Services Agreement</t>
  </si>
  <si>
    <t>Hastee - Services Agreement</t>
  </si>
  <si>
    <t>MSD  - Supply Agreement</t>
  </si>
  <si>
    <t>Intervet International B.V.  - Services Agreement</t>
  </si>
  <si>
    <t xml:space="preserve"> - OOH Agreement</t>
  </si>
  <si>
    <t>CACI  - Services Agreement</t>
  </si>
  <si>
    <t>Boehringer Ingelheim Animal Health - NDA</t>
  </si>
  <si>
    <t xml:space="preserve"> - Suspension and investigation </t>
  </si>
  <si>
    <t>BlueVenn - Services Contract (renewal)</t>
  </si>
  <si>
    <t>Access/Ezipay - Services Agreement</t>
  </si>
  <si>
    <t>Parkside Veterinary Centre Ltd - OOH Agreement</t>
  </si>
  <si>
    <t>FP - Deed of Novation</t>
  </si>
  <si>
    <t>Maysor LLP - Lease</t>
  </si>
  <si>
    <t>Braid Lewis - Lease Query</t>
  </si>
  <si>
    <t>Bremner - Query</t>
  </si>
  <si>
    <t>Absorb - Services Agreement</t>
  </si>
  <si>
    <t>PEAC Ltd - Services Agreement</t>
  </si>
  <si>
    <t>TBC - OOH Agreement</t>
  </si>
  <si>
    <t>TBC - Southport Vet clinic - OOH Agreement</t>
  </si>
  <si>
    <t>Chris Hunter - NDA Agreement</t>
  </si>
  <si>
    <t>Dechra Veterinary Products Limited - Rebate Agreement</t>
  </si>
  <si>
    <t>Frontier Economics - Engagement Letter</t>
  </si>
  <si>
    <t>Forest Vet Vendors - Settlement Agreement</t>
  </si>
  <si>
    <t>Grove Vets Vendors - Settlement Agreement</t>
  </si>
  <si>
    <t>Monument Vendors - Settlement Agreement</t>
  </si>
  <si>
    <t>4Com - Services Agreement</t>
  </si>
  <si>
    <t>Nextmune - Rebate Agreement</t>
  </si>
  <si>
    <t>Credit Safe - Financial and compliance check</t>
  </si>
  <si>
    <t xml:space="preserve"> - Advice</t>
  </si>
  <si>
    <t>Filter Digital - Website Support Agreement</t>
  </si>
  <si>
    <t>Rethink - Client review software contract</t>
  </si>
  <si>
    <t>Scottish Power - Dispute</t>
  </si>
  <si>
    <t>Medical Physics Services - Provision of Radiopharmaceuticals Contract</t>
  </si>
  <si>
    <t>Linneaus - OOH Agreement</t>
  </si>
  <si>
    <t>PMS - providers - Advice</t>
  </si>
  <si>
    <t>Laurels Vendors - Settlement Agreement</t>
  </si>
  <si>
    <t>Mews Vendors - Settlement Agreement</t>
  </si>
  <si>
    <t>VOGT Vendors - Settlement Agreement</t>
  </si>
  <si>
    <t>Blagreaves Vendors - Settlement Agreement</t>
  </si>
  <si>
    <t>Graduate Gala Agreemenrs - Sponsorship Agreement</t>
  </si>
  <si>
    <t>Withy Grove Veterinary Clinic Vendors - Settlement Agreement</t>
  </si>
  <si>
    <t>Kebir House Vendors - Settlement Agreement</t>
  </si>
  <si>
    <t>2 Vets Vendors - Settlement Agreement</t>
  </si>
  <si>
    <t>Fitzalan Vendors - Settlement Agreement</t>
  </si>
  <si>
    <t>Suez - Services Agreement</t>
  </si>
  <si>
    <t>TVCC Vendors - Settlement Agreement</t>
  </si>
  <si>
    <t>Vu - Consultancy Agreement</t>
  </si>
  <si>
    <t>Life Technologies Limited - Services Agreement</t>
  </si>
  <si>
    <t>Sysmex - Services Agreement</t>
  </si>
  <si>
    <t>Graduate Gala Agreements - Event Contract</t>
  </si>
  <si>
    <t>MSD  - Sponsorship Agreement</t>
  </si>
  <si>
    <t>MSD  - Services Agreement</t>
  </si>
  <si>
    <t xml:space="preserve"> - Query</t>
  </si>
  <si>
    <t>Labserve - Services contract</t>
  </si>
  <si>
    <t>Welsh - Disciplinary actions</t>
  </si>
  <si>
    <t>Validium - EAP Contract</t>
  </si>
  <si>
    <t>Ecoserve - Cleaning Contract</t>
  </si>
  <si>
    <t>Anita James - Maintenance dispute</t>
  </si>
  <si>
    <t>Holiday Inn - Terms &amp; Conditions</t>
  </si>
  <si>
    <t>Chess - OOH Agreement</t>
  </si>
  <si>
    <t>Pets Relaxed - OOH Agreement</t>
  </si>
  <si>
    <t xml:space="preserve"> - SPA</t>
  </si>
  <si>
    <t>UKAS - Accreditation Customer agreement</t>
  </si>
  <si>
    <t>Brookmans Park - OOH Agreement</t>
  </si>
  <si>
    <t>Vet Value LLP Vendors - Settlement Agreement</t>
  </si>
  <si>
    <t>Shire Leasing - Services Agreement</t>
  </si>
  <si>
    <t>Aston Clinton Vendors - Settlement Agreement</t>
  </si>
  <si>
    <t>Emergency Vetcare Vendors - Settlement Agreement</t>
  </si>
  <si>
    <t>Valley Vets Vendors - Settlement Agreement</t>
  </si>
  <si>
    <t>BSI - ISO Assessment Services</t>
  </si>
  <si>
    <t>Reliance - Services Agreement</t>
  </si>
  <si>
    <t>Pioneer - Supply Agreement</t>
  </si>
  <si>
    <t>Be-Safe Technologies - Terms &amp; Conditions</t>
  </si>
  <si>
    <t>Animalcare/Ecuphar  - Supply Agreement</t>
  </si>
  <si>
    <t>Tollbarn Vets - OOH Agreement</t>
  </si>
  <si>
    <t>BVA - Sponsorship Agreement</t>
  </si>
  <si>
    <t>Oldham - Consultancy Agreement</t>
  </si>
  <si>
    <t>MykindaCrowd - Ambassor recruitment contract</t>
  </si>
  <si>
    <t>NEC  - Services Agreement</t>
  </si>
  <si>
    <t>I T Kalogera Vendors - Settlement Agreement</t>
  </si>
  <si>
    <t>Safenames - Domain agreement</t>
  </si>
  <si>
    <t xml:space="preserve"> - Intra-group loan agreement</t>
  </si>
  <si>
    <t>Marches Vets Vendors - Settlement Agreement</t>
  </si>
  <si>
    <t>Walton Lodge Vendors - Settlement Agreement</t>
  </si>
  <si>
    <t>Blythewood - OOH Agreement</t>
  </si>
  <si>
    <t>Hillcrest Vendors - Settlement Agreement</t>
  </si>
  <si>
    <t>Marcel Mulholland - BPA</t>
  </si>
  <si>
    <t>Ernst &amp; Young LLP - SaaS contract</t>
  </si>
  <si>
    <t>Vet Station Vendors - Settlement Agreement</t>
  </si>
  <si>
    <t>Improve International Limited - Wet Lab services contract</t>
  </si>
  <si>
    <t>Thermo Fisher Scientific - Equipment renewal contract</t>
  </si>
  <si>
    <t>Assisi Vets Vendors - Settlement Agreement</t>
  </si>
  <si>
    <t>Woodley Equipment Company Ltd - Service Contract</t>
  </si>
  <si>
    <t>Stephen Putnam - Partnership Agreement</t>
  </si>
  <si>
    <t>Inspired Energy - Letter of Authority and Terms of Business</t>
  </si>
  <si>
    <t>Easy Direct Debit - Indemnity</t>
  </si>
  <si>
    <t xml:space="preserve"> - Rebate Agreement</t>
  </si>
  <si>
    <t>Bytes - Variation Agreement</t>
  </si>
  <si>
    <t>Woodley Equipment Company Ltd - Services contract</t>
  </si>
  <si>
    <t>Cardiff Cat Clinic Vendors - Settlement Agreement</t>
  </si>
  <si>
    <t>Chertsey Vets Vendors - Settlement Agreement</t>
  </si>
  <si>
    <t>Band Vets - Settlement Agreement</t>
  </si>
  <si>
    <t>Betavet - Settlement Agreement</t>
  </si>
  <si>
    <t>Rapier Communications - Consultancy Agreement</t>
  </si>
  <si>
    <t>GL Hearn - Business Rates Contract</t>
  </si>
  <si>
    <t>Beckerlegge and Waibel  - Deed of Variation</t>
  </si>
  <si>
    <t>Viking - Variation Agreement</t>
  </si>
  <si>
    <t>MSDAH intervet  - Rebate Agreement</t>
  </si>
  <si>
    <t>Blakemere - Settlement Agreement</t>
  </si>
  <si>
    <t>Elanco UK AH Limited   - Rebate Extension</t>
  </si>
  <si>
    <t>G9 Chemicals Ltd - Rebate Extension</t>
  </si>
  <si>
    <t>SAP Concur - SAP Concur Data Processing Agreement</t>
  </si>
  <si>
    <t>Schouwstra - BPA</t>
  </si>
  <si>
    <t>PJS Services - Services Agreement</t>
  </si>
  <si>
    <t>Animalcare - Rebate Extension</t>
  </si>
  <si>
    <t>Dechra - Rebate Extension</t>
  </si>
  <si>
    <t>Duggan Veterinary Supplies   - Rebate Agreement</t>
  </si>
  <si>
    <t>St Leonards - Settlement Agreement</t>
  </si>
  <si>
    <t>MSD - Sponsorship Agreement</t>
  </si>
  <si>
    <t>Ferring Street - Settlement Agreement</t>
  </si>
  <si>
    <t>Tyldesley and Standish - Settlement Agreement</t>
  </si>
  <si>
    <t>Edenbridge - Settlement Agreement</t>
  </si>
  <si>
    <t>Pype Hayes - Settlement Agreement</t>
  </si>
  <si>
    <t>Zoetis - Rebate Extension</t>
  </si>
  <si>
    <t>Norbrook - Rebate Extension</t>
  </si>
  <si>
    <t>Vetoquinol  - Rebate Extension</t>
  </si>
  <si>
    <t>TVM - Rebate Extension</t>
  </si>
  <si>
    <t>Lintbells - Rebate Variation</t>
  </si>
  <si>
    <t>Hansa - NDA</t>
  </si>
  <si>
    <t>Pentex Property - Lease</t>
  </si>
  <si>
    <t xml:space="preserve"> - Employment and Earn Out dispute</t>
  </si>
  <si>
    <t>Arigon &amp; Florido - Employment and Earn Out dispute</t>
  </si>
  <si>
    <t>College of Animal Welfare Limited - Payment of invoice query</t>
  </si>
  <si>
    <t>Champken - Branch Parternship Agreement</t>
  </si>
  <si>
    <t>Workday - SaaS contract</t>
  </si>
  <si>
    <t>E-bate Limited - SaaS contract</t>
  </si>
  <si>
    <t>Orcom Civvals Limited - Engagement Letter</t>
  </si>
  <si>
    <t>Merkle - MarTech contract</t>
  </si>
  <si>
    <t>Patel - Branch Partnership Agreement</t>
  </si>
  <si>
    <t>Jurox - Rebate Extension</t>
  </si>
  <si>
    <t>Oxford Cat Clinic - Settlement Agreement</t>
  </si>
  <si>
    <t>Virbac - Rebate Extension</t>
  </si>
  <si>
    <t>Bond Globat - Recruitment Agreement</t>
  </si>
  <si>
    <t>Andy McVee - Employment contract</t>
  </si>
  <si>
    <t>EDF - Energy Meter contract</t>
  </si>
  <si>
    <t>Croner-i - Engagement Letter</t>
  </si>
  <si>
    <t>ERM - Services Agreement</t>
  </si>
  <si>
    <t>Village Hotels - Meeting and Beds Contract</t>
  </si>
  <si>
    <t>Prosper - Rebate Agreement</t>
  </si>
  <si>
    <t>Whisker and Woof - OOH Agreement</t>
  </si>
  <si>
    <t>Life Technologies Limited - Agreement Addendum</t>
  </si>
  <si>
    <t>MSD - Rebate Agreement</t>
  </si>
  <si>
    <t>Universiry of Surrey - Student training contract</t>
  </si>
  <si>
    <t>Dean - Variation Agreement</t>
  </si>
  <si>
    <t>Boroughbridge Vets Ltd - OOH Agreement</t>
  </si>
  <si>
    <t>Advance PM Ltd - Construction Contract</t>
  </si>
  <si>
    <t>Ines Serrao - Branch Partnership Agreement</t>
  </si>
  <si>
    <t>Eight Advisory - Engagement Letter</t>
  </si>
  <si>
    <t>Spectrum - Termination Advice</t>
  </si>
  <si>
    <t>MML - Services Contract</t>
  </si>
  <si>
    <t>Evans - Clinical Breach letter</t>
  </si>
  <si>
    <t>Evans Partnership - NDA</t>
  </si>
  <si>
    <t>Pets Naturally - Settlement Agreement</t>
  </si>
  <si>
    <t>Vethub - SaaS contract</t>
  </si>
  <si>
    <t>Biogal - Exclusive supplier agreement</t>
  </si>
  <si>
    <t>Chanelle Pharma - Rebate Extension</t>
  </si>
  <si>
    <t>Vetark - Rebate Extension</t>
  </si>
  <si>
    <t>Hackney - Settlement Agreement</t>
  </si>
  <si>
    <t>TriVantage - Consultancy Agreement</t>
  </si>
  <si>
    <t>GL Hearn - Business Rates Contract addendum</t>
  </si>
  <si>
    <t>Woodley Equipment Company Ltd - Equipment Hire</t>
  </si>
  <si>
    <t>PDSA - Termination advice</t>
  </si>
  <si>
    <t>Corpaul - Branch Partnership Agreement</t>
  </si>
  <si>
    <t>UCLan - Sponsorship Agreement</t>
  </si>
  <si>
    <t>Mayo - Variation Agreement</t>
  </si>
  <si>
    <t>Dotdigital - Services Contract</t>
  </si>
  <si>
    <t>GRG Executive Search - Engagement Letter</t>
  </si>
  <si>
    <t>Optimisely - Services Agreement</t>
  </si>
  <si>
    <t>Millpleadge - Rebate Agreement</t>
  </si>
  <si>
    <t>Vet Exchange - Rebate Agreement</t>
  </si>
  <si>
    <t>Connectr - HR mentoring Sass contract</t>
  </si>
  <si>
    <t>Vet Empowered Limited - Coaching contract</t>
  </si>
  <si>
    <t>AQ Cardiology Ltd - Consultancy Agreement</t>
  </si>
  <si>
    <t>Hillside - Settlement Agreement</t>
  </si>
  <si>
    <t>Assured Thought - Services Agreement</t>
  </si>
  <si>
    <t>Delaware - MSA and SOW</t>
  </si>
  <si>
    <t>Pink Squid - Onboarding contract</t>
  </si>
  <si>
    <t>Story Tellers - Master Services Agreement</t>
  </si>
  <si>
    <t>Forte - Rebate Agreement</t>
  </si>
  <si>
    <t>Pet Vaccination Centre - Settlement Agreement</t>
  </si>
  <si>
    <t>CVC Nottingham - Settlement Agreement</t>
  </si>
  <si>
    <t>DNA Vets - OOH Agreement</t>
  </si>
  <si>
    <t>BIOMERIEUX - Service Contract Renewal</t>
  </si>
  <si>
    <t>Safe4 - Rebate Agreement</t>
  </si>
  <si>
    <t>Spectrum - Break Advice</t>
  </si>
  <si>
    <t>Dechra Veterinary Solutions Limited - Rebate Extension</t>
  </si>
  <si>
    <t>Vet Plus - Rebate Extension</t>
  </si>
  <si>
    <t>Reputation - Services Renewal Agreement</t>
  </si>
  <si>
    <t>Ecovardis - Services Agreement</t>
  </si>
  <si>
    <t>Farmcare - Termination letter</t>
  </si>
  <si>
    <t>Star Storycrafters Ltd. - Consultancy Agreement</t>
  </si>
  <si>
    <t>Central CPD - Training Services Agreement</t>
  </si>
  <si>
    <t>Vets2YourPets - Services Agreement</t>
  </si>
  <si>
    <t>Air Liquide - Supply Agreement</t>
  </si>
  <si>
    <t>Scott Millar - SPA</t>
  </si>
  <si>
    <t>DAC - Services Agreement</t>
  </si>
  <si>
    <t>BlueVenn - Services Contract</t>
  </si>
  <si>
    <t>Geoff Potts - Variation Agreement</t>
  </si>
  <si>
    <t>Delaware - Services Contract</t>
  </si>
  <si>
    <t>Allstar - Collateral Contract</t>
  </si>
  <si>
    <t>Johnson and Johnson - Rebate Agreement</t>
  </si>
  <si>
    <t>Chant - Settlement Agreement</t>
  </si>
  <si>
    <t xml:space="preserve">Suntera Trustees (Jersey) Limited - Surrender </t>
  </si>
  <si>
    <t xml:space="preserve">B &amp; J Properties (Harrogate) LimitedHarrogate - Surrender </t>
  </si>
  <si>
    <t>Npower - Utility contract</t>
  </si>
  <si>
    <t>Real World - Consultancy Agreement</t>
  </si>
  <si>
    <t>Boehringer Ingelheim Animal Health - Sponsorship Agreement</t>
  </si>
  <si>
    <t xml:space="preserve">Experian - Services Contract </t>
  </si>
  <si>
    <t>Comtract Ltd - Consultancy Agreement</t>
  </si>
  <si>
    <t>Virbac - Sponsorship Agreement</t>
  </si>
  <si>
    <t>Stormtech - Services Contract</t>
  </si>
  <si>
    <t>Top Employer - Services Contract</t>
  </si>
  <si>
    <t>Hilton - Forum booking contract</t>
  </si>
  <si>
    <t>Hilton Garden Inn - Event Venue Hire Contract</t>
  </si>
  <si>
    <t>Holiday Inn Garforth - Event Venue Hire Contract</t>
  </si>
  <si>
    <t>Dogs Trust - Veterinary Services Agreement</t>
  </si>
  <si>
    <t>RSPCA - Vet Services Contract</t>
  </si>
  <si>
    <t>Ritico and Duarte - BPA</t>
  </si>
  <si>
    <t>Morar - Deed of Adherence to Partnership</t>
  </si>
  <si>
    <t>NVS - Termination Advice</t>
  </si>
  <si>
    <t>Vets Now - Termination Letter</t>
  </si>
  <si>
    <t>Flexible - Saas benefits contract</t>
  </si>
  <si>
    <t>BlueVenn - Services Agreement</t>
  </si>
  <si>
    <t>Ernst Young - Confidentiality Agreement</t>
  </si>
  <si>
    <t>Varian - Branch Partnership Agreement</t>
  </si>
  <si>
    <t>Marshalls Vehicles - Trial Agreement</t>
  </si>
  <si>
    <t>Engage - Data Processing Agreement</t>
  </si>
  <si>
    <t>Pet Blook Bank - Asset Purchase Agreement</t>
  </si>
  <si>
    <t>Rapp consultancy - Services Agreement</t>
  </si>
  <si>
    <t>Stark Connect Limited - Services Contract</t>
  </si>
  <si>
    <t>Grace and Co - Services Agreement</t>
  </si>
  <si>
    <t>Adaptix  - Services Contract</t>
  </si>
  <si>
    <t>Samuel Lippiatt - Clawback Agreement</t>
  </si>
  <si>
    <t>Dotdigital - Services Agreement</t>
  </si>
  <si>
    <t>Worldpay - Services Agreement</t>
  </si>
  <si>
    <t>EY - Engagement Letter</t>
  </si>
  <si>
    <t>Summit - Supply Agreement</t>
  </si>
  <si>
    <t>Reassure Limited - Car Parking Licence</t>
  </si>
  <si>
    <t>Stripe - DPA</t>
  </si>
  <si>
    <t>Fencovis - Rebate Amendment</t>
  </si>
  <si>
    <t>xDesign - Services Agreement</t>
  </si>
  <si>
    <t>Various - Branch Partnership Agreement</t>
  </si>
  <si>
    <t>North Yorkshire Police - Services Agreement</t>
  </si>
  <si>
    <t>Alex Llorens - Branch Partnership Agreement</t>
  </si>
  <si>
    <t>BUPA - Services Contract</t>
  </si>
  <si>
    <t>Health Shield - Services Agreement</t>
  </si>
  <si>
    <t>MSD Animal Health - Sponsorship Agreement</t>
  </si>
  <si>
    <t>Speakers Corner - Services Contract</t>
  </si>
  <si>
    <t>G4S - Cash Services</t>
  </si>
  <si>
    <t>Cantelo - Consultancy Agreement</t>
  </si>
  <si>
    <t>EY - Statement of Work</t>
  </si>
  <si>
    <t>Hallmarq - CT Contract</t>
  </si>
  <si>
    <t>Veolia - NDA</t>
  </si>
  <si>
    <t>Days with</t>
  </si>
  <si>
    <t>Engagement Letter 1</t>
  </si>
  <si>
    <t>Engagement Letter 2</t>
  </si>
  <si>
    <t>Engagement Letter 3</t>
  </si>
  <si>
    <t>Software License and Support Agreement 1</t>
  </si>
  <si>
    <t>Engagement Letter 4</t>
  </si>
  <si>
    <t>Hire Agreement 1</t>
  </si>
  <si>
    <t>Hire Agreement 2</t>
  </si>
  <si>
    <t>Hire Agreement 3</t>
  </si>
  <si>
    <t>Hire Agreement 4</t>
  </si>
  <si>
    <t>Novation Agreement 1</t>
  </si>
  <si>
    <t>Construction Contract 1</t>
  </si>
  <si>
    <t>Utility contract 1</t>
  </si>
  <si>
    <t>IDEX 360 Agreement 1</t>
  </si>
  <si>
    <t>Novation Letter 1</t>
  </si>
  <si>
    <t>OOH Agreement 1</t>
  </si>
  <si>
    <t>OOH Agreement 2</t>
  </si>
  <si>
    <t>OOH Agreement 3</t>
  </si>
  <si>
    <t>OOH Agreement 4</t>
  </si>
  <si>
    <t>Services Agreement 1</t>
  </si>
  <si>
    <t>Rebate Agreement 1</t>
  </si>
  <si>
    <t>Rebate Agreement 2</t>
  </si>
  <si>
    <t>Rebate Agreement 3</t>
  </si>
  <si>
    <t>Rebate Agreement 4</t>
  </si>
  <si>
    <t>Services Contract 1</t>
  </si>
  <si>
    <t>Consultancy Agreement 1</t>
  </si>
  <si>
    <t>Hire Agreement (washing machine) 1</t>
  </si>
  <si>
    <t>Termination Letter 1</t>
  </si>
  <si>
    <t>Deed of Novation 1</t>
  </si>
  <si>
    <t>Deed of Novation 2</t>
  </si>
  <si>
    <t>Deed of Novation 3</t>
  </si>
  <si>
    <t>Advance PM Ltd - Construction Contract 1</t>
  </si>
  <si>
    <t>BNP Leasing  - Novation Agreement 1</t>
  </si>
  <si>
    <t>DAC - Services Agreement 1</t>
  </si>
  <si>
    <t>DNA Vets - OOH Agreement 1</t>
  </si>
  <si>
    <t>EDF - Utility contract 1</t>
  </si>
  <si>
    <t>ezofficesystems - Consent Agreement 1</t>
  </si>
  <si>
    <t>Consent Agreement 1</t>
  </si>
  <si>
    <t>ezofficesystems - Software License and Support Agreement 1</t>
  </si>
  <si>
    <t>ezofficesystems - Termination Letter 1</t>
  </si>
  <si>
    <t>Grenke - Hire Agreement 1</t>
  </si>
  <si>
    <t>Grenke - Hire Agreement 2</t>
  </si>
  <si>
    <t>Grenke - Hire Agreement 3</t>
  </si>
  <si>
    <t>Grenke - Hire Agreement 4</t>
  </si>
  <si>
    <t>IDEXX - IDEX 360 Agreement 1</t>
  </si>
  <si>
    <t>IDEXX - Novation Letter 1</t>
  </si>
  <si>
    <t>Independent Vetcare Limited - OOH Agreement 1</t>
  </si>
  <si>
    <t>Independent Vetcare Limited - OOH Agreement 2</t>
  </si>
  <si>
    <t>Independent Vetcare Limited - OOH Agreement 3</t>
  </si>
  <si>
    <t>Independent Vetcare Limited - OOH Agreement 4</t>
  </si>
  <si>
    <t>Inspired Energy - Services Agreement 1</t>
  </si>
  <si>
    <t>Engagement letter 5</t>
  </si>
  <si>
    <t>KPMG - Engagement Letter 1</t>
  </si>
  <si>
    <t>KPMG - Engagement Letter 2</t>
  </si>
  <si>
    <t>KPMG - Engagement Letter 3</t>
  </si>
  <si>
    <t>KPMG - Engagement letter 5</t>
  </si>
  <si>
    <t>KPMG - Engagement Letter 4</t>
  </si>
  <si>
    <t>Linneaus - OOH Agreement 1</t>
  </si>
  <si>
    <t>Lintbells - Rebate Agreement 1</t>
  </si>
  <si>
    <t>Lintbells - Rebate Agreement 2</t>
  </si>
  <si>
    <t>Lintbells - Rebate Agreement 3</t>
  </si>
  <si>
    <t>Lintbells - Rebate Agreement 4</t>
  </si>
  <si>
    <t>MML - Services Contract 1</t>
  </si>
  <si>
    <t>Norbrook - Rebate Agreement 1</t>
  </si>
  <si>
    <t>Oldham - Consultancy Agreement 1</t>
  </si>
  <si>
    <t>Optimisely - Services Agreement 1</t>
  </si>
  <si>
    <t>Pee Gee Ltd - Hire Agreement (washing machine) 1</t>
  </si>
  <si>
    <t>Pee Gee Ltd - Termination Letter 1</t>
  </si>
  <si>
    <t>Prosper - Rebate Agreement 1</t>
  </si>
  <si>
    <t>redcentric - Services Agreement 1</t>
  </si>
  <si>
    <t>Order form 1</t>
  </si>
  <si>
    <t>Redline Tele - Order form 1</t>
  </si>
  <si>
    <t>Siemens Financial Services Limited - Deed of Novation 1</t>
  </si>
  <si>
    <t>Siemens Financial Services Limited - Deed of Novation 2</t>
  </si>
  <si>
    <t>Siemens Financial Services Limited - Deed of Novation 3</t>
  </si>
  <si>
    <t>Vet CT - Services Agreement 1</t>
  </si>
  <si>
    <t>Vetoquinol  - Rebate Agreement 1</t>
  </si>
  <si>
    <t>OOH Agreement 5</t>
  </si>
  <si>
    <t>Vets Now - OOH Agreement 1</t>
  </si>
  <si>
    <t>Vets Now - OOH Agreement 2</t>
  </si>
  <si>
    <t>Vets Now - OOH Agreement 3</t>
  </si>
  <si>
    <t>Vets Now - OOH Agreement 4</t>
  </si>
  <si>
    <t>Vets Now - OOH Agreement 5</t>
  </si>
  <si>
    <t>Vu - Consultancy Agreement 1</t>
  </si>
  <si>
    <t>Insert some comments here</t>
  </si>
  <si>
    <t>MSD - Test Contract</t>
  </si>
  <si>
    <t>Contracts - Count</t>
  </si>
  <si>
    <t>Contracts - Cycle Time</t>
  </si>
  <si>
    <t>Date</t>
  </si>
  <si>
    <t>N/a</t>
  </si>
  <si>
    <t>Rebate Agreement New</t>
  </si>
  <si>
    <t>Contract to review.</t>
  </si>
  <si>
    <t>MSD Animal Health - Rebate Agreement New</t>
  </si>
  <si>
    <t>PPL PRS</t>
  </si>
  <si>
    <t>Terms and Conditions</t>
  </si>
  <si>
    <t>Daniela Carpuic</t>
  </si>
  <si>
    <t xml:space="preserve">New contract with PPL PRS to create one group contract that covers all clinics, and removes the historical licenses from acquisitions. </t>
  </si>
  <si>
    <t>PPL PRS - Terms and Conditions</t>
  </si>
  <si>
    <t>Total</t>
  </si>
  <si>
    <t>Total Open Contracts</t>
  </si>
  <si>
    <t>Time w/Legal</t>
  </si>
  <si>
    <t>Time w/ Stakeholder</t>
  </si>
  <si>
    <t xml:space="preserve">Rolling Open </t>
  </si>
  <si>
    <t>Strike off applications</t>
  </si>
  <si>
    <t>No. with Legal</t>
  </si>
  <si>
    <t>No. with Others</t>
  </si>
  <si>
    <t>Lynda shared a folder with 6 contracts to review where the otherside amended our standard terms. Comments sent back to Lynda.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</si>
</sst>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6" formatCode="&quot;£&quot;#,##0;[Red]\-&quot;£&quot;#,##0"/>
    <numFmt numFmtId="8" formatCode="&quot;£&quot;#,##0.00;[Red]\-&quot;£&quot;#,##0.00"/>
  </numFmts>
  <fonts count="12" x14ac:knownFonts="1">
    <font>
      <sz val="11"/>
      <color theme="1"/>
      <name val="Arial"/>
      <family val="2"/>
      <scheme val="minor"/>
    </font>
    <font>
      <b/>
      <sz val="11"/>
      <color theme="0"/>
      <name val="Arial"/>
      <family val="2"/>
      <scheme val="minor"/>
    </font>
    <font>
      <sz val="10"/>
      <color theme="1"/>
      <name val="Arial"/>
      <family val="2"/>
      <scheme val="minor"/>
    </font>
    <font>
      <b/>
      <sz val="11"/>
      <color theme="1"/>
      <name val="Arial"/>
      <family val="2"/>
      <scheme val="minor"/>
    </font>
    <font>
      <sz val="8"/>
      <name val="Arial"/>
      <family val="2"/>
      <scheme val="minor"/>
    </font>
    <font>
      <sz val="12"/>
      <color rgb="FF000000"/>
      <name val="Arial"/>
      <family val="2"/>
      <scheme val="minor"/>
    </font>
    <font>
      <sz val="11"/>
      <name val="Arial"/>
      <family val="2"/>
      <scheme val="minor"/>
    </font>
    <font>
      <b/>
      <sz val="11"/>
      <name val="Arial"/>
      <family val="2"/>
      <scheme val="minor"/>
    </font>
    <font>
      <b/>
      <sz val="10"/>
      <name val="Arial"/>
      <family val="2"/>
      <scheme val="minor"/>
    </font>
    <font>
      <sz val="10"/>
      <name val="Arial"/>
      <family val="2"/>
      <scheme val="minor"/>
    </font>
    <font>
      <b/>
      <sz val="10"/>
      <color theme="0"/>
      <name val="Arial"/>
      <family val="2"/>
      <scheme val="minor"/>
    </font>
    <font>
      <sz val="10"/>
      <color rgb="FF000000"/>
      <name val="Arial"/>
      <family val="2"/>
    </font>
  </fonts>
  <fills count="14">
    <fill>
      <patternFill patternType="none"/>
    </fill>
    <fill>
      <patternFill patternType="gray125"/>
    </fill>
    <fill>
      <patternFill patternType="solid">
        <fgColor theme="0" tint="-0.14999847407452621"/>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0" tint="-0.14999847407452621"/>
        <bgColor rgb="FF000000"/>
      </patternFill>
    </fill>
    <fill>
      <patternFill patternType="solid">
        <fgColor theme="5"/>
        <bgColor indexed="64"/>
      </patternFill>
    </fill>
    <fill>
      <patternFill patternType="solid">
        <fgColor theme="5"/>
        <bgColor rgb="FF000000"/>
      </patternFill>
    </fill>
    <fill>
      <patternFill patternType="solid">
        <fgColor theme="5" tint="0.79998168889431442"/>
        <bgColor indexed="64"/>
      </patternFill>
    </fill>
    <fill>
      <patternFill patternType="solid">
        <fgColor theme="5" tint="0.79998168889431442"/>
        <bgColor rgb="FF000000"/>
      </patternFill>
    </fill>
    <fill>
      <patternFill patternType="solid">
        <fgColor theme="5" tint="0.59999389629810485"/>
        <bgColor indexed="64"/>
      </patternFill>
    </fill>
    <fill>
      <patternFill patternType="solid">
        <fgColor theme="5" tint="0.59999389629810485"/>
        <bgColor rgb="FF000000"/>
      </patternFill>
    </fill>
    <fill>
      <patternFill patternType="solid">
        <fgColor theme="5" tint="0.59999389629810485"/>
        <bgColor rgb="FF4F81BD"/>
      </patternFill>
    </fill>
    <fill>
      <patternFill patternType="solid">
        <fgColor theme="5" tint="0.59999389629810485"/>
        <bgColor theme="4"/>
      </patternFill>
    </fill>
  </fills>
  <borders count="17">
    <border>
      <left/>
      <right/>
      <top/>
      <bottom/>
      <diagonal/>
    </border>
    <border>
      <left/>
      <right/>
      <top style="thin">
        <color theme="4" tint="0.39997558519241921"/>
      </top>
      <bottom style="thin">
        <color theme="4" tint="0.39997558519241921"/>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s>
  <cellStyleXfs count="1">
    <xf numFmtId="0" fontId="0" fillId="0" borderId="0"/>
  </cellStyleXfs>
  <cellXfs count="103">
    <xf numFmtId="0" fontId="0" fillId="0" borderId="0" xfId="0"/>
    <xf numFmtId="0" fontId="0" fillId="0" borderId="2" xfId="0" applyBorder="1"/>
    <xf numFmtId="0" fontId="0" fillId="0" borderId="3" xfId="0" applyBorder="1"/>
    <xf numFmtId="0" fontId="0" fillId="0" borderId="4" xfId="0" applyBorder="1"/>
    <xf numFmtId="0" fontId="3" fillId="2" borderId="5" xfId="0" applyFont="1" applyFill="1" applyBorder="1"/>
    <xf numFmtId="0" fontId="3" fillId="2" borderId="6" xfId="0" applyFont="1" applyFill="1" applyBorder="1"/>
    <xf numFmtId="0" fontId="3" fillId="2" borderId="7" xfId="0" applyFont="1" applyFill="1" applyBorder="1"/>
    <xf numFmtId="0" fontId="1" fillId="3" borderId="1" xfId="0" applyFont="1" applyFill="1" applyBorder="1"/>
    <xf numFmtId="0" fontId="0" fillId="4" borderId="1" xfId="0" applyFill="1" applyBorder="1"/>
    <xf numFmtId="14" fontId="0" fillId="4" borderId="1" xfId="0" applyNumberFormat="1" applyFill="1" applyBorder="1"/>
    <xf numFmtId="0" fontId="0" fillId="0" borderId="1" xfId="0" applyBorder="1"/>
    <xf numFmtId="14" fontId="0" fillId="0" borderId="1" xfId="0" applyNumberFormat="1" applyBorder="1"/>
    <xf numFmtId="0" fontId="0" fillId="4" borderId="1" xfId="0" applyFill="1" applyBorder="1" applyAlignment="1">
      <alignment vertical="center"/>
    </xf>
    <xf numFmtId="0" fontId="5" fillId="0" borderId="1" xfId="0" applyFont="1" applyBorder="1"/>
    <xf numFmtId="0" fontId="6" fillId="0" borderId="1" xfId="0" applyFont="1" applyBorder="1" applyAlignment="1">
      <alignment horizontal="left" vertical="center"/>
    </xf>
    <xf numFmtId="0" fontId="6" fillId="4" borderId="1" xfId="0" applyFont="1" applyFill="1" applyBorder="1"/>
    <xf numFmtId="17" fontId="8" fillId="5" borderId="0" xfId="0" applyNumberFormat="1" applyFont="1" applyFill="1" applyAlignment="1">
      <alignment horizontal="left"/>
    </xf>
    <xf numFmtId="0" fontId="8" fillId="0" borderId="0" xfId="0" applyFont="1" applyAlignment="1">
      <alignment horizontal="left"/>
    </xf>
    <xf numFmtId="0" fontId="9" fillId="0" borderId="0" xfId="0" applyFont="1" applyAlignment="1">
      <alignment horizontal="center" vertical="center"/>
    </xf>
    <xf numFmtId="0" fontId="9" fillId="0" borderId="0" xfId="0" applyFont="1" applyAlignment="1">
      <alignment horizontal="center"/>
    </xf>
    <xf numFmtId="0" fontId="9" fillId="0" borderId="0" xfId="0" applyFont="1" applyAlignment="1">
      <alignment horizontal="left"/>
    </xf>
    <xf numFmtId="0" fontId="8" fillId="0" borderId="0" xfId="0" applyFont="1" applyAlignment="1">
      <alignment horizontal="center"/>
    </xf>
    <xf numFmtId="17" fontId="8" fillId="2" borderId="0" xfId="0" applyNumberFormat="1" applyFont="1" applyFill="1" applyAlignment="1">
      <alignment horizontal="left"/>
    </xf>
    <xf numFmtId="0" fontId="2" fillId="0" borderId="0" xfId="0" applyFont="1"/>
    <xf numFmtId="0" fontId="6" fillId="0" borderId="0" xfId="0" applyFont="1"/>
    <xf numFmtId="0" fontId="6" fillId="0" borderId="10" xfId="0" applyFont="1" applyBorder="1"/>
    <xf numFmtId="0" fontId="6" fillId="0" borderId="3" xfId="0" applyFont="1" applyBorder="1"/>
    <xf numFmtId="0" fontId="6" fillId="0" borderId="11" xfId="0" applyFont="1" applyBorder="1"/>
    <xf numFmtId="0" fontId="9" fillId="0" borderId="10" xfId="0" applyFont="1" applyBorder="1"/>
    <xf numFmtId="0" fontId="9" fillId="0" borderId="3" xfId="0" applyFont="1" applyBorder="1"/>
    <xf numFmtId="0" fontId="9" fillId="0" borderId="11" xfId="0" applyFont="1" applyBorder="1"/>
    <xf numFmtId="14" fontId="9" fillId="0" borderId="12" xfId="0" applyNumberFormat="1" applyFont="1" applyBorder="1"/>
    <xf numFmtId="0" fontId="9" fillId="0" borderId="9" xfId="0" applyFont="1" applyBorder="1"/>
    <xf numFmtId="14" fontId="9" fillId="0" borderId="9" xfId="0" applyNumberFormat="1" applyFont="1" applyBorder="1"/>
    <xf numFmtId="0" fontId="9" fillId="0" borderId="13" xfId="0" applyFont="1" applyBorder="1"/>
    <xf numFmtId="14" fontId="9" fillId="0" borderId="14" xfId="0" applyNumberFormat="1" applyFont="1" applyBorder="1"/>
    <xf numFmtId="0" fontId="9" fillId="0" borderId="15" xfId="0" applyFont="1" applyBorder="1"/>
    <xf numFmtId="14" fontId="9" fillId="0" borderId="15" xfId="0" applyNumberFormat="1" applyFont="1" applyBorder="1"/>
    <xf numFmtId="0" fontId="9" fillId="0" borderId="16" xfId="0" applyFont="1" applyBorder="1"/>
    <xf numFmtId="0" fontId="9" fillId="0" borderId="12" xfId="0" applyFont="1" applyBorder="1"/>
    <xf numFmtId="1" fontId="9" fillId="0" borderId="13" xfId="0" applyNumberFormat="1" applyFont="1" applyBorder="1"/>
    <xf numFmtId="0" fontId="9" fillId="0" borderId="14" xfId="0" applyFont="1" applyBorder="1"/>
    <xf numFmtId="1" fontId="9" fillId="0" borderId="16" xfId="0" applyNumberFormat="1" applyFont="1" applyBorder="1"/>
    <xf numFmtId="14" fontId="7" fillId="0" borderId="3" xfId="0" applyNumberFormat="1" applyFont="1" applyBorder="1"/>
    <xf numFmtId="0" fontId="7" fillId="0" borderId="3" xfId="0" applyFont="1" applyBorder="1"/>
    <xf numFmtId="0" fontId="7" fillId="0" borderId="11" xfId="0" applyFont="1" applyBorder="1"/>
    <xf numFmtId="0" fontId="9" fillId="0" borderId="0" xfId="0" applyFont="1"/>
    <xf numFmtId="0" fontId="9" fillId="0" borderId="0" xfId="0" applyFont="1" applyAlignment="1">
      <alignment horizontal="left" vertical="center"/>
    </xf>
    <xf numFmtId="1" fontId="9" fillId="0" borderId="0" xfId="0" applyNumberFormat="1" applyFont="1" applyAlignment="1">
      <alignment horizontal="center" vertical="center"/>
    </xf>
    <xf numFmtId="14" fontId="1" fillId="3" borderId="8" xfId="0" applyNumberFormat="1" applyFont="1" applyFill="1" applyBorder="1"/>
    <xf numFmtId="14" fontId="0" fillId="4" borderId="8" xfId="0" applyNumberFormat="1" applyFill="1" applyBorder="1"/>
    <xf numFmtId="14" fontId="0" fillId="0" borderId="8" xfId="0" applyNumberFormat="1" applyBorder="1"/>
    <xf numFmtId="14" fontId="9" fillId="0" borderId="12" xfId="0" applyNumberFormat="1" applyFont="1" applyBorder="1" applyAlignment="1">
      <alignment horizontal="left" vertical="top" wrapText="1"/>
    </xf>
    <xf numFmtId="14" fontId="9" fillId="0" borderId="9" xfId="0" applyNumberFormat="1" applyFont="1" applyBorder="1" applyAlignment="1">
      <alignment horizontal="left" vertical="top" wrapText="1"/>
    </xf>
    <xf numFmtId="0" fontId="9" fillId="0" borderId="9" xfId="0" applyFont="1" applyBorder="1" applyAlignment="1">
      <alignment horizontal="left" vertical="top" wrapText="1"/>
    </xf>
    <xf numFmtId="0" fontId="9" fillId="0" borderId="13" xfId="0" applyFont="1" applyBorder="1" applyAlignment="1">
      <alignment horizontal="left" vertical="top" wrapText="1"/>
    </xf>
    <xf numFmtId="0" fontId="9" fillId="0" borderId="12" xfId="0" applyFont="1" applyBorder="1" applyAlignment="1">
      <alignment horizontal="left" vertical="top" wrapText="1"/>
    </xf>
    <xf numFmtId="17" fontId="9" fillId="0" borderId="9" xfId="0" applyNumberFormat="1" applyFont="1" applyBorder="1" applyAlignment="1">
      <alignment horizontal="left" vertical="top" wrapText="1"/>
    </xf>
    <xf numFmtId="8" fontId="9" fillId="0" borderId="9" xfId="0" applyNumberFormat="1" applyFont="1" applyBorder="1" applyAlignment="1">
      <alignment horizontal="left" vertical="top" wrapText="1"/>
    </xf>
    <xf numFmtId="17" fontId="9" fillId="0" borderId="12" xfId="0" applyNumberFormat="1" applyFont="1" applyBorder="1" applyAlignment="1">
      <alignment horizontal="left" vertical="top" wrapText="1"/>
    </xf>
    <xf numFmtId="6" fontId="9" fillId="0" borderId="9" xfId="0" applyNumberFormat="1" applyFont="1" applyBorder="1" applyAlignment="1">
      <alignment horizontal="left" vertical="top" wrapText="1"/>
    </xf>
    <xf numFmtId="14" fontId="9" fillId="0" borderId="14" xfId="0" applyNumberFormat="1" applyFont="1" applyBorder="1" applyAlignment="1">
      <alignment horizontal="left" vertical="top" wrapText="1"/>
    </xf>
    <xf numFmtId="14" fontId="9" fillId="0" borderId="15" xfId="0" applyNumberFormat="1" applyFont="1" applyBorder="1" applyAlignment="1">
      <alignment horizontal="left" vertical="top" wrapText="1"/>
    </xf>
    <xf numFmtId="0" fontId="9" fillId="0" borderId="15" xfId="0" applyFont="1" applyBorder="1" applyAlignment="1">
      <alignment horizontal="left" vertical="top" wrapText="1"/>
    </xf>
    <xf numFmtId="0" fontId="9" fillId="0" borderId="16" xfId="0" applyFont="1" applyBorder="1" applyAlignment="1">
      <alignment horizontal="left" vertical="top" wrapText="1"/>
    </xf>
    <xf numFmtId="0" fontId="9" fillId="0" borderId="10" xfId="0" applyFont="1" applyBorder="1" applyAlignment="1">
      <alignment wrapText="1"/>
    </xf>
    <xf numFmtId="0" fontId="9" fillId="0" borderId="3" xfId="0" applyFont="1" applyBorder="1" applyAlignment="1">
      <alignment wrapText="1"/>
    </xf>
    <xf numFmtId="0" fontId="9" fillId="0" borderId="11" xfId="0" applyFont="1" applyBorder="1" applyAlignment="1">
      <alignment wrapText="1"/>
    </xf>
    <xf numFmtId="1" fontId="6" fillId="0" borderId="0" xfId="0" applyNumberFormat="1" applyFont="1"/>
    <xf numFmtId="1" fontId="9" fillId="0" borderId="0" xfId="0" quotePrefix="1" applyNumberFormat="1" applyFont="1" applyAlignment="1">
      <alignment horizontal="center" vertical="center"/>
    </xf>
    <xf numFmtId="1" fontId="9" fillId="0" borderId="0" xfId="0" applyNumberFormat="1" applyFont="1" applyAlignment="1">
      <alignment horizontal="center"/>
    </xf>
    <xf numFmtId="1" fontId="9" fillId="0" borderId="0" xfId="0" applyNumberFormat="1" applyFont="1" applyAlignment="1">
      <alignment horizontal="left" vertical="center"/>
    </xf>
    <xf numFmtId="0" fontId="6" fillId="8" borderId="0" xfId="0" applyFont="1" applyFill="1"/>
    <xf numFmtId="1" fontId="6" fillId="8" borderId="0" xfId="0" applyNumberFormat="1" applyFont="1" applyFill="1"/>
    <xf numFmtId="0" fontId="6" fillId="8" borderId="0" xfId="0" applyFont="1" applyFill="1" applyAlignment="1">
      <alignment wrapText="1"/>
    </xf>
    <xf numFmtId="0" fontId="9" fillId="8" borderId="0" xfId="0" applyFont="1" applyFill="1" applyAlignment="1">
      <alignment horizontal="left" vertical="center"/>
    </xf>
    <xf numFmtId="0" fontId="8" fillId="9" borderId="0" xfId="0" applyFont="1" applyFill="1"/>
    <xf numFmtId="0" fontId="9" fillId="8" borderId="0" xfId="0" applyFont="1" applyFill="1" applyAlignment="1">
      <alignment horizontal="center" vertical="center" wrapText="1"/>
    </xf>
    <xf numFmtId="1" fontId="9" fillId="8" borderId="0" xfId="0" applyNumberFormat="1" applyFont="1" applyFill="1" applyAlignment="1">
      <alignment horizontal="center"/>
    </xf>
    <xf numFmtId="1" fontId="9" fillId="8" borderId="0" xfId="0" applyNumberFormat="1" applyFont="1" applyFill="1" applyAlignment="1">
      <alignment horizontal="left" vertical="center"/>
    </xf>
    <xf numFmtId="0" fontId="9" fillId="10" borderId="0" xfId="0" applyFont="1" applyFill="1" applyAlignment="1">
      <alignment horizontal="center" vertical="center"/>
    </xf>
    <xf numFmtId="17" fontId="8" fillId="10" borderId="0" xfId="0" applyNumberFormat="1" applyFont="1" applyFill="1" applyAlignment="1">
      <alignment horizontal="left" vertical="center"/>
    </xf>
    <xf numFmtId="0" fontId="8" fillId="10" borderId="0" xfId="0" applyFont="1" applyFill="1" applyAlignment="1">
      <alignment horizontal="center" vertical="center" wrapText="1"/>
    </xf>
    <xf numFmtId="1" fontId="8" fillId="10" borderId="0" xfId="0" applyNumberFormat="1" applyFont="1" applyFill="1" applyAlignment="1">
      <alignment horizontal="center" vertical="center" wrapText="1"/>
    </xf>
    <xf numFmtId="17" fontId="8" fillId="11" borderId="0" xfId="0" applyNumberFormat="1" applyFont="1" applyFill="1" applyAlignment="1">
      <alignment horizontal="left"/>
    </xf>
    <xf numFmtId="17" fontId="8" fillId="12" borderId="0" xfId="0" applyNumberFormat="1" applyFont="1" applyFill="1" applyAlignment="1">
      <alignment horizontal="left"/>
    </xf>
    <xf numFmtId="17" fontId="8" fillId="10" borderId="0" xfId="0" applyNumberFormat="1" applyFont="1" applyFill="1" applyAlignment="1">
      <alignment horizontal="left"/>
    </xf>
    <xf numFmtId="17" fontId="8" fillId="13" borderId="0" xfId="0" applyNumberFormat="1" applyFont="1" applyFill="1" applyAlignment="1">
      <alignment horizontal="left"/>
    </xf>
    <xf numFmtId="0" fontId="9" fillId="10" borderId="0" xfId="0" applyFont="1" applyFill="1" applyAlignment="1">
      <alignment horizontal="left" vertical="center"/>
    </xf>
    <xf numFmtId="0" fontId="8" fillId="10" borderId="0" xfId="0" applyFont="1" applyFill="1" applyAlignment="1">
      <alignment horizontal="left" vertical="center"/>
    </xf>
    <xf numFmtId="14" fontId="9" fillId="0" borderId="0" xfId="0" applyNumberFormat="1" applyFont="1" applyAlignment="1">
      <alignment horizontal="left" vertical="center"/>
    </xf>
    <xf numFmtId="0" fontId="9" fillId="0" borderId="0" xfId="0" applyFont="1" applyAlignment="1">
      <alignment vertical="center"/>
    </xf>
    <xf numFmtId="0" fontId="6" fillId="8" borderId="0" xfId="0" applyFont="1" applyFill="1" applyAlignment="1">
      <alignment horizontal="center"/>
    </xf>
    <xf numFmtId="17" fontId="8" fillId="10" borderId="0" xfId="0" applyNumberFormat="1" applyFont="1" applyFill="1" applyAlignment="1">
      <alignment horizontal="center" vertical="center"/>
    </xf>
    <xf numFmtId="0" fontId="9" fillId="8" borderId="0" xfId="0" applyFont="1" applyFill="1" applyAlignment="1">
      <alignment horizontal="center" vertical="center"/>
    </xf>
    <xf numFmtId="0" fontId="10" fillId="6" borderId="0" xfId="0" applyFont="1" applyFill="1" applyAlignment="1">
      <alignment horizontal="center"/>
    </xf>
    <xf numFmtId="0" fontId="10" fillId="6" borderId="0" xfId="0" applyFont="1" applyFill="1" applyAlignment="1">
      <alignment horizontal="center" vertical="center"/>
    </xf>
    <xf numFmtId="0" fontId="10" fillId="7" borderId="0" xfId="0" applyFont="1" applyFill="1" applyAlignment="1">
      <alignment horizontal="center"/>
    </xf>
    <xf numFmtId="0" fontId="9" fillId="0" borderId="14" xfId="0" applyNumberFormat="1" applyFont="1" applyFill="1" applyBorder="1"/>
    <xf numFmtId="14" fontId="9" fillId="0" borderId="15" xfId="0" applyNumberFormat="1" applyFont="1" applyFill="1" applyBorder="1"/>
    <xf numFmtId="0" fontId="9" fillId="0" borderId="15" xfId="0" applyFont="1" applyFill="1" applyBorder="1"/>
    <xf numFmtId="0" fontId="9" fillId="0" borderId="15" xfId="0" applyNumberFormat="1" applyFont="1" applyFill="1" applyBorder="1"/>
    <xf numFmtId="1" fontId="9" fillId="0" borderId="16" xfId="0" applyNumberFormat="1" applyFont="1" applyFill="1" applyBorder="1"/>
  </cellXfs>
  <cellStyles count="1">
    <cellStyle name="Normal" xfId="0" builtinId="0"/>
  </cellStyles>
  <dxfs count="86">
    <dxf>
      <font>
        <strike val="0"/>
        <outline val="0"/>
        <shadow val="0"/>
        <u val="none"/>
        <vertAlign val="baseline"/>
        <sz val="10"/>
        <color auto="1"/>
        <name val="Arial"/>
        <family val="2"/>
        <scheme val="minor"/>
      </font>
      <fill>
        <patternFill patternType="none">
          <bgColor auto="1"/>
        </patternFill>
      </fill>
      <border diagonalUp="0" diagonalDown="0" outline="0">
        <left style="thin">
          <color indexed="64"/>
        </left>
        <right/>
        <top style="thin">
          <color indexed="64"/>
        </top>
        <bottom style="thin">
          <color indexed="64"/>
        </bottom>
      </border>
    </dxf>
    <dxf>
      <font>
        <strike val="0"/>
        <outline val="0"/>
        <shadow val="0"/>
        <u val="none"/>
        <vertAlign val="baseline"/>
        <sz val="10"/>
        <color auto="1"/>
        <name val="Arial"/>
        <family val="2"/>
        <scheme val="minor"/>
      </font>
      <fill>
        <patternFill patternType="none">
          <bgColor auto="1"/>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auto="1"/>
        <name val="Arial"/>
        <family val="2"/>
        <scheme val="minor"/>
      </font>
      <fill>
        <patternFill patternType="none">
          <bgColor auto="1"/>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auto="1"/>
        <name val="Arial"/>
        <family val="2"/>
        <scheme val="minor"/>
      </font>
      <fill>
        <patternFill patternType="none">
          <bgColor auto="1"/>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auto="1"/>
        <name val="Arial"/>
        <family val="2"/>
        <scheme val="minor"/>
      </font>
      <fill>
        <patternFill patternType="none">
          <bgColor auto="1"/>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auto="1"/>
        <name val="Arial"/>
        <family val="2"/>
        <scheme val="minor"/>
      </font>
      <fill>
        <patternFill patternType="none">
          <bgColor auto="1"/>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auto="1"/>
        <name val="Arial"/>
        <family val="2"/>
        <scheme val="minor"/>
      </font>
      <fill>
        <patternFill patternType="none">
          <bgColor auto="1"/>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auto="1"/>
        <name val="Arial"/>
        <family val="2"/>
        <scheme val="minor"/>
      </font>
      <fill>
        <patternFill patternType="none">
          <bgColor auto="1"/>
        </patternFill>
      </fill>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0"/>
        <color auto="1"/>
        <name val="Arial"/>
        <family val="2"/>
        <scheme val="minor"/>
      </font>
      <fill>
        <patternFill patternType="none">
          <bgColor auto="1"/>
        </patternFill>
      </fill>
    </dxf>
    <dxf>
      <border>
        <bottom style="thin">
          <color indexed="64"/>
        </bottom>
      </border>
    </dxf>
    <dxf>
      <font>
        <strike val="0"/>
        <outline val="0"/>
        <shadow val="0"/>
        <u val="none"/>
        <vertAlign val="baseline"/>
        <sz val="10"/>
        <color auto="1"/>
        <name val="Arial"/>
        <family val="2"/>
        <scheme val="minor"/>
      </font>
      <fill>
        <patternFill patternType="none">
          <bgColor auto="1"/>
        </patternFill>
      </fill>
      <border diagonalUp="0" diagonalDown="0" outline="0">
        <left style="thin">
          <color indexed="64"/>
        </left>
        <right style="thin">
          <color indexed="64"/>
        </right>
        <top/>
        <bottom/>
      </border>
    </dxf>
    <dxf>
      <font>
        <strike val="0"/>
        <outline val="0"/>
        <shadow val="0"/>
        <u val="none"/>
        <vertAlign val="baseline"/>
        <sz val="10"/>
        <color auto="1"/>
        <name val="Arial"/>
        <family val="2"/>
        <scheme val="minor"/>
      </font>
      <alignment horizontal="left" vertical="top" textRotation="0" wrapText="1" indent="0" justifyLastLine="0" shrinkToFit="0" readingOrder="0"/>
      <border diagonalUp="0" diagonalDown="0" outline="0">
        <left style="thin">
          <color indexed="64"/>
        </left>
        <right/>
        <top style="thin">
          <color indexed="64"/>
        </top>
        <bottom style="thin">
          <color indexed="64"/>
        </bottom>
      </border>
    </dxf>
    <dxf>
      <font>
        <strike val="0"/>
        <outline val="0"/>
        <shadow val="0"/>
        <u val="none"/>
        <vertAlign val="baseline"/>
        <sz val="10"/>
        <color auto="1"/>
        <name val="Arial"/>
        <family val="2"/>
        <scheme val="minor"/>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auto="1"/>
        <name val="Arial"/>
        <family val="2"/>
        <scheme val="minor"/>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auto="1"/>
        <name val="Arial"/>
        <family val="2"/>
        <scheme val="minor"/>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auto="1"/>
        <name val="Arial"/>
        <family val="2"/>
        <scheme val="minor"/>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auto="1"/>
        <name val="Arial"/>
        <family val="2"/>
        <scheme val="minor"/>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auto="1"/>
        <name val="Arial"/>
        <family val="2"/>
        <scheme val="minor"/>
      </font>
      <alignment horizontal="left" vertical="top" textRotation="0" wrapText="1"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0"/>
        <color auto="1"/>
        <name val="Arial"/>
        <family val="2"/>
        <scheme val="minor"/>
      </font>
      <alignment horizontal="left" vertical="top" textRotation="0" wrapText="1" indent="0" justifyLastLine="0" shrinkToFit="0" readingOrder="0"/>
    </dxf>
    <dxf>
      <border>
        <bottom style="thin">
          <color indexed="64"/>
        </bottom>
      </border>
    </dxf>
    <dxf>
      <font>
        <strike val="0"/>
        <outline val="0"/>
        <shadow val="0"/>
        <u val="none"/>
        <vertAlign val="baseline"/>
        <sz val="11"/>
        <color auto="1"/>
        <name val="Arial"/>
        <family val="2"/>
        <scheme val="minor"/>
      </font>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10"/>
        <color auto="1"/>
        <name val="Arial"/>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minor"/>
      </font>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minor"/>
      </font>
      <numFmt numFmtId="22" formatCode="mmm\-yy"/>
      <fill>
        <patternFill patternType="solid">
          <fgColor indexed="64"/>
          <bgColor theme="5" tint="0.59999389629810485"/>
        </patternFill>
      </fill>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minor"/>
      </font>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minor"/>
      </font>
      <fill>
        <patternFill patternType="solid">
          <fgColor indexed="64"/>
          <bgColor theme="5" tint="0.59999389629810485"/>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family val="2"/>
        <scheme val="minor"/>
      </font>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minor"/>
      </font>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minor"/>
      </font>
      <numFmt numFmtId="22" formatCode="mmm\-yy"/>
      <fill>
        <patternFill patternType="solid">
          <fgColor indexed="64"/>
          <bgColor theme="5" tint="0.59999389629810485"/>
        </patternFill>
      </fill>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minor"/>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minor"/>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minor"/>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minor"/>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minor"/>
      </font>
      <numFmt numFmtId="1" formatCode="0"/>
      <alignment horizontal="center" vertical="center" textRotation="0" wrapText="0" indent="0" justifyLastLine="0" shrinkToFit="0" readingOrder="0"/>
    </dxf>
    <dxf>
      <font>
        <b/>
        <i val="0"/>
        <strike val="0"/>
        <condense val="0"/>
        <extend val="0"/>
        <outline val="0"/>
        <shadow val="0"/>
        <u val="none"/>
        <vertAlign val="baseline"/>
        <sz val="10"/>
        <color auto="1"/>
        <name val="Arial"/>
        <family val="2"/>
        <scheme val="minor"/>
      </font>
      <fill>
        <patternFill patternType="solid">
          <fgColor indexed="64"/>
          <bgColor theme="5" tint="0.59999389629810485"/>
        </patternFill>
      </fill>
      <alignment horizontal="left" vertical="center" textRotation="0" wrapText="0" indent="0" justifyLastLine="0" shrinkToFit="0" readingOrder="0"/>
    </dxf>
    <dxf>
      <font>
        <b/>
        <i val="0"/>
        <strike val="0"/>
        <condense val="0"/>
        <extend val="0"/>
        <outline val="0"/>
        <shadow val="0"/>
        <u val="none"/>
        <vertAlign val="baseline"/>
        <sz val="10"/>
        <color auto="1"/>
        <name val="Arial"/>
        <family val="2"/>
        <scheme val="minor"/>
      </font>
      <numFmt numFmtId="22" formatCode="mmm\-yy"/>
      <fill>
        <patternFill patternType="solid">
          <fgColor indexed="64"/>
          <bgColor theme="5" tint="0.59999389629810485"/>
        </patternFill>
      </fill>
      <alignment horizontal="left" vertical="center" textRotation="0" wrapText="0" indent="0" justifyLastLine="0" shrinkToFit="0" readingOrder="0"/>
    </dxf>
    <dxf>
      <font>
        <b val="0"/>
        <i val="0"/>
        <strike val="0"/>
        <condense val="0"/>
        <extend val="0"/>
        <outline val="0"/>
        <shadow val="0"/>
        <u val="none"/>
        <vertAlign val="baseline"/>
        <sz val="10"/>
        <color auto="1"/>
        <name val="Arial"/>
        <family val="2"/>
        <scheme val="minor"/>
      </font>
      <alignment horizontal="center" vertical="center" textRotation="0" wrapText="0" indent="0" justifyLastLine="0" shrinkToFit="0" readingOrder="0"/>
    </dxf>
    <dxf>
      <font>
        <strike val="0"/>
        <outline val="0"/>
        <shadow val="0"/>
        <u val="none"/>
        <vertAlign val="baseline"/>
        <sz val="10"/>
        <color auto="1"/>
        <name val="Arial"/>
        <family val="2"/>
        <scheme val="minor"/>
      </font>
      <numFmt numFmtId="0" formatCode="General"/>
      <fill>
        <patternFill patternType="none">
          <fgColor indexed="64"/>
          <bgColor auto="1"/>
        </patternFill>
      </fill>
      <border diagonalUp="0" diagonalDown="0">
        <left style="thin">
          <color indexed="64"/>
        </left>
        <right/>
        <top style="thin">
          <color indexed="64"/>
        </top>
        <bottom style="thin">
          <color indexed="64"/>
        </bottom>
        <vertical style="thin">
          <color indexed="64"/>
        </vertical>
        <horizontal style="thin">
          <color indexed="64"/>
        </horizontal>
      </border>
    </dxf>
    <dxf>
      <font>
        <strike val="0"/>
        <outline val="0"/>
        <shadow val="0"/>
        <u val="none"/>
        <vertAlign val="baseline"/>
        <sz val="10"/>
        <color auto="1"/>
        <name val="Arial"/>
        <family val="2"/>
        <scheme val="minor"/>
      </font>
      <numFmt numFmtId="0" formatCode="General"/>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color auto="1"/>
        <name val="Arial"/>
        <family val="2"/>
        <scheme val="minor"/>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color auto="1"/>
        <name val="Arial"/>
        <family val="2"/>
        <scheme val="minor"/>
      </font>
      <numFmt numFmtId="0" formatCode="General"/>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color auto="1"/>
        <name val="Arial"/>
        <family val="2"/>
        <scheme val="minor"/>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color auto="1"/>
        <name val="Arial"/>
        <family val="2"/>
        <scheme val="minor"/>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color auto="1"/>
        <name val="Arial"/>
        <family val="2"/>
        <scheme val="minor"/>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color auto="1"/>
        <name val="Arial"/>
        <family val="2"/>
        <scheme val="minor"/>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color auto="1"/>
        <name val="Arial"/>
        <family val="2"/>
        <scheme val="minor"/>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color auto="1"/>
        <name val="Arial"/>
        <family val="2"/>
        <scheme val="minor"/>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color auto="1"/>
        <name val="Arial"/>
        <family val="2"/>
        <scheme val="minor"/>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color auto="1"/>
        <name val="Arial"/>
        <family val="2"/>
        <scheme val="minor"/>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color auto="1"/>
        <name val="Arial"/>
        <family val="2"/>
        <scheme val="minor"/>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color auto="1"/>
        <name val="Arial"/>
        <family val="2"/>
        <scheme val="minor"/>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color auto="1"/>
        <name val="Arial"/>
        <family val="2"/>
        <scheme val="minor"/>
      </font>
      <numFmt numFmtId="19" formatCode="dd/mm/yyyy"/>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color auto="1"/>
        <name val="Arial"/>
        <family val="2"/>
        <scheme val="minor"/>
      </font>
      <numFmt numFmtId="0" formatCode="General"/>
      <fill>
        <patternFill patternType="none">
          <fgColor indexed="64"/>
          <bgColor auto="1"/>
        </patternFill>
      </fill>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0"/>
        <color auto="1"/>
        <name val="Arial"/>
        <family val="2"/>
        <scheme val="minor"/>
      </font>
      <fill>
        <patternFill patternType="none">
          <fgColor indexed="64"/>
          <bgColor auto="1"/>
        </patternFill>
      </fill>
    </dxf>
    <dxf>
      <border>
        <bottom style="thin">
          <color indexed="64"/>
        </bottom>
      </border>
    </dxf>
    <dxf>
      <font>
        <b/>
        <i val="0"/>
        <strike val="0"/>
        <condense val="0"/>
        <extend val="0"/>
        <outline val="0"/>
        <shadow val="0"/>
        <u val="none"/>
        <vertAlign val="baseline"/>
        <sz val="11"/>
        <color auto="1"/>
        <name val="Arial"/>
        <family val="2"/>
        <scheme val="minor"/>
      </font>
      <fill>
        <patternFill patternType="none">
          <fgColor indexed="64"/>
          <bgColor auto="1"/>
        </patternFill>
      </fill>
      <border diagonalUp="0" diagonalDown="0">
        <left style="thin">
          <color indexed="64"/>
        </left>
        <right style="thin">
          <color indexed="64"/>
        </right>
        <top/>
        <bottom/>
        <vertical style="thin">
          <color indexed="64"/>
        </vertical>
        <horizontal style="thin">
          <color indexed="64"/>
        </horizontal>
      </border>
    </dxf>
    <dxf>
      <font>
        <color rgb="FF9C0006"/>
      </font>
      <fill>
        <patternFill>
          <bgColor rgb="FFFFC7CE"/>
        </patternFill>
      </fill>
    </dxf>
    <dxf>
      <font>
        <color rgb="FF9C0006"/>
      </font>
      <fill>
        <patternFill>
          <bgColor rgb="FFFFC7CE"/>
        </patternFill>
      </fill>
    </dxf>
    <dxf>
      <font>
        <strike val="0"/>
        <outline val="0"/>
        <shadow val="0"/>
        <u val="none"/>
        <vertAlign val="baseline"/>
        <sz val="10"/>
        <color auto="1"/>
        <name val="Arial"/>
        <family val="2"/>
        <scheme val="minor"/>
      </font>
      <numFmt numFmtId="1" formatCode="0"/>
      <fill>
        <patternFill patternType="none">
          <fgColor indexed="64"/>
          <bgColor auto="1"/>
        </patternFill>
      </fill>
      <border diagonalUp="0" diagonalDown="0" outline="0">
        <left style="thin">
          <color indexed="64"/>
        </left>
        <right/>
        <top style="thin">
          <color indexed="64"/>
        </top>
        <bottom style="thin">
          <color indexed="64"/>
        </bottom>
      </border>
    </dxf>
    <dxf>
      <font>
        <strike val="0"/>
        <outline val="0"/>
        <shadow val="0"/>
        <u val="none"/>
        <vertAlign val="baseline"/>
        <sz val="10"/>
        <color auto="1"/>
        <name val="Arial"/>
        <family val="2"/>
        <scheme val="minor"/>
      </font>
      <numFmt numFmtId="0" formatCode="General"/>
      <fill>
        <patternFill patternType="none">
          <fgColor indexed="64"/>
          <bgColor auto="1"/>
        </patternFill>
      </fill>
      <border diagonalUp="0" diagonalDown="0">
        <left style="thin">
          <color indexed="64"/>
        </left>
        <right style="thin">
          <color indexed="64"/>
        </right>
        <top style="thin">
          <color indexed="64"/>
        </top>
        <bottom style="thin">
          <color indexed="64"/>
        </bottom>
      </border>
    </dxf>
    <dxf>
      <font>
        <strike val="0"/>
        <outline val="0"/>
        <shadow val="0"/>
        <u val="none"/>
        <vertAlign val="baseline"/>
        <sz val="10"/>
        <color auto="1"/>
        <name val="Arial"/>
        <family val="2"/>
        <scheme val="minor"/>
      </font>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auto="1"/>
        <name val="Arial"/>
        <family val="2"/>
        <scheme val="minor"/>
      </font>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auto="1"/>
        <name val="Arial"/>
        <family val="2"/>
        <scheme val="minor"/>
      </font>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auto="1"/>
        <name val="Arial"/>
        <family val="2"/>
        <scheme val="minor"/>
      </font>
      <numFmt numFmtId="19" formatCode="dd/mm/yyyy"/>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auto="1"/>
        <name val="Arial"/>
        <family val="2"/>
        <scheme val="minor"/>
      </font>
      <numFmt numFmtId="0" formatCode="General"/>
      <fill>
        <patternFill patternType="none">
          <fgColor indexed="64"/>
          <bgColor auto="1"/>
        </patternFill>
      </fill>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0"/>
        <color auto="1"/>
        <name val="Arial"/>
        <family val="2"/>
        <scheme val="minor"/>
      </font>
      <fill>
        <patternFill patternType="none">
          <fgColor indexed="64"/>
          <bgColor auto="1"/>
        </patternFill>
      </fill>
    </dxf>
    <dxf>
      <border>
        <bottom style="thin">
          <color indexed="64"/>
        </bottom>
      </border>
    </dxf>
    <dxf>
      <font>
        <strike val="0"/>
        <outline val="0"/>
        <shadow val="0"/>
        <u val="none"/>
        <vertAlign val="baseline"/>
        <sz val="10"/>
        <color auto="1"/>
        <name val="Arial"/>
        <family val="2"/>
        <scheme val="minor"/>
      </font>
      <alignment horizontal="general" vertical="bottom" textRotation="0" wrapText="1" indent="0" justifyLastLine="0" shrinkToFit="0" readingOrder="0"/>
      <border diagonalUp="0" diagonalDown="0" outline="0">
        <left style="thin">
          <color indexed="64"/>
        </left>
        <right style="thin">
          <color indexed="64"/>
        </right>
        <top/>
        <bottom/>
      </border>
    </dxf>
    <dxf>
      <fill>
        <patternFill patternType="solid">
          <fgColor rgb="FFB8CCE4"/>
          <bgColor rgb="FFB8CCE4"/>
        </patternFill>
      </fill>
    </dxf>
    <dxf>
      <fill>
        <patternFill patternType="solid">
          <fgColor rgb="FFB8CCE4"/>
          <bgColor rgb="FFB8CCE4"/>
        </patternFill>
      </fill>
    </dxf>
    <dxf>
      <font>
        <b/>
        <color rgb="FFFFFFFF"/>
      </font>
      <fill>
        <patternFill patternType="solid">
          <fgColor rgb="FF4F81BD"/>
          <bgColor rgb="FF4F81BD"/>
        </patternFill>
      </fill>
    </dxf>
    <dxf>
      <font>
        <b/>
        <color rgb="FFFFFFFF"/>
      </font>
      <fill>
        <patternFill patternType="solid">
          <fgColor rgb="FF4F81BD"/>
          <bgColor rgb="FF4F81BD"/>
        </patternFill>
      </fill>
    </dxf>
    <dxf>
      <font>
        <b/>
        <color rgb="FFFFFFFF"/>
      </font>
      <fill>
        <patternFill patternType="solid">
          <fgColor rgb="FF4F81BD"/>
          <bgColor rgb="FF4F81BD"/>
        </patternFill>
      </fill>
      <border>
        <top style="thick">
          <color rgb="FFFFFFFF"/>
        </top>
      </border>
    </dxf>
    <dxf>
      <font>
        <b/>
        <color rgb="FFFFFFFF"/>
      </font>
      <fill>
        <patternFill patternType="solid">
          <fgColor rgb="FF4F81BD"/>
          <bgColor rgb="FF4F81BD"/>
        </patternFill>
      </fill>
      <border>
        <bottom style="thick">
          <color rgb="FFFFFFFF"/>
        </bottom>
      </border>
    </dxf>
    <dxf>
      <font>
        <color rgb="FF000000"/>
      </font>
      <fill>
        <patternFill patternType="solid">
          <fgColor rgb="FFDCE6F1"/>
          <bgColor rgb="FFDCE6F1"/>
        </patternFill>
      </fill>
      <border>
        <vertical style="thin">
          <color rgb="FFFFFFFF"/>
        </vertical>
        <horizontal style="thin">
          <color rgb="FFFFFFFF"/>
        </horizontal>
      </border>
    </dxf>
  </dxfs>
  <tableStyles count="1" defaultTableStyle="TableStyleMedium2" defaultPivotStyle="PivotStyleLight16">
    <tableStyle name="TableStyleMedium9 2" pivot="0" count="7" xr9:uid="{40197E84-755E-450E-ACDC-C7DC32B7ADE0}">
      <tableStyleElement type="wholeTable" dxfId="85"/>
      <tableStyleElement type="headerRow" dxfId="84"/>
      <tableStyleElement type="totalRow" dxfId="83"/>
      <tableStyleElement type="firstColumn" dxfId="82"/>
      <tableStyleElement type="lastColumn" dxfId="81"/>
      <tableStyleElement type="firstRowStripe" dxfId="80"/>
      <tableStyleElement type="firstColumnStripe" dxfId="7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solidFill>
                <a:latin typeface="Georgia" panose="02040502050405020303" pitchFamily="18" charset="0"/>
                <a:ea typeface="+mn-ea"/>
                <a:cs typeface="+mn-cs"/>
              </a:defRPr>
            </a:pPr>
            <a:r>
              <a:rPr lang="en-GB" b="1">
                <a:latin typeface="Georgia" panose="02040502050405020303" pitchFamily="18" charset="0"/>
              </a:rPr>
              <a:t>Contract Cycle Time</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Georgia" panose="02040502050405020303" pitchFamily="18" charset="0"/>
              <a:ea typeface="+mn-ea"/>
              <a:cs typeface="+mn-cs"/>
            </a:defRPr>
          </a:pPr>
          <a:endParaRPr lang="en-US"/>
        </a:p>
      </c:txPr>
    </c:title>
    <c:autoTitleDeleted val="0"/>
    <c:plotArea>
      <c:layout/>
      <c:barChart>
        <c:barDir val="col"/>
        <c:grouping val="stacked"/>
        <c:varyColors val="0"/>
        <c:ser>
          <c:idx val="0"/>
          <c:order val="0"/>
          <c:tx>
            <c:strRef>
              <c:f>'Ref Sheet'!$R$1</c:f>
              <c:strCache>
                <c:ptCount val="1"/>
                <c:pt idx="0">
                  <c:v>Avg. Time w/Legal</c:v>
                </c:pt>
              </c:strCache>
            </c:strRef>
          </c:tx>
          <c:spPr>
            <a:solidFill>
              <a:schemeClr val="accent1"/>
            </a:solidFill>
            <a:ln>
              <a:noFill/>
            </a:ln>
            <a:effectLst/>
          </c:spPr>
          <c:invertIfNegative val="0"/>
          <c:cat>
            <c:numRef>
              <c:extLst>
                <c:ext xmlns:c15="http://schemas.microsoft.com/office/drawing/2012/chart" uri="{02D57815-91ED-43cb-92C2-25804820EDAC}">
                  <c15:fullRef>
                    <c15:sqref>'Ref Sheet'!$Q$2:$Q$13</c15:sqref>
                  </c15:fullRef>
                </c:ext>
              </c:extLst>
              <c:f>'Ref Sheet'!$Q$2:$Q$8</c:f>
              <c:numCache>
                <c:formatCode>mmm\-yy</c:formatCode>
                <c:ptCount val="7"/>
                <c:pt idx="0">
                  <c:v>45292</c:v>
                </c:pt>
                <c:pt idx="1">
                  <c:v>45323</c:v>
                </c:pt>
                <c:pt idx="2">
                  <c:v>45352</c:v>
                </c:pt>
                <c:pt idx="3">
                  <c:v>45383</c:v>
                </c:pt>
                <c:pt idx="4">
                  <c:v>45413</c:v>
                </c:pt>
                <c:pt idx="5">
                  <c:v>45444</c:v>
                </c:pt>
                <c:pt idx="6">
                  <c:v>45474</c:v>
                </c:pt>
              </c:numCache>
            </c:numRef>
          </c:cat>
          <c:val>
            <c:numRef>
              <c:extLst>
                <c:ext xmlns:c15="http://schemas.microsoft.com/office/drawing/2012/chart" uri="{02D57815-91ED-43cb-92C2-25804820EDAC}">
                  <c15:fullRef>
                    <c15:sqref>'Ref Sheet'!$R$2:$R$13</c15:sqref>
                  </c15:fullRef>
                </c:ext>
              </c:extLst>
              <c:f>'Ref Sheet'!$R$2:$R$8</c:f>
              <c:numCache>
                <c:formatCode>0</c:formatCode>
                <c:ptCount val="7"/>
                <c:pt idx="0">
                  <c:v>13.5</c:v>
                </c:pt>
                <c:pt idx="1">
                  <c:v>19.272727272727273</c:v>
                </c:pt>
                <c:pt idx="2">
                  <c:v>20.38095238095238</c:v>
                </c:pt>
                <c:pt idx="3">
                  <c:v>0</c:v>
                </c:pt>
                <c:pt idx="4">
                  <c:v>7.8421052631578947</c:v>
                </c:pt>
                <c:pt idx="5">
                  <c:v>6.6</c:v>
                </c:pt>
                <c:pt idx="6">
                  <c:v>54.4</c:v>
                </c:pt>
              </c:numCache>
            </c:numRef>
          </c:val>
          <c:extLst>
            <c:ext xmlns:c16="http://schemas.microsoft.com/office/drawing/2014/chart" uri="{C3380CC4-5D6E-409C-BE32-E72D297353CC}">
              <c16:uniqueId val="{00000000-1DFF-4BDC-97C2-CDDA783A9FB1}"/>
            </c:ext>
          </c:extLst>
        </c:ser>
        <c:ser>
          <c:idx val="1"/>
          <c:order val="1"/>
          <c:tx>
            <c:strRef>
              <c:f>'Ref Sheet'!$S$1</c:f>
              <c:strCache>
                <c:ptCount val="1"/>
                <c:pt idx="0">
                  <c:v>Avg. Time w/Stakeholder</c:v>
                </c:pt>
              </c:strCache>
            </c:strRef>
          </c:tx>
          <c:spPr>
            <a:solidFill>
              <a:schemeClr val="accent2"/>
            </a:solidFill>
            <a:ln>
              <a:noFill/>
            </a:ln>
            <a:effectLst/>
          </c:spPr>
          <c:invertIfNegative val="0"/>
          <c:cat>
            <c:numRef>
              <c:extLst>
                <c:ext xmlns:c15="http://schemas.microsoft.com/office/drawing/2012/chart" uri="{02D57815-91ED-43cb-92C2-25804820EDAC}">
                  <c15:fullRef>
                    <c15:sqref>'Ref Sheet'!$Q$2:$Q$13</c15:sqref>
                  </c15:fullRef>
                </c:ext>
              </c:extLst>
              <c:f>'Ref Sheet'!$Q$2:$Q$8</c:f>
              <c:numCache>
                <c:formatCode>mmm\-yy</c:formatCode>
                <c:ptCount val="7"/>
                <c:pt idx="0">
                  <c:v>45292</c:v>
                </c:pt>
                <c:pt idx="1">
                  <c:v>45323</c:v>
                </c:pt>
                <c:pt idx="2">
                  <c:v>45352</c:v>
                </c:pt>
                <c:pt idx="3">
                  <c:v>45383</c:v>
                </c:pt>
                <c:pt idx="4">
                  <c:v>45413</c:v>
                </c:pt>
                <c:pt idx="5">
                  <c:v>45444</c:v>
                </c:pt>
                <c:pt idx="6">
                  <c:v>45474</c:v>
                </c:pt>
              </c:numCache>
            </c:numRef>
          </c:cat>
          <c:val>
            <c:numRef>
              <c:extLst>
                <c:ext xmlns:c15="http://schemas.microsoft.com/office/drawing/2012/chart" uri="{02D57815-91ED-43cb-92C2-25804820EDAC}">
                  <c15:fullRef>
                    <c15:sqref>'Ref Sheet'!$S$2:$S$13</c15:sqref>
                  </c15:fullRef>
                </c:ext>
              </c:extLst>
              <c:f>'Ref Sheet'!$S$2:$S$8</c:f>
              <c:numCache>
                <c:formatCode>0</c:formatCode>
                <c:ptCount val="7"/>
                <c:pt idx="0">
                  <c:v>26</c:v>
                </c:pt>
                <c:pt idx="1">
                  <c:v>23.333333333333332</c:v>
                </c:pt>
                <c:pt idx="2">
                  <c:v>274.33333333333331</c:v>
                </c:pt>
                <c:pt idx="3">
                  <c:v>0</c:v>
                </c:pt>
                <c:pt idx="4">
                  <c:v>13.5</c:v>
                </c:pt>
                <c:pt idx="5">
                  <c:v>140</c:v>
                </c:pt>
                <c:pt idx="6">
                  <c:v>219.7</c:v>
                </c:pt>
              </c:numCache>
            </c:numRef>
          </c:val>
          <c:extLst>
            <c:ext xmlns:c16="http://schemas.microsoft.com/office/drawing/2014/chart" uri="{C3380CC4-5D6E-409C-BE32-E72D297353CC}">
              <c16:uniqueId val="{00000001-1DFF-4BDC-97C2-CDDA783A9FB1}"/>
            </c:ext>
          </c:extLst>
        </c:ser>
        <c:dLbls>
          <c:showLegendKey val="0"/>
          <c:showVal val="0"/>
          <c:showCatName val="0"/>
          <c:showSerName val="0"/>
          <c:showPercent val="0"/>
          <c:showBubbleSize val="0"/>
        </c:dLbls>
        <c:gapWidth val="219"/>
        <c:overlap val="100"/>
        <c:axId val="773742520"/>
        <c:axId val="773742160"/>
      </c:barChart>
      <c:lineChart>
        <c:grouping val="standard"/>
        <c:varyColors val="0"/>
        <c:ser>
          <c:idx val="2"/>
          <c:order val="2"/>
          <c:tx>
            <c:strRef>
              <c:f>'Ref Sheet'!$T$1</c:f>
              <c:strCache>
                <c:ptCount val="1"/>
                <c:pt idx="0">
                  <c:v>Avg. Total Cycle Time</c:v>
                </c:pt>
              </c:strCache>
            </c:strRef>
          </c:tx>
          <c:spPr>
            <a:ln w="28575" cap="rnd">
              <a:solidFill>
                <a:schemeClr val="accent3"/>
              </a:solidFill>
              <a:round/>
            </a:ln>
            <a:effectLst/>
          </c:spPr>
          <c:marker>
            <c:symbol val="none"/>
          </c:marker>
          <c:trendline>
            <c:spPr>
              <a:ln w="19050" cap="rnd">
                <a:solidFill>
                  <a:schemeClr val="accent3"/>
                </a:solidFill>
                <a:prstDash val="sysDot"/>
              </a:ln>
              <a:effectLst/>
            </c:spPr>
            <c:trendlineType val="linear"/>
            <c:dispRSqr val="0"/>
            <c:dispEq val="0"/>
          </c:trendline>
          <c:cat>
            <c:numRef>
              <c:extLst>
                <c:ext xmlns:c15="http://schemas.microsoft.com/office/drawing/2012/chart" uri="{02D57815-91ED-43cb-92C2-25804820EDAC}">
                  <c15:fullRef>
                    <c15:sqref>'Ref Sheet'!$Q$2:$Q$13</c15:sqref>
                  </c15:fullRef>
                </c:ext>
              </c:extLst>
              <c:f>'Ref Sheet'!$Q$2:$Q$8</c:f>
              <c:numCache>
                <c:formatCode>mmm\-yy</c:formatCode>
                <c:ptCount val="7"/>
                <c:pt idx="0">
                  <c:v>45292</c:v>
                </c:pt>
                <c:pt idx="1">
                  <c:v>45323</c:v>
                </c:pt>
                <c:pt idx="2">
                  <c:v>45352</c:v>
                </c:pt>
                <c:pt idx="3">
                  <c:v>45383</c:v>
                </c:pt>
                <c:pt idx="4">
                  <c:v>45413</c:v>
                </c:pt>
                <c:pt idx="5">
                  <c:v>45444</c:v>
                </c:pt>
                <c:pt idx="6">
                  <c:v>45474</c:v>
                </c:pt>
              </c:numCache>
            </c:numRef>
          </c:cat>
          <c:val>
            <c:numRef>
              <c:extLst>
                <c:ext xmlns:c15="http://schemas.microsoft.com/office/drawing/2012/chart" uri="{02D57815-91ED-43cb-92C2-25804820EDAC}">
                  <c15:fullRef>
                    <c15:sqref>'Ref Sheet'!$T$2:$T$13</c15:sqref>
                  </c15:fullRef>
                </c:ext>
              </c:extLst>
              <c:f>'Ref Sheet'!$T$2:$T$8</c:f>
              <c:numCache>
                <c:formatCode>0</c:formatCode>
                <c:ptCount val="7"/>
                <c:pt idx="0">
                  <c:v>24.1</c:v>
                </c:pt>
                <c:pt idx="1">
                  <c:v>14.2</c:v>
                </c:pt>
                <c:pt idx="2">
                  <c:v>32.07692307692308</c:v>
                </c:pt>
                <c:pt idx="3">
                  <c:v>0</c:v>
                </c:pt>
                <c:pt idx="4">
                  <c:v>10.9</c:v>
                </c:pt>
                <c:pt idx="5">
                  <c:v>7.5</c:v>
                </c:pt>
                <c:pt idx="6">
                  <c:v>0</c:v>
                </c:pt>
              </c:numCache>
            </c:numRef>
          </c:val>
          <c:smooth val="0"/>
          <c:extLst>
            <c:ext xmlns:c16="http://schemas.microsoft.com/office/drawing/2014/chart" uri="{C3380CC4-5D6E-409C-BE32-E72D297353CC}">
              <c16:uniqueId val="{00000002-1DFF-4BDC-97C2-CDDA783A9FB1}"/>
            </c:ext>
          </c:extLst>
        </c:ser>
        <c:dLbls>
          <c:showLegendKey val="0"/>
          <c:showVal val="0"/>
          <c:showCatName val="0"/>
          <c:showSerName val="0"/>
          <c:showPercent val="0"/>
          <c:showBubbleSize val="0"/>
        </c:dLbls>
        <c:marker val="1"/>
        <c:smooth val="0"/>
        <c:axId val="554401584"/>
        <c:axId val="860642352"/>
      </c:lineChart>
      <c:dateAx>
        <c:axId val="77374252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773742160"/>
        <c:crosses val="autoZero"/>
        <c:auto val="1"/>
        <c:lblOffset val="100"/>
        <c:baseTimeUnit val="months"/>
      </c:dateAx>
      <c:valAx>
        <c:axId val="7737421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773742520"/>
        <c:crosses val="autoZero"/>
        <c:crossBetween val="between"/>
      </c:valAx>
      <c:valAx>
        <c:axId val="860642352"/>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554401584"/>
        <c:crosses val="max"/>
        <c:crossBetween val="between"/>
      </c:valAx>
      <c:dateAx>
        <c:axId val="554401584"/>
        <c:scaling>
          <c:orientation val="minMax"/>
        </c:scaling>
        <c:delete val="1"/>
        <c:axPos val="b"/>
        <c:numFmt formatCode="mmm\-yy" sourceLinked="1"/>
        <c:majorTickMark val="out"/>
        <c:minorTickMark val="none"/>
        <c:tickLblPos val="nextTo"/>
        <c:crossAx val="860642352"/>
        <c:crosses val="autoZero"/>
        <c:auto val="1"/>
        <c:lblOffset val="100"/>
        <c:baseTimeUnit val="months"/>
      </c:dateAx>
      <c:spPr>
        <a:noFill/>
        <a:ln>
          <a:noFill/>
        </a:ln>
        <a:effectLst/>
      </c:spPr>
    </c:plotArea>
    <c:legend>
      <c:legendPos val="b"/>
      <c:legendEntry>
        <c:idx val="3"/>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38100" cap="flat" cmpd="sng" algn="ctr">
      <a:solidFill>
        <a:schemeClr val="accent2">
          <a:lumMod val="20000"/>
          <a:lumOff val="80000"/>
        </a:schemeClr>
      </a:solidFill>
      <a:round/>
    </a:ln>
    <a:effectLst/>
  </c:spPr>
  <c:txPr>
    <a:bodyPr/>
    <a:lstStyle/>
    <a:p>
      <a:pPr>
        <a:defRPr>
          <a:solidFill>
            <a:schemeClr val="tx1"/>
          </a:solidFill>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solidFill>
                <a:latin typeface="Georgia" panose="02040502050405020303" pitchFamily="18" charset="0"/>
                <a:ea typeface="+mn-ea"/>
                <a:cs typeface="+mn-cs"/>
              </a:defRPr>
            </a:pPr>
            <a:r>
              <a:rPr lang="en-GB" b="1">
                <a:latin typeface="Georgia" panose="02040502050405020303" pitchFamily="18" charset="0"/>
              </a:rPr>
              <a:t>No. Contracts</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Georgia" panose="02040502050405020303" pitchFamily="18" charset="0"/>
              <a:ea typeface="+mn-ea"/>
              <a:cs typeface="+mn-cs"/>
            </a:defRPr>
          </a:pPr>
          <a:endParaRPr lang="en-US"/>
        </a:p>
      </c:txPr>
    </c:title>
    <c:autoTitleDeleted val="0"/>
    <c:plotArea>
      <c:layout/>
      <c:barChart>
        <c:barDir val="col"/>
        <c:grouping val="stacked"/>
        <c:varyColors val="0"/>
        <c:ser>
          <c:idx val="0"/>
          <c:order val="0"/>
          <c:tx>
            <c:strRef>
              <c:f>'Ref Sheet'!$H$2</c:f>
              <c:strCache>
                <c:ptCount val="1"/>
                <c:pt idx="0">
                  <c:v>New Contracts</c:v>
                </c:pt>
              </c:strCache>
            </c:strRef>
          </c:tx>
          <c:spPr>
            <a:solidFill>
              <a:schemeClr val="accent1"/>
            </a:solidFill>
            <a:ln>
              <a:noFill/>
            </a:ln>
            <a:effectLst/>
          </c:spPr>
          <c:invertIfNegative val="0"/>
          <c:cat>
            <c:numRef>
              <c:extLst>
                <c:ext xmlns:c15="http://schemas.microsoft.com/office/drawing/2012/chart" uri="{02D57815-91ED-43cb-92C2-25804820EDAC}">
                  <c15:fullRef>
                    <c15:sqref>'Ref Sheet'!$G$3:$G$41</c15:sqref>
                  </c15:fullRef>
                </c:ext>
              </c:extLst>
              <c:f>'Ref Sheet'!$G$19:$G$32</c:f>
              <c:numCache>
                <c:formatCode>mmm\-yy</c:formatCode>
                <c:ptCount val="14"/>
                <c:pt idx="0">
                  <c:v>45078</c:v>
                </c:pt>
                <c:pt idx="1">
                  <c:v>45108</c:v>
                </c:pt>
                <c:pt idx="2">
                  <c:v>45139</c:v>
                </c:pt>
                <c:pt idx="3">
                  <c:v>45170</c:v>
                </c:pt>
                <c:pt idx="4">
                  <c:v>45200</c:v>
                </c:pt>
                <c:pt idx="5">
                  <c:v>45231</c:v>
                </c:pt>
                <c:pt idx="6">
                  <c:v>45261</c:v>
                </c:pt>
                <c:pt idx="7">
                  <c:v>45292</c:v>
                </c:pt>
                <c:pt idx="8">
                  <c:v>45323</c:v>
                </c:pt>
                <c:pt idx="9">
                  <c:v>45352</c:v>
                </c:pt>
                <c:pt idx="10">
                  <c:v>45383</c:v>
                </c:pt>
                <c:pt idx="11">
                  <c:v>45413</c:v>
                </c:pt>
                <c:pt idx="12">
                  <c:v>45444</c:v>
                </c:pt>
                <c:pt idx="13">
                  <c:v>45474</c:v>
                </c:pt>
              </c:numCache>
            </c:numRef>
          </c:cat>
          <c:val>
            <c:numRef>
              <c:extLst>
                <c:ext xmlns:c15="http://schemas.microsoft.com/office/drawing/2012/chart" uri="{02D57815-91ED-43cb-92C2-25804820EDAC}">
                  <c15:fullRef>
                    <c15:sqref>'Ref Sheet'!$H$3:$H$41</c15:sqref>
                  </c15:fullRef>
                </c:ext>
              </c:extLst>
              <c:f>'Ref Sheet'!$H$19:$H$32</c:f>
              <c:numCache>
                <c:formatCode>General</c:formatCode>
                <c:ptCount val="14"/>
                <c:pt idx="0">
                  <c:v>17</c:v>
                </c:pt>
                <c:pt idx="1">
                  <c:v>15</c:v>
                </c:pt>
                <c:pt idx="2">
                  <c:v>23</c:v>
                </c:pt>
                <c:pt idx="3">
                  <c:v>7</c:v>
                </c:pt>
                <c:pt idx="4">
                  <c:v>14</c:v>
                </c:pt>
                <c:pt idx="5">
                  <c:v>15</c:v>
                </c:pt>
                <c:pt idx="6">
                  <c:v>7</c:v>
                </c:pt>
                <c:pt idx="7">
                  <c:v>10</c:v>
                </c:pt>
                <c:pt idx="8">
                  <c:v>15</c:v>
                </c:pt>
                <c:pt idx="9">
                  <c:v>13</c:v>
                </c:pt>
                <c:pt idx="10">
                  <c:v>1</c:v>
                </c:pt>
                <c:pt idx="11">
                  <c:v>10</c:v>
                </c:pt>
                <c:pt idx="12">
                  <c:v>4</c:v>
                </c:pt>
                <c:pt idx="13">
                  <c:v>12</c:v>
                </c:pt>
              </c:numCache>
            </c:numRef>
          </c:val>
          <c:extLst>
            <c:ext xmlns:c16="http://schemas.microsoft.com/office/drawing/2014/chart" uri="{C3380CC4-5D6E-409C-BE32-E72D297353CC}">
              <c16:uniqueId val="{00000000-3FE2-4CA7-BC3A-050C16BD9179}"/>
            </c:ext>
          </c:extLst>
        </c:ser>
        <c:ser>
          <c:idx val="1"/>
          <c:order val="1"/>
          <c:tx>
            <c:strRef>
              <c:f>'Ref Sheet'!$I$2</c:f>
              <c:strCache>
                <c:ptCount val="1"/>
                <c:pt idx="0">
                  <c:v>Closed Contracts</c:v>
                </c:pt>
              </c:strCache>
            </c:strRef>
          </c:tx>
          <c:spPr>
            <a:solidFill>
              <a:schemeClr val="accent2"/>
            </a:solidFill>
            <a:ln>
              <a:noFill/>
            </a:ln>
            <a:effectLst/>
          </c:spPr>
          <c:invertIfNegative val="0"/>
          <c:cat>
            <c:numRef>
              <c:extLst>
                <c:ext xmlns:c15="http://schemas.microsoft.com/office/drawing/2012/chart" uri="{02D57815-91ED-43cb-92C2-25804820EDAC}">
                  <c15:fullRef>
                    <c15:sqref>'Ref Sheet'!$G$3:$G$41</c15:sqref>
                  </c15:fullRef>
                </c:ext>
              </c:extLst>
              <c:f>'Ref Sheet'!$G$19:$G$32</c:f>
              <c:numCache>
                <c:formatCode>mmm\-yy</c:formatCode>
                <c:ptCount val="14"/>
                <c:pt idx="0">
                  <c:v>45078</c:v>
                </c:pt>
                <c:pt idx="1">
                  <c:v>45108</c:v>
                </c:pt>
                <c:pt idx="2">
                  <c:v>45139</c:v>
                </c:pt>
                <c:pt idx="3">
                  <c:v>45170</c:v>
                </c:pt>
                <c:pt idx="4">
                  <c:v>45200</c:v>
                </c:pt>
                <c:pt idx="5">
                  <c:v>45231</c:v>
                </c:pt>
                <c:pt idx="6">
                  <c:v>45261</c:v>
                </c:pt>
                <c:pt idx="7">
                  <c:v>45292</c:v>
                </c:pt>
                <c:pt idx="8">
                  <c:v>45323</c:v>
                </c:pt>
                <c:pt idx="9">
                  <c:v>45352</c:v>
                </c:pt>
                <c:pt idx="10">
                  <c:v>45383</c:v>
                </c:pt>
                <c:pt idx="11">
                  <c:v>45413</c:v>
                </c:pt>
                <c:pt idx="12">
                  <c:v>45444</c:v>
                </c:pt>
                <c:pt idx="13">
                  <c:v>45474</c:v>
                </c:pt>
              </c:numCache>
            </c:numRef>
          </c:cat>
          <c:val>
            <c:numRef>
              <c:extLst>
                <c:ext xmlns:c15="http://schemas.microsoft.com/office/drawing/2012/chart" uri="{02D57815-91ED-43cb-92C2-25804820EDAC}">
                  <c15:fullRef>
                    <c15:sqref>'Ref Sheet'!$I$3:$I$41</c15:sqref>
                  </c15:fullRef>
                </c:ext>
              </c:extLst>
              <c:f>'Ref Sheet'!$I$19:$I$32</c:f>
              <c:numCache>
                <c:formatCode>General</c:formatCode>
                <c:ptCount val="14"/>
                <c:pt idx="0">
                  <c:v>29</c:v>
                </c:pt>
                <c:pt idx="1">
                  <c:v>16</c:v>
                </c:pt>
                <c:pt idx="2">
                  <c:v>17</c:v>
                </c:pt>
                <c:pt idx="3">
                  <c:v>9</c:v>
                </c:pt>
                <c:pt idx="4">
                  <c:v>19</c:v>
                </c:pt>
                <c:pt idx="5">
                  <c:v>12</c:v>
                </c:pt>
                <c:pt idx="6">
                  <c:v>9</c:v>
                </c:pt>
                <c:pt idx="7">
                  <c:v>9</c:v>
                </c:pt>
                <c:pt idx="8">
                  <c:v>17</c:v>
                </c:pt>
                <c:pt idx="9">
                  <c:v>9</c:v>
                </c:pt>
                <c:pt idx="10">
                  <c:v>5</c:v>
                </c:pt>
                <c:pt idx="11">
                  <c:v>13</c:v>
                </c:pt>
                <c:pt idx="12">
                  <c:v>2</c:v>
                </c:pt>
                <c:pt idx="13">
                  <c:v>4</c:v>
                </c:pt>
              </c:numCache>
            </c:numRef>
          </c:val>
          <c:extLst>
            <c:ext xmlns:c16="http://schemas.microsoft.com/office/drawing/2014/chart" uri="{C3380CC4-5D6E-409C-BE32-E72D297353CC}">
              <c16:uniqueId val="{00000001-3FE2-4CA7-BC3A-050C16BD9179}"/>
            </c:ext>
          </c:extLst>
        </c:ser>
        <c:dLbls>
          <c:showLegendKey val="0"/>
          <c:showVal val="0"/>
          <c:showCatName val="0"/>
          <c:showSerName val="0"/>
          <c:showPercent val="0"/>
          <c:showBubbleSize val="0"/>
        </c:dLbls>
        <c:gapWidth val="219"/>
        <c:overlap val="100"/>
        <c:axId val="942123184"/>
        <c:axId val="942128224"/>
      </c:barChart>
      <c:lineChart>
        <c:grouping val="standard"/>
        <c:varyColors val="0"/>
        <c:ser>
          <c:idx val="2"/>
          <c:order val="2"/>
          <c:tx>
            <c:strRef>
              <c:f>'Ref Sheet'!$J$2</c:f>
              <c:strCache>
                <c:ptCount val="1"/>
                <c:pt idx="0">
                  <c:v>Rolling Open Contracts</c:v>
                </c:pt>
              </c:strCache>
            </c:strRef>
          </c:tx>
          <c:spPr>
            <a:ln w="28575" cap="rnd">
              <a:solidFill>
                <a:schemeClr val="accent3"/>
              </a:solidFill>
              <a:round/>
            </a:ln>
            <a:effectLst/>
          </c:spPr>
          <c:marker>
            <c:symbol val="none"/>
          </c:marker>
          <c:trendline>
            <c:spPr>
              <a:ln w="19050" cap="rnd">
                <a:solidFill>
                  <a:schemeClr val="accent3"/>
                </a:solidFill>
                <a:prstDash val="sysDot"/>
              </a:ln>
              <a:effectLst/>
            </c:spPr>
            <c:trendlineType val="linear"/>
            <c:dispRSqr val="0"/>
            <c:dispEq val="0"/>
          </c:trendline>
          <c:cat>
            <c:numRef>
              <c:extLst>
                <c:ext xmlns:c15="http://schemas.microsoft.com/office/drawing/2012/chart" uri="{02D57815-91ED-43cb-92C2-25804820EDAC}">
                  <c15:fullRef>
                    <c15:sqref>'Ref Sheet'!$G$3:$G$41</c15:sqref>
                  </c15:fullRef>
                </c:ext>
              </c:extLst>
              <c:f>'Ref Sheet'!$G$19:$G$32</c:f>
              <c:numCache>
                <c:formatCode>mmm\-yy</c:formatCode>
                <c:ptCount val="14"/>
                <c:pt idx="0">
                  <c:v>45078</c:v>
                </c:pt>
                <c:pt idx="1">
                  <c:v>45108</c:v>
                </c:pt>
                <c:pt idx="2">
                  <c:v>45139</c:v>
                </c:pt>
                <c:pt idx="3">
                  <c:v>45170</c:v>
                </c:pt>
                <c:pt idx="4">
                  <c:v>45200</c:v>
                </c:pt>
                <c:pt idx="5">
                  <c:v>45231</c:v>
                </c:pt>
                <c:pt idx="6">
                  <c:v>45261</c:v>
                </c:pt>
                <c:pt idx="7">
                  <c:v>45292</c:v>
                </c:pt>
                <c:pt idx="8">
                  <c:v>45323</c:v>
                </c:pt>
                <c:pt idx="9">
                  <c:v>45352</c:v>
                </c:pt>
                <c:pt idx="10">
                  <c:v>45383</c:v>
                </c:pt>
                <c:pt idx="11">
                  <c:v>45413</c:v>
                </c:pt>
                <c:pt idx="12">
                  <c:v>45444</c:v>
                </c:pt>
                <c:pt idx="13">
                  <c:v>45474</c:v>
                </c:pt>
              </c:numCache>
            </c:numRef>
          </c:cat>
          <c:val>
            <c:numRef>
              <c:extLst>
                <c:ext xmlns:c15="http://schemas.microsoft.com/office/drawing/2012/chart" uri="{02D57815-91ED-43cb-92C2-25804820EDAC}">
                  <c15:fullRef>
                    <c15:sqref>'Ref Sheet'!$J$3:$J$41</c15:sqref>
                  </c15:fullRef>
                </c:ext>
              </c:extLst>
              <c:f>'Ref Sheet'!$J$19:$J$32</c:f>
              <c:numCache>
                <c:formatCode>General</c:formatCode>
                <c:ptCount val="14"/>
                <c:pt idx="0">
                  <c:v>33</c:v>
                </c:pt>
                <c:pt idx="1">
                  <c:v>32</c:v>
                </c:pt>
                <c:pt idx="2">
                  <c:v>38</c:v>
                </c:pt>
                <c:pt idx="3">
                  <c:v>36</c:v>
                </c:pt>
                <c:pt idx="4">
                  <c:v>31</c:v>
                </c:pt>
                <c:pt idx="5">
                  <c:v>34</c:v>
                </c:pt>
                <c:pt idx="6">
                  <c:v>32</c:v>
                </c:pt>
                <c:pt idx="7">
                  <c:v>33</c:v>
                </c:pt>
                <c:pt idx="8">
                  <c:v>31</c:v>
                </c:pt>
                <c:pt idx="9">
                  <c:v>35</c:v>
                </c:pt>
                <c:pt idx="10">
                  <c:v>31</c:v>
                </c:pt>
                <c:pt idx="11">
                  <c:v>28</c:v>
                </c:pt>
                <c:pt idx="12">
                  <c:v>30</c:v>
                </c:pt>
                <c:pt idx="13">
                  <c:v>38</c:v>
                </c:pt>
              </c:numCache>
            </c:numRef>
          </c:val>
          <c:smooth val="0"/>
          <c:extLst>
            <c:ext xmlns:c16="http://schemas.microsoft.com/office/drawing/2014/chart" uri="{C3380CC4-5D6E-409C-BE32-E72D297353CC}">
              <c16:uniqueId val="{00000002-3FE2-4CA7-BC3A-050C16BD9179}"/>
            </c:ext>
          </c:extLst>
        </c:ser>
        <c:dLbls>
          <c:showLegendKey val="0"/>
          <c:showVal val="0"/>
          <c:showCatName val="0"/>
          <c:showSerName val="0"/>
          <c:showPercent val="0"/>
          <c:showBubbleSize val="0"/>
        </c:dLbls>
        <c:marker val="1"/>
        <c:smooth val="0"/>
        <c:axId val="942123184"/>
        <c:axId val="942128224"/>
      </c:lineChart>
      <c:dateAx>
        <c:axId val="94212318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942128224"/>
        <c:crosses val="autoZero"/>
        <c:auto val="1"/>
        <c:lblOffset val="100"/>
        <c:baseTimeUnit val="months"/>
      </c:dateAx>
      <c:valAx>
        <c:axId val="9421282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942123184"/>
        <c:crosses val="autoZero"/>
        <c:crossBetween val="between"/>
      </c:valAx>
      <c:spPr>
        <a:noFill/>
        <a:ln>
          <a:noFill/>
        </a:ln>
        <a:effectLst/>
      </c:spPr>
    </c:plotArea>
    <c:legend>
      <c:legendPos val="b"/>
      <c:legendEntry>
        <c:idx val="3"/>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38100" cap="flat" cmpd="sng" algn="ctr">
      <a:solidFill>
        <a:schemeClr val="accent2">
          <a:lumMod val="20000"/>
          <a:lumOff val="80000"/>
        </a:schemeClr>
      </a:solidFill>
      <a:round/>
    </a:ln>
    <a:effectLst/>
  </c:spPr>
  <c:txPr>
    <a:bodyPr/>
    <a:lstStyle/>
    <a:p>
      <a:pPr>
        <a:defRPr>
          <a:solidFill>
            <a:schemeClr val="tx1"/>
          </a:solidFill>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solidFill>
                <a:latin typeface="Georgia" panose="02040502050405020303" pitchFamily="18" charset="0"/>
                <a:ea typeface="+mn-ea"/>
                <a:cs typeface="+mn-cs"/>
              </a:defRPr>
            </a:pPr>
            <a:r>
              <a:rPr lang="en-GB" b="1">
                <a:latin typeface="Georgia" panose="02040502050405020303" pitchFamily="18" charset="0"/>
              </a:rPr>
              <a:t>Legal vs Stakeholders</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Georgia" panose="02040502050405020303" pitchFamily="18" charset="0"/>
              <a:ea typeface="+mn-ea"/>
              <a:cs typeface="+mn-cs"/>
            </a:defRPr>
          </a:pPr>
          <a:endParaRPr lang="en-US"/>
        </a:p>
      </c:txPr>
    </c:title>
    <c:autoTitleDeleted val="0"/>
    <c:plotArea>
      <c:layout>
        <c:manualLayout>
          <c:layoutTarget val="inner"/>
          <c:xMode val="edge"/>
          <c:yMode val="edge"/>
          <c:x val="0.10856771604721548"/>
          <c:y val="0.16384033678958446"/>
          <c:w val="0.50548232794161907"/>
          <c:h val="0.77073516800498942"/>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CD5-4F98-9FC4-C7C94C0E1B5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CD5-4F98-9FC4-C7C94C0E1B57}"/>
              </c:ext>
            </c:extLst>
          </c:dPt>
          <c:dLbls>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'Ref Sheet'!$R$1:$S$1</c:f>
              <c:strCache>
                <c:ptCount val="2"/>
                <c:pt idx="0">
                  <c:v>Avg. Time w/Legal</c:v>
                </c:pt>
                <c:pt idx="1">
                  <c:v>Avg. Time w/Stakeholder</c:v>
                </c:pt>
              </c:strCache>
            </c:strRef>
          </c:cat>
          <c:val>
            <c:numRef>
              <c:f>'Ref Sheet'!$R$14:$S$14</c:f>
              <c:numCache>
                <c:formatCode>0</c:formatCode>
                <c:ptCount val="2"/>
                <c:pt idx="0">
                  <c:v>10.166315409736463</c:v>
                </c:pt>
                <c:pt idx="1">
                  <c:v>58.072222222222216</c:v>
                </c:pt>
              </c:numCache>
            </c:numRef>
          </c:val>
          <c:extLst>
            <c:ext xmlns:c16="http://schemas.microsoft.com/office/drawing/2014/chart" uri="{C3380CC4-5D6E-409C-BE32-E72D297353CC}">
              <c16:uniqueId val="{00000004-6CD5-4F98-9FC4-C7C94C0E1B57}"/>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rtl="0">
            <a:defRPr sz="9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38100" cap="flat" cmpd="sng" algn="ctr">
      <a:solidFill>
        <a:schemeClr val="accent2">
          <a:lumMod val="20000"/>
          <a:lumOff val="80000"/>
        </a:schemeClr>
      </a:solidFill>
      <a:round/>
    </a:ln>
    <a:effectLst/>
  </c:spPr>
  <c:txPr>
    <a:bodyPr/>
    <a:lstStyle/>
    <a:p>
      <a:pPr>
        <a:defRPr>
          <a:solidFill>
            <a:schemeClr val="tx1"/>
          </a:solidFill>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solidFill>
                <a:latin typeface="Georgia" panose="02040502050405020303" pitchFamily="18" charset="0"/>
                <a:ea typeface="+mn-ea"/>
                <a:cs typeface="+mn-cs"/>
              </a:defRPr>
            </a:pPr>
            <a:r>
              <a:rPr lang="en-GB" b="1">
                <a:latin typeface="Georgia" panose="02040502050405020303" pitchFamily="18" charset="0"/>
              </a:rPr>
              <a:t>Open</a:t>
            </a:r>
            <a:r>
              <a:rPr lang="en-GB" b="1" baseline="0">
                <a:latin typeface="Georgia" panose="02040502050405020303" pitchFamily="18" charset="0"/>
              </a:rPr>
              <a:t> </a:t>
            </a:r>
            <a:r>
              <a:rPr lang="en-GB" b="1">
                <a:latin typeface="Georgia" panose="02040502050405020303" pitchFamily="18" charset="0"/>
              </a:rPr>
              <a:t>Contracts by Stage</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Georgia" panose="02040502050405020303" pitchFamily="18" charset="0"/>
              <a:ea typeface="+mn-ea"/>
              <a:cs typeface="+mn-cs"/>
            </a:defRPr>
          </a:pPr>
          <a:endParaRPr lang="en-US"/>
        </a:p>
      </c:txPr>
    </c:title>
    <c:autoTitleDeleted val="0"/>
    <c:plotArea>
      <c:layout/>
      <c:barChart>
        <c:barDir val="bar"/>
        <c:grouping val="clustered"/>
        <c:varyColors val="0"/>
        <c:ser>
          <c:idx val="0"/>
          <c:order val="0"/>
          <c:spPr>
            <a:solidFill>
              <a:schemeClr val="accent1"/>
            </a:solidFill>
            <a:ln>
              <a:noFill/>
            </a:ln>
            <a:effectLst/>
          </c:spPr>
          <c:invertIfNegative val="0"/>
          <c:cat>
            <c:strRef>
              <c:f>'Ref Sheet'!$V$2:$V$6</c:f>
              <c:strCache>
                <c:ptCount val="5"/>
                <c:pt idx="0">
                  <c:v>Received/Under Review</c:v>
                </c:pt>
                <c:pt idx="1">
                  <c:v>Drafted/Comments Sent</c:v>
                </c:pt>
                <c:pt idx="2">
                  <c:v>Further/Final Review</c:v>
                </c:pt>
                <c:pt idx="3">
                  <c:v>Counterparty Signature</c:v>
                </c:pt>
                <c:pt idx="4">
                  <c:v>Internal Signature</c:v>
                </c:pt>
              </c:strCache>
            </c:strRef>
          </c:cat>
          <c:val>
            <c:numRef>
              <c:f>'Ref Sheet'!$W$2:$W$6</c:f>
              <c:numCache>
                <c:formatCode>General</c:formatCode>
                <c:ptCount val="5"/>
                <c:pt idx="0">
                  <c:v>10</c:v>
                </c:pt>
                <c:pt idx="1">
                  <c:v>2</c:v>
                </c:pt>
                <c:pt idx="2">
                  <c:v>3</c:v>
                </c:pt>
                <c:pt idx="3">
                  <c:v>2</c:v>
                </c:pt>
                <c:pt idx="4">
                  <c:v>1</c:v>
                </c:pt>
              </c:numCache>
            </c:numRef>
          </c:val>
          <c:extLst>
            <c:ext xmlns:c16="http://schemas.microsoft.com/office/drawing/2014/chart" uri="{C3380CC4-5D6E-409C-BE32-E72D297353CC}">
              <c16:uniqueId val="{00000000-F7C3-49D3-82D3-668DA815BE8B}"/>
            </c:ext>
          </c:extLst>
        </c:ser>
        <c:dLbls>
          <c:showLegendKey val="0"/>
          <c:showVal val="0"/>
          <c:showCatName val="0"/>
          <c:showSerName val="0"/>
          <c:showPercent val="0"/>
          <c:showBubbleSize val="0"/>
        </c:dLbls>
        <c:gapWidth val="182"/>
        <c:axId val="803501416"/>
        <c:axId val="803503576"/>
      </c:barChart>
      <c:catAx>
        <c:axId val="803501416"/>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803503576"/>
        <c:crosses val="autoZero"/>
        <c:auto val="1"/>
        <c:lblAlgn val="ctr"/>
        <c:lblOffset val="100"/>
        <c:noMultiLvlLbl val="0"/>
      </c:catAx>
      <c:valAx>
        <c:axId val="803503576"/>
        <c:scaling>
          <c:orientation val="minMax"/>
        </c:scaling>
        <c:delete val="0"/>
        <c:axPos val="t"/>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8035014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38100" cap="flat" cmpd="sng" algn="ctr">
      <a:solidFill>
        <a:schemeClr val="accent2">
          <a:lumMod val="20000"/>
          <a:lumOff val="80000"/>
        </a:schemeClr>
      </a:solidFill>
      <a:round/>
    </a:ln>
    <a:effectLst/>
  </c:spPr>
  <c:txPr>
    <a:bodyPr/>
    <a:lstStyle/>
    <a:p>
      <a:pPr>
        <a:defRPr>
          <a:solidFill>
            <a:schemeClr val="tx1"/>
          </a:solidFill>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236220</xdr:colOff>
          <xdr:row>3</xdr:row>
          <xdr:rowOff>53340</xdr:rowOff>
        </xdr:from>
        <xdr:to>
          <xdr:col>3</xdr:col>
          <xdr:colOff>716280</xdr:colOff>
          <xdr:row>4</xdr:row>
          <xdr:rowOff>137160</xdr:rowOff>
        </xdr:to>
        <xdr:sp macro="" textlink="">
          <xdr:nvSpPr>
            <xdr:cNvPr id="2154" name="Button 106" hidden="1">
              <a:extLst>
                <a:ext uri="{63B3BB69-23CF-44E3-9099-C40C66FF867C}">
                  <a14:compatExt spid="_x0000_s2154"/>
                </a:ext>
                <a:ext uri="{FF2B5EF4-FFF2-40B4-BE49-F238E27FC236}">
                  <a16:creationId xmlns:a16="http://schemas.microsoft.com/office/drawing/2014/main" id="{00000000-0008-0000-0100-00006A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Add New Contract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160020</xdr:colOff>
          <xdr:row>3</xdr:row>
          <xdr:rowOff>53340</xdr:rowOff>
        </xdr:from>
        <xdr:to>
          <xdr:col>5</xdr:col>
          <xdr:colOff>563880</xdr:colOff>
          <xdr:row>4</xdr:row>
          <xdr:rowOff>137160</xdr:rowOff>
        </xdr:to>
        <xdr:sp macro="" textlink="">
          <xdr:nvSpPr>
            <xdr:cNvPr id="2155" name="Button 107" hidden="1">
              <a:extLst>
                <a:ext uri="{63B3BB69-23CF-44E3-9099-C40C66FF867C}">
                  <a14:compatExt spid="_x0000_s2155"/>
                </a:ext>
                <a:ext uri="{FF2B5EF4-FFF2-40B4-BE49-F238E27FC236}">
                  <a16:creationId xmlns:a16="http://schemas.microsoft.com/office/drawing/2014/main" id="{00000000-0008-0000-0100-00006B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Update Contract</a:t>
              </a:r>
            </a:p>
          </xdr:txBody>
        </xdr:sp>
        <xdr:clientData fPrintsWithSheet="0"/>
      </xdr:twoCellAnchor>
    </mc:Choice>
    <mc:Fallback/>
  </mc:AlternateContent>
  <xdr:twoCellAnchor>
    <xdr:from>
      <xdr:col>12</xdr:col>
      <xdr:colOff>142875</xdr:colOff>
      <xdr:row>1</xdr:row>
      <xdr:rowOff>20320</xdr:rowOff>
    </xdr:from>
    <xdr:to>
      <xdr:col>18</xdr:col>
      <xdr:colOff>257175</xdr:colOff>
      <xdr:row>11</xdr:row>
      <xdr:rowOff>200025</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119063</xdr:colOff>
      <xdr:row>11</xdr:row>
      <xdr:rowOff>333375</xdr:rowOff>
    </xdr:from>
    <xdr:to>
      <xdr:col>18</xdr:col>
      <xdr:colOff>257175</xdr:colOff>
      <xdr:row>26</xdr:row>
      <xdr:rowOff>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571501</xdr:colOff>
      <xdr:row>14</xdr:row>
      <xdr:rowOff>123825</xdr:rowOff>
    </xdr:from>
    <xdr:to>
      <xdr:col>12</xdr:col>
      <xdr:colOff>0</xdr:colOff>
      <xdr:row>25</xdr:row>
      <xdr:rowOff>161925</xdr:rowOff>
    </xdr:to>
    <xdr:graphicFrame macro="">
      <xdr:nvGraphicFramePr>
        <xdr:cNvPr id="3" name="Chart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14</xdr:row>
      <xdr:rowOff>114301</xdr:rowOff>
    </xdr:from>
    <xdr:to>
      <xdr:col>7</xdr:col>
      <xdr:colOff>447675</xdr:colOff>
      <xdr:row>25</xdr:row>
      <xdr:rowOff>161925</xdr:rowOff>
    </xdr:to>
    <xdr:graphicFrame macro="">
      <xdr:nvGraphicFramePr>
        <xdr:cNvPr id="5" name="Chart 4">
          <a:extLst>
            <a:ext uri="{FF2B5EF4-FFF2-40B4-BE49-F238E27FC236}">
              <a16:creationId xmlns:a16="http://schemas.microsoft.com/office/drawing/2014/main" id="{00000000-0008-0000-01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181AA7B-3A09-4C57-ABEE-948B50201ACD}" name="Table3" displayName="Table3" ref="A1:G887" totalsRowShown="0" headerRowDxfId="78" dataDxfId="76" headerRowBorderDxfId="77" tableBorderDxfId="75" totalsRowBorderDxfId="74">
  <autoFilter ref="A1:G887" xr:uid="{3181AA7B-3A09-4C57-ABEE-948B50201ACD}"/>
  <tableColumns count="7">
    <tableColumn id="1" xr3:uid="{21E9737E-5D66-4366-9EE6-2425517176B6}" name="Ref" dataDxfId="73"/>
    <tableColumn id="2" xr3:uid="{6D430C16-6D73-4343-9297-6FB05E16725A}" name="Date of Update" dataDxfId="72"/>
    <tableColumn id="3" xr3:uid="{97F1F188-D3E0-4F92-B222-C89FB81836E3}" name="Stage" dataDxfId="71"/>
    <tableColumn id="4" xr3:uid="{FF0CA788-37B5-462A-A0A8-9F4CDBBD7D6E}" name="Who With" dataDxfId="70"/>
    <tableColumn id="5" xr3:uid="{82ADFDDC-AF14-4AD9-8029-404AF4D6A20E}" name="Comments" dataDxfId="69"/>
    <tableColumn id="14" xr3:uid="{D3D7BAAC-1A4B-49C5-A9DE-AAD2E2FD481F}" name="Days with" dataDxfId="68">
      <calculatedColumnFormula array="1">IF(Table3[[#This Row],[Stage]]="Closed",0,IF(IFERROR(
  IF(
    COUNTIF(A$2:A$1997, A2) &gt; 1,
    MIN(IF(A$2:A$1997=A2, IF(B$2:B$1997&gt;B2, B$2:B$1997))) - B2,
    TODAY() - Table3[[#This Row],[Date of Update]]
  ),
  TODAY()-Table3[[#This Row],[Date of Update]]
)&lt;=0,
TODAY()-Table3[[#This Row],[Date of Update]],
IFERROR(
  IF(
    COUNTIF(A$2:A$1997, A2) &gt; 1,
    MIN(IF(A$2:A$1997=A2, IF(B$2:B$1997&gt;B2, B$2:B$1997))) - B2,
    TODAY() - Table3[[#This Row],[Date of Update]]
  ),
  TODAY()-Table3[[#This Row],[Date of Update]]
)))</calculatedColumnFormula>
    </tableColumn>
    <tableColumn id="16" xr3:uid="{05E16EDF-A932-448B-AD1C-99C95BD18BE7}" name="Total Cycle Time" dataDxfId="67">
      <calculatedColumnFormula>IF(Table3[[#This Row],[Stage]]="Closed",Table3[[#This Row],[Date of Update]]-(_xlfn.MINIFS(Table3[Date of Update],Table3[Ref], Table3[[#This Row],[Ref]])),"")</calculatedColumnFormula>
    </tableColumn>
  </tableColumns>
  <tableStyleInfo name="TableStyleLight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6AAC5F1-3ED3-4C7E-882E-4F6B9B2CA92A}" name="Table2" displayName="Table2" ref="A1:P457" totalsRowShown="0" headerRowDxfId="64" dataDxfId="62" headerRowBorderDxfId="63" tableBorderDxfId="61" totalsRowBorderDxfId="60">
  <autoFilter ref="A1:P457" xr:uid="{C6AAC5F1-3ED3-4C7E-882E-4F6B9B2CA92A}">
    <filterColumn colId="5">
      <filters>
        <filter val="Charlotte"/>
      </filters>
    </filterColumn>
    <filterColumn colId="12">
      <filters>
        <filter val="Open"/>
      </filters>
    </filterColumn>
  </autoFilter>
  <tableColumns count="16">
    <tableColumn id="1" xr3:uid="{E551287A-C855-42A2-9C01-B0185B60FCEF}" name="Ref" dataDxfId="59">
      <calculatedColumnFormula>IF(Table2[[#This Row],[Date Received]]="","",_xlfn.CONCAT(Table2[[#This Row],[Counterparty]]," - ",Table2[[#This Row],[Contract Name]]))</calculatedColumnFormula>
    </tableColumn>
    <tableColumn id="2" xr3:uid="{552F298A-2F5B-4FE0-A42C-2B4B07ACE46F}" name="Date Received" dataDxfId="58"/>
    <tableColumn id="3" xr3:uid="{06294A8E-1E08-4DE0-A5CB-A605615FCD6A}" name="Group Entity" dataDxfId="57"/>
    <tableColumn id="4" xr3:uid="{088EF421-0D64-4E50-965E-8A264B5BC1B1}" name="Counterparty" dataDxfId="56"/>
    <tableColumn id="5" xr3:uid="{2FDC00A8-8CAD-4F69-B32E-E6C7BA13D0D4}" name="Branch" dataDxfId="55"/>
    <tableColumn id="6" xr3:uid="{F122AC3D-A272-446F-BE55-2CD1F6683EDC}" name="Legal" dataDxfId="54"/>
    <tableColumn id="7" xr3:uid="{3451144A-B7B2-41F6-B057-F482A900674C}" name="Internal Dept" dataDxfId="53"/>
    <tableColumn id="8" xr3:uid="{475EB5E1-EA4E-4B62-849E-755B637C1237}" name="Contract Type" dataDxfId="52"/>
    <tableColumn id="9" xr3:uid="{3BE0EEE8-AAD7-4CAB-8D1E-A04318BBC3C4}" name="Contract Name" dataDxfId="51"/>
    <tableColumn id="10" xr3:uid="{34810230-A5BE-4B00-AB9A-36C39CFA08C4}" name="Internal Stakeholder" dataDxfId="50"/>
    <tableColumn id="11" xr3:uid="{C916A376-2AF2-4B4B-ACD4-134E68597D04}" name="Who With" dataDxfId="49"/>
    <tableColumn id="12" xr3:uid="{48C4FE0C-FF99-4F6B-85C1-AF9A95F50740}" name="Stage" dataDxfId="48"/>
    <tableColumn id="15" xr3:uid="{73EA078D-AE2E-4D90-899E-9E155EE40F38}" name="Overall Status" dataDxfId="47">
      <calculatedColumnFormula>IF(Table2[[#This Row],[Stage]]="Closed","Closed","Open")</calculatedColumnFormula>
    </tableColumn>
    <tableColumn id="14" xr3:uid="{A176A3F5-CCD5-4140-889B-CF1447B47926}" name="Commentary" dataDxfId="46"/>
    <tableColumn id="13" xr3:uid="{8DE29CC8-62B0-4954-AFDC-04C10A47631A}" name="Days with Legal" dataDxfId="45">
      <calculatedColumnFormula>SUMIFS(Table3[Days with], Table3[Ref], Table2[[#This Row],[Ref]],Table3[Who With],"Legal")</calculatedColumnFormula>
    </tableColumn>
    <tableColumn id="16" xr3:uid="{5A732EFA-97E2-423C-BB3A-B6413D327497}" name="Total Cycle Time" dataDxfId="44">
      <calculatedColumnFormula>SUMIFS(Table3[Total Cycle Time],Table3[Ref],Table2[[#This Row],[Ref]])</calculatedColumnFormula>
    </tableColumn>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262ED47-77EA-4F81-BF3A-908339E251B1}" name="Table4" displayName="Table4" ref="Q1:T14" totalsRowCount="1" dataDxfId="43">
  <autoFilter ref="Q1:T13" xr:uid="{4262ED47-77EA-4F81-BF3A-908339E251B1}"/>
  <tableColumns count="4">
    <tableColumn id="1" xr3:uid="{6B2A1E6A-BBBD-4849-9344-A77930163F63}" name="Date" totalsRowLabel="Total" dataDxfId="42" totalsRowDxfId="41"/>
    <tableColumn id="2" xr3:uid="{4A871280-8D12-463D-9114-53CD1E0266D6}" name="Avg. Time w/Legal" totalsRowFunction="average" dataDxfId="40" totalsRowDxfId="39"/>
    <tableColumn id="3" xr3:uid="{6613F0F1-6A9E-4A19-B516-DFA39668A8AD}" name="Avg. Time w/Stakeholder" totalsRowFunction="average" dataDxfId="38" totalsRowDxfId="37"/>
    <tableColumn id="4" xr3:uid="{DF66A1E2-CDF7-487F-9C92-E57778913221}" name="Avg. Total Cycle Time" totalsRowFunction="sum" dataDxfId="36" totalsRowDxfId="35"/>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CBDB537-FC39-4510-A9C4-5CC230284F87}" name="Table6" displayName="Table6" ref="L2:O41" totalsRowShown="0">
  <autoFilter ref="L2:O41" xr:uid="{CCBDB537-FC39-4510-A9C4-5CC230284F87}"/>
  <tableColumns count="4">
    <tableColumn id="1" xr3:uid="{F9ED3036-7C27-4F41-BDC5-56F8C5326A06}" name="Date" dataDxfId="34"/>
    <tableColumn id="2" xr3:uid="{35EB074F-190A-40C4-BF50-4A25E7C41FBA}" name="Strike off applications made" dataDxfId="33"/>
    <tableColumn id="3" xr3:uid="{D29302BF-5DF9-4632-B98F-28E9C1DE79DF}" name="No. Struck off" dataDxfId="32"/>
    <tableColumn id="4" xr3:uid="{83BFAA39-3D18-4D89-B141-543364012C3C}" name="Filings" dataDxfId="3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6E99FA4-DFBD-439C-BD0F-0FCB0A235ECC}" name="Table7" displayName="Table7" ref="G2:J41" totalsRowShown="0" headerRowDxfId="30" dataDxfId="29">
  <autoFilter ref="G2:J41" xr:uid="{76E99FA4-DFBD-439C-BD0F-0FCB0A235ECC}"/>
  <tableColumns count="4">
    <tableColumn id="1" xr3:uid="{0E4A8D4E-C341-45EA-9835-DA0405C055E6}" name="Date" dataDxfId="28"/>
    <tableColumn id="2" xr3:uid="{B365B5AD-5649-40B7-A30A-A1A3897D63A2}" name="New Contracts" dataDxfId="27"/>
    <tableColumn id="3" xr3:uid="{B9E8D5FD-6558-4A44-9802-EB40B1BDC372}" name="Closed Contracts" dataDxfId="26"/>
    <tableColumn id="4" xr3:uid="{269BB824-9EE1-4C45-94A0-35E3DE251DBB}" name="Rolling Open Contracts" dataDxfId="25">
      <calculatedColumnFormula>IF(G3&gt;TODAY(),"",J2+H3-I3)</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4E2CC9E-E34E-4431-89B9-697E7277714A}" name="Table25" displayName="Table25" ref="A1:G6" totalsRowShown="0" headerRowDxfId="24" dataDxfId="22" headerRowBorderDxfId="23" tableBorderDxfId="21" totalsRowBorderDxfId="20">
  <autoFilter ref="A1:G6" xr:uid="{F4E2CC9E-E34E-4431-89B9-697E7277714A}"/>
  <tableColumns count="7">
    <tableColumn id="1" xr3:uid="{5EA1D80A-FB48-4BC8-AFF8-2B43B8716B60}" name="Date of Fraud" dataDxfId="19"/>
    <tableColumn id="2" xr3:uid="{479462EC-2D7A-4D50-90AF-F5211D6C6E4E}" name="Date MGL made aware" dataDxfId="18"/>
    <tableColumn id="3" xr3:uid="{3041A952-B2DA-4E9E-B965-9DB859AA74FA}" name="MGL colleague making notification" dataDxfId="17"/>
    <tableColumn id="4" xr3:uid="{6F16542F-618C-4224-935D-470AB62515EC}" name="Department impacted" dataDxfId="16"/>
    <tableColumn id="5" xr3:uid="{5F3D2F12-FB22-40D8-8EA5-F7E94452A3FA}" name="Details" dataDxfId="15"/>
    <tableColumn id="6" xr3:uid="{5F5CF845-24C4-4C64-8E4F-D67861CEE3F6}" name="Loss suffered" dataDxfId="14"/>
    <tableColumn id="7" xr3:uid="{FC73D18D-F41E-4960-987F-49F39858C3F2}" name="Actions Taken" dataDxfId="13"/>
  </tableColumns>
  <tableStyleInfo name="TableStyleLight15"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8B3430-0D9C-40F1-8341-CB00A30971A2}" name="Table1" displayName="Table1" ref="A1:H11" totalsRowShown="0" headerRowDxfId="12" dataDxfId="10" headerRowBorderDxfId="11" tableBorderDxfId="9" totalsRowBorderDxfId="8">
  <autoFilter ref="A1:H11" xr:uid="{798B3430-0D9C-40F1-8341-CB00A30971A2}"/>
  <tableColumns count="8">
    <tableColumn id="1" xr3:uid="{5B3ACFB7-DE55-4C08-8EFC-A75BB5C3EC6A}" name="Start Date" dataDxfId="7"/>
    <tableColumn id="2" xr3:uid="{F8F75170-6790-4536-9634-02D2B79238B6}" name="Type of Work" dataDxfId="6"/>
    <tableColumn id="3" xr3:uid="{12BFF477-28A5-43AD-A193-E6BF40E73159}" name="Legal Team Member" dataDxfId="5"/>
    <tableColumn id="4" xr3:uid="{8EAFD08C-0114-4FAA-A5C4-4CF839FE75C5}" name="Details" dataDxfId="4"/>
    <tableColumn id="5" xr3:uid="{43BF195A-B40F-49F0-81ED-B484BD7D1FDF}" name="Proposed End Date" dataDxfId="3"/>
    <tableColumn id="8" xr3:uid="{F69E9130-BF33-45DF-BE41-54858E78D6F2}" name="Completion Date" dataDxfId="2"/>
    <tableColumn id="6" xr3:uid="{3F848574-CB28-458D-913C-722C450BC145}" name="Contact Name" dataDxfId="1"/>
    <tableColumn id="7" xr3:uid="{54DD89D1-6C2B-421C-B40B-4CC6A5450AC7}" name="Status" dataDxfId="0">
      <calculatedColumnFormula>IF(Table1[[#This Row],[Completion Date]]&gt;0,"Closed","Open")</calculatedColumnFormula>
    </tableColumn>
  </tableColumns>
  <tableStyleInfo name="TableStyleLight15" showFirstColumn="0" showLastColumn="0" showRowStripes="1" showColumnStripes="0"/>
</table>
</file>

<file path=xl/theme/theme1.xml><?xml version="1.0" encoding="utf-8"?>
<a:theme xmlns:a="http://schemas.openxmlformats.org/drawingml/2006/main" name="Medivet Theme1">
  <a:themeElements>
    <a:clrScheme name="00">
      <a:dk1>
        <a:srgbClr val="00206F"/>
      </a:dk1>
      <a:lt1>
        <a:srgbClr val="FFFFFF"/>
      </a:lt1>
      <a:dk2>
        <a:srgbClr val="00206F"/>
      </a:dk2>
      <a:lt2>
        <a:srgbClr val="FFFFFF"/>
      </a:lt2>
      <a:accent1>
        <a:srgbClr val="DD4A61"/>
      </a:accent1>
      <a:accent2>
        <a:srgbClr val="649AB0"/>
      </a:accent2>
      <a:accent3>
        <a:srgbClr val="4F7F70"/>
      </a:accent3>
      <a:accent4>
        <a:srgbClr val="644B78"/>
      </a:accent4>
      <a:accent5>
        <a:srgbClr val="B55937"/>
      </a:accent5>
      <a:accent6>
        <a:srgbClr val="4C374B"/>
      </a:accent6>
      <a:hlink>
        <a:srgbClr val="CD4960"/>
      </a:hlink>
      <a:folHlink>
        <a:srgbClr val="CD4960"/>
      </a:folHlink>
    </a:clrScheme>
    <a:fontScheme name="Arial">
      <a:maj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Them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Medivet Theme1" id="{C3F9F718-0E76-45F6-96DE-7ECFC208EE6E}" vid="{AFE6BA3E-D183-4808-868B-84FF3948717E}"/>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1" Type="http://schemas.openxmlformats.org/officeDocument/2006/relationships/table" Target="../tables/table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7B0DC-EBD1-4FD0-BFD2-F8F8CDA8CFC5}">
  <sheetPr codeName="Sheet4">
    <tabColor rgb="FFFF0000"/>
  </sheetPr>
  <dimension ref="A1:J887"/>
  <sheetViews>
    <sheetView topLeftCell="A851" zoomScale="81" workbookViewId="0">
      <selection activeCell="D880" sqref="D880"/>
    </sheetView>
  </sheetViews>
  <sheetFormatPr defaultRowHeight="13.2" x14ac:dyDescent="0.25"/>
  <cols>
    <col min="1" max="1" width="39.296875" style="23" customWidth="1"/>
    <col min="2" max="2" width="12" style="23" customWidth="1"/>
    <col min="3" max="3" width="8.796875" style="23"/>
    <col min="4" max="4" width="9.09765625" style="23" customWidth="1"/>
    <col min="5" max="5" width="22.296875" style="23" customWidth="1"/>
    <col min="6" max="6" width="9.3984375" style="23" customWidth="1"/>
    <col min="7" max="7" width="10.5" style="23" customWidth="1"/>
    <col min="8" max="8" width="10.8984375" style="23" customWidth="1"/>
    <col min="9" max="11" width="8.796875" style="23"/>
    <col min="12" max="12" width="8" style="23"/>
    <col min="13" max="16384" width="8.796875" style="23"/>
  </cols>
  <sheetData>
    <row r="1" spans="1:10" ht="26.4" x14ac:dyDescent="0.25">
      <c r="A1" s="65" t="s">
        <v>19</v>
      </c>
      <c r="B1" s="66" t="s">
        <v>25</v>
      </c>
      <c r="C1" s="66" t="s">
        <v>22</v>
      </c>
      <c r="D1" s="66" t="s">
        <v>9</v>
      </c>
      <c r="E1" s="66" t="s">
        <v>26</v>
      </c>
      <c r="F1" s="66" t="s">
        <v>1458</v>
      </c>
      <c r="G1" s="67" t="s">
        <v>195</v>
      </c>
      <c r="J1" s="46" t="s">
        <v>23</v>
      </c>
    </row>
    <row r="2" spans="1:10" x14ac:dyDescent="0.25">
      <c r="A2" s="39" t="s">
        <v>1090</v>
      </c>
      <c r="B2" s="33">
        <v>44616</v>
      </c>
      <c r="C2" s="32" t="s">
        <v>23</v>
      </c>
      <c r="D2" s="32" t="s">
        <v>4</v>
      </c>
      <c r="E2" s="32"/>
      <c r="F2" s="32" cm="1">
        <f t="array" aca="1" ref="F2" ca="1">IF(Table3[[#This Row],[Stage]]="Closed",0,IF(IFERROR(
  IF(
    COUNTIF(A$2:A$1997, A2) &gt; 1,
    MIN(IF(A$2:A$1997=A2, IF(B$2:B$1997&gt;B2, B$2:B$1997))) - B2,
    TODAY() - Table3[[#This Row],[Date of Update]]
  ),
  TODAY()-Table3[[#This Row],[Date of Update]]
)&lt;=0,
TODAY()-Table3[[#This Row],[Date of Update]],
IFERROR(
  IF(
    COUNTIF(A$2:A$1997, A2) &gt; 1,
    MIN(IF(A$2:A$1997=A2, IF(B$2:B$1997&gt;B2, B$2:B$1997))) - B2,
    TODAY() - Table3[[#This Row],[Date of Update]]
  ),
  TODAY()-Table3[[#This Row],[Date of Update]]
)))</f>
        <v>18</v>
      </c>
      <c r="G2" s="40" t="str">
        <f>IF(Table3[[#This Row],[Stage]]="Closed",Table3[[#This Row],[Date of Update]]-(_xlfn.MINIFS(Table3[Date of Update],Table3[Ref], Table3[[#This Row],[Ref]])),"")</f>
        <v/>
      </c>
      <c r="J2" s="46" t="s">
        <v>164</v>
      </c>
    </row>
    <row r="3" spans="1:10" x14ac:dyDescent="0.25">
      <c r="A3" s="39" t="s">
        <v>1510</v>
      </c>
      <c r="B3" s="33">
        <v>44616</v>
      </c>
      <c r="C3" s="32" t="s">
        <v>23</v>
      </c>
      <c r="D3" s="32" t="s">
        <v>4</v>
      </c>
      <c r="E3" s="32"/>
      <c r="F3" s="32" cm="1">
        <f t="array" aca="1" ref="F3" ca="1">IF(Table3[[#This Row],[Stage]]="Closed",0,IF(IFERROR(
  IF(
    COUNTIF(A$2:A$1997, A3) &gt; 1,
    MIN(IF(A$2:A$1997=A3, IF(B$2:B$1997&gt;B3, B$2:B$1997))) - B3,
    TODAY() - Table3[[#This Row],[Date of Update]]
  ),
  TODAY()-Table3[[#This Row],[Date of Update]]
)&lt;=0,
TODAY()-Table3[[#This Row],[Date of Update]],
IFERROR(
  IF(
    COUNTIF(A$2:A$1997, A3) &gt; 1,
    MIN(IF(A$2:A$1997=A3, IF(B$2:B$1997&gt;B3, B$2:B$1997))) - B3,
    TODAY() - Table3[[#This Row],[Date of Update]]
  ),
  TODAY()-Table3[[#This Row],[Date of Update]]
)))</f>
        <v>6</v>
      </c>
      <c r="G3" s="40" t="str">
        <f>IF(Table3[[#This Row],[Stage]]="Closed",Table3[[#This Row],[Date of Update]]-(_xlfn.MINIFS(Table3[Date of Update],Table3[Ref], Table3[[#This Row],[Ref]])),"")</f>
        <v/>
      </c>
      <c r="J3" s="46" t="s">
        <v>166</v>
      </c>
    </row>
    <row r="4" spans="1:10" x14ac:dyDescent="0.25">
      <c r="A4" s="39" t="s">
        <v>1088</v>
      </c>
      <c r="B4" s="33">
        <v>44617</v>
      </c>
      <c r="C4" s="32" t="s">
        <v>23</v>
      </c>
      <c r="D4" s="32" t="s">
        <v>4</v>
      </c>
      <c r="E4" s="32"/>
      <c r="F4" s="32" cm="1">
        <f t="array" aca="1" ref="F4" ca="1">IF(Table3[[#This Row],[Stage]]="Closed",0,IF(IFERROR(
  IF(
    COUNTIF(A$2:A$1997, A4) &gt; 1,
    MIN(IF(A$2:A$1997=A4, IF(B$2:B$1997&gt;B4, B$2:B$1997))) - B4,
    TODAY() - Table3[[#This Row],[Date of Update]]
  ),
  TODAY()-Table3[[#This Row],[Date of Update]]
)&lt;=0,
TODAY()-Table3[[#This Row],[Date of Update]],
IFERROR(
  IF(
    COUNTIF(A$2:A$1997, A4) &gt; 1,
    MIN(IF(A$2:A$1997=A4, IF(B$2:B$1997&gt;B4, B$2:B$1997))) - B4,
    TODAY() - Table3[[#This Row],[Date of Update]]
  ),
  TODAY()-Table3[[#This Row],[Date of Update]]
)))</f>
        <v>7</v>
      </c>
      <c r="G4" s="40" t="str">
        <f>IF(Table3[[#This Row],[Stage]]="Closed",Table3[[#This Row],[Date of Update]]-(_xlfn.MINIFS(Table3[Date of Update],Table3[Ref], Table3[[#This Row],[Ref]])),"")</f>
        <v/>
      </c>
      <c r="J4" s="46" t="s">
        <v>167</v>
      </c>
    </row>
    <row r="5" spans="1:10" x14ac:dyDescent="0.25">
      <c r="A5" s="39" t="s">
        <v>1091</v>
      </c>
      <c r="B5" s="33">
        <v>44617</v>
      </c>
      <c r="C5" s="32" t="s">
        <v>23</v>
      </c>
      <c r="D5" s="32" t="s">
        <v>4</v>
      </c>
      <c r="E5" s="32"/>
      <c r="F5" s="32" cm="1">
        <f t="array" aca="1" ref="F5" ca="1">IF(Table3[[#This Row],[Stage]]="Closed",0,IF(IFERROR(
  IF(
    COUNTIF(A$2:A$1997, A5) &gt; 1,
    MIN(IF(A$2:A$1997=A5, IF(B$2:B$1997&gt;B5, B$2:B$1997))) - B5,
    TODAY() - Table3[[#This Row],[Date of Update]]
  ),
  TODAY()-Table3[[#This Row],[Date of Update]]
)&lt;=0,
TODAY()-Table3[[#This Row],[Date of Update]],
IFERROR(
  IF(
    COUNTIF(A$2:A$1997, A5) &gt; 1,
    MIN(IF(A$2:A$1997=A5, IF(B$2:B$1997&gt;B5, B$2:B$1997))) - B5,
    TODAY() - Table3[[#This Row],[Date of Update]]
  ),
  TODAY()-Table3[[#This Row],[Date of Update]]
)))</f>
        <v>17</v>
      </c>
      <c r="G5" s="40" t="str">
        <f>IF(Table3[[#This Row],[Stage]]="Closed",Table3[[#This Row],[Date of Update]]-(_xlfn.MINIFS(Table3[Date of Update],Table3[Ref], Table3[[#This Row],[Ref]])),"")</f>
        <v/>
      </c>
      <c r="J5" s="46" t="s">
        <v>168</v>
      </c>
    </row>
    <row r="6" spans="1:10" x14ac:dyDescent="0.25">
      <c r="A6" s="39" t="s">
        <v>1093</v>
      </c>
      <c r="B6" s="33">
        <v>44617</v>
      </c>
      <c r="C6" s="32" t="s">
        <v>23</v>
      </c>
      <c r="D6" s="32" t="s">
        <v>4</v>
      </c>
      <c r="E6" s="32" t="s">
        <v>214</v>
      </c>
      <c r="F6" s="32" cm="1">
        <f t="array" aca="1" ref="F6" ca="1">IF(Table3[[#This Row],[Stage]]="Closed",0,IF(IFERROR(
  IF(
    COUNTIF(A$2:A$1997, A6) &gt; 1,
    MIN(IF(A$2:A$1997=A6, IF(B$2:B$1997&gt;B6, B$2:B$1997))) - B6,
    TODAY() - Table3[[#This Row],[Date of Update]]
  ),
  TODAY()-Table3[[#This Row],[Date of Update]]
)&lt;=0,
TODAY()-Table3[[#This Row],[Date of Update]],
IFERROR(
  IF(
    COUNTIF(A$2:A$1997, A6) &gt; 1,
    MIN(IF(A$2:A$1997=A6, IF(B$2:B$1997&gt;B6, B$2:B$1997))) - B6,
    TODAY() - Table3[[#This Row],[Date of Update]]
  ),
  TODAY()-Table3[[#This Row],[Date of Update]]
)))</f>
        <v>30</v>
      </c>
      <c r="G6" s="40" t="str">
        <f>IF(Table3[[#This Row],[Stage]]="Closed",Table3[[#This Row],[Date of Update]]-(_xlfn.MINIFS(Table3[Date of Update],Table3[Ref], Table3[[#This Row],[Ref]])),"")</f>
        <v/>
      </c>
      <c r="J6" s="46" t="s">
        <v>169</v>
      </c>
    </row>
    <row r="7" spans="1:10" x14ac:dyDescent="0.25">
      <c r="A7" s="39" t="s">
        <v>1094</v>
      </c>
      <c r="B7" s="33">
        <v>44620</v>
      </c>
      <c r="C7" s="32" t="s">
        <v>23</v>
      </c>
      <c r="D7" s="32" t="s">
        <v>4</v>
      </c>
      <c r="E7" s="32" t="s">
        <v>217</v>
      </c>
      <c r="F7" s="32" cm="1">
        <f t="array" aca="1" ref="F7" ca="1">IF(Table3[[#This Row],[Stage]]="Closed",0,IF(IFERROR(
  IF(
    COUNTIF(A$2:A$1997, A7) &gt; 1,
    MIN(IF(A$2:A$1997=A7, IF(B$2:B$1997&gt;B7, B$2:B$1997))) - B7,
    TODAY() - Table3[[#This Row],[Date of Update]]
  ),
  TODAY()-Table3[[#This Row],[Date of Update]]
)&lt;=0,
TODAY()-Table3[[#This Row],[Date of Update]],
IFERROR(
  IF(
    COUNTIF(A$2:A$1997, A7) &gt; 1,
    MIN(IF(A$2:A$1997=A7, IF(B$2:B$1997&gt;B7, B$2:B$1997))) - B7,
    TODAY() - Table3[[#This Row],[Date of Update]]
  ),
  TODAY()-Table3[[#This Row],[Date of Update]]
)))</f>
        <v>30</v>
      </c>
      <c r="G7" s="40" t="str">
        <f>IF(Table3[[#This Row],[Stage]]="Closed",Table3[[#This Row],[Date of Update]]-(_xlfn.MINIFS(Table3[Date of Update],Table3[Ref], Table3[[#This Row],[Ref]])),"")</f>
        <v/>
      </c>
      <c r="J7" s="46"/>
    </row>
    <row r="8" spans="1:10" x14ac:dyDescent="0.25">
      <c r="A8" s="39" t="s">
        <v>1510</v>
      </c>
      <c r="B8" s="33">
        <v>44622</v>
      </c>
      <c r="C8" s="32" t="s">
        <v>169</v>
      </c>
      <c r="D8" s="32" t="s">
        <v>4</v>
      </c>
      <c r="E8" s="32"/>
      <c r="F8" s="32" cm="1">
        <f t="array" aca="1" ref="F8" ca="1">IF(Table3[[#This Row],[Stage]]="Closed",0,IF(IFERROR(
  IF(
    COUNTIF(A$2:A$1997, A8) &gt; 1,
    MIN(IF(A$2:A$1997=A8, IF(B$2:B$1997&gt;B8, B$2:B$1997))) - B8,
    TODAY() - Table3[[#This Row],[Date of Update]]
  ),
  TODAY()-Table3[[#This Row],[Date of Update]]
)&lt;=0,
TODAY()-Table3[[#This Row],[Date of Update]],
IFERROR(
  IF(
    COUNTIF(A$2:A$1997, A8) &gt; 1,
    MIN(IF(A$2:A$1997=A8, IF(B$2:B$1997&gt;B8, B$2:B$1997))) - B8,
    TODAY() - Table3[[#This Row],[Date of Update]]
  ),
  TODAY()-Table3[[#This Row],[Date of Update]]
)))</f>
        <v>0</v>
      </c>
      <c r="G8" s="40">
        <f>IF(Table3[[#This Row],[Stage]]="Closed",Table3[[#This Row],[Date of Update]]-(_xlfn.MINIFS(Table3[Date of Update],Table3[Ref], Table3[[#This Row],[Ref]])),"")</f>
        <v>6</v>
      </c>
    </row>
    <row r="9" spans="1:10" x14ac:dyDescent="0.25">
      <c r="A9" s="39" t="s">
        <v>1088</v>
      </c>
      <c r="B9" s="33">
        <v>44624</v>
      </c>
      <c r="C9" s="32" t="s">
        <v>169</v>
      </c>
      <c r="D9" s="32" t="s">
        <v>4</v>
      </c>
      <c r="E9" s="32"/>
      <c r="F9" s="32" cm="1">
        <f t="array" aca="1" ref="F9" ca="1">IF(Table3[[#This Row],[Stage]]="Closed",0,IF(IFERROR(
  IF(
    COUNTIF(A$2:A$1997, A9) &gt; 1,
    MIN(IF(A$2:A$1997=A9, IF(B$2:B$1997&gt;B9, B$2:B$1997))) - B9,
    TODAY() - Table3[[#This Row],[Date of Update]]
  ),
  TODAY()-Table3[[#This Row],[Date of Update]]
)&lt;=0,
TODAY()-Table3[[#This Row],[Date of Update]],
IFERROR(
  IF(
    COUNTIF(A$2:A$1997, A9) &gt; 1,
    MIN(IF(A$2:A$1997=A9, IF(B$2:B$1997&gt;B9, B$2:B$1997))) - B9,
    TODAY() - Table3[[#This Row],[Date of Update]]
  ),
  TODAY()-Table3[[#This Row],[Date of Update]]
)))</f>
        <v>0</v>
      </c>
      <c r="G9" s="40">
        <f>IF(Table3[[#This Row],[Stage]]="Closed",Table3[[#This Row],[Date of Update]]-(_xlfn.MINIFS(Table3[Date of Update],Table3[Ref], Table3[[#This Row],[Ref]])),"")</f>
        <v>7</v>
      </c>
    </row>
    <row r="10" spans="1:10" x14ac:dyDescent="0.25">
      <c r="A10" s="39" t="s">
        <v>1511</v>
      </c>
      <c r="B10" s="33">
        <v>44627</v>
      </c>
      <c r="C10" s="32" t="s">
        <v>23</v>
      </c>
      <c r="D10" s="32" t="s">
        <v>4</v>
      </c>
      <c r="E10" s="32"/>
      <c r="F10" s="32" cm="1">
        <f t="array" aca="1" ref="F10" ca="1">IF(Table3[[#This Row],[Stage]]="Closed",0,IF(IFERROR(
  IF(
    COUNTIF(A$2:A$1997, A10) &gt; 1,
    MIN(IF(A$2:A$1997=A10, IF(B$2:B$1997&gt;B10, B$2:B$1997))) - B10,
    TODAY() - Table3[[#This Row],[Date of Update]]
  ),
  TODAY()-Table3[[#This Row],[Date of Update]]
)&lt;=0,
TODAY()-Table3[[#This Row],[Date of Update]],
IFERROR(
  IF(
    COUNTIF(A$2:A$1997, A10) &gt; 1,
    MIN(IF(A$2:A$1997=A10, IF(B$2:B$1997&gt;B10, B$2:B$1997))) - B10,
    TODAY() - Table3[[#This Row],[Date of Update]]
  ),
  TODAY()-Table3[[#This Row],[Date of Update]]
)))</f>
        <v>4</v>
      </c>
      <c r="G10" s="40" t="str">
        <f>IF(Table3[[#This Row],[Stage]]="Closed",Table3[[#This Row],[Date of Update]]-(_xlfn.MINIFS(Table3[Date of Update],Table3[Ref], Table3[[#This Row],[Ref]])),"")</f>
        <v/>
      </c>
    </row>
    <row r="11" spans="1:10" x14ac:dyDescent="0.25">
      <c r="A11" s="39" t="s">
        <v>1512</v>
      </c>
      <c r="B11" s="33">
        <v>44629</v>
      </c>
      <c r="C11" s="32" t="s">
        <v>23</v>
      </c>
      <c r="D11" s="32" t="s">
        <v>4</v>
      </c>
      <c r="E11" s="32"/>
      <c r="F11" s="32" cm="1">
        <f t="array" aca="1" ref="F11" ca="1">IF(Table3[[#This Row],[Stage]]="Closed",0,IF(IFERROR(
  IF(
    COUNTIF(A$2:A$1997, A11) &gt; 1,
    MIN(IF(A$2:A$1997=A11, IF(B$2:B$1997&gt;B11, B$2:B$1997))) - B11,
    TODAY() - Table3[[#This Row],[Date of Update]]
  ),
  TODAY()-Table3[[#This Row],[Date of Update]]
)&lt;=0,
TODAY()-Table3[[#This Row],[Date of Update]],
IFERROR(
  IF(
    COUNTIF(A$2:A$1997, A11) &gt; 1,
    MIN(IF(A$2:A$1997=A11, IF(B$2:B$1997&gt;B11, B$2:B$1997))) - B11,
    TODAY() - Table3[[#This Row],[Date of Update]]
  ),
  TODAY()-Table3[[#This Row],[Date of Update]]
)))</f>
        <v>12</v>
      </c>
      <c r="G11" s="40" t="str">
        <f>IF(Table3[[#This Row],[Stage]]="Closed",Table3[[#This Row],[Date of Update]]-(_xlfn.MINIFS(Table3[Date of Update],Table3[Ref], Table3[[#This Row],[Ref]])),"")</f>
        <v/>
      </c>
    </row>
    <row r="12" spans="1:10" x14ac:dyDescent="0.25">
      <c r="A12" s="39" t="s">
        <v>1496</v>
      </c>
      <c r="B12" s="33">
        <v>44630</v>
      </c>
      <c r="C12" s="32" t="s">
        <v>23</v>
      </c>
      <c r="D12" s="32" t="s">
        <v>4</v>
      </c>
      <c r="E12" s="32" t="s">
        <v>206</v>
      </c>
      <c r="F12" s="32" cm="1">
        <f t="array" aca="1" ref="F12" ca="1">IF(Table3[[#This Row],[Stage]]="Closed",0,IF(IFERROR(
  IF(
    COUNTIF(A$2:A$1997, A12) &gt; 1,
    MIN(IF(A$2:A$1997=A12, IF(B$2:B$1997&gt;B12, B$2:B$1997))) - B12,
    TODAY() - Table3[[#This Row],[Date of Update]]
  ),
  TODAY()-Table3[[#This Row],[Date of Update]]
)&lt;=0,
TODAY()-Table3[[#This Row],[Date of Update]],
IFERROR(
  IF(
    COUNTIF(A$2:A$1997, A12) &gt; 1,
    MIN(IF(A$2:A$1997=A12, IF(B$2:B$1997&gt;B12, B$2:B$1997))) - B12,
    TODAY() - Table3[[#This Row],[Date of Update]]
  ),
  TODAY()-Table3[[#This Row],[Date of Update]]
)))</f>
        <v>31</v>
      </c>
      <c r="G12" s="40" t="str">
        <f>IF(Table3[[#This Row],[Stage]]="Closed",Table3[[#This Row],[Date of Update]]-(_xlfn.MINIFS(Table3[Date of Update],Table3[Ref], Table3[[#This Row],[Ref]])),"")</f>
        <v/>
      </c>
    </row>
    <row r="13" spans="1:10" x14ac:dyDescent="0.25">
      <c r="A13" s="39" t="s">
        <v>1514</v>
      </c>
      <c r="B13" s="33">
        <v>44630</v>
      </c>
      <c r="C13" s="32" t="s">
        <v>23</v>
      </c>
      <c r="D13" s="32" t="s">
        <v>4</v>
      </c>
      <c r="E13" s="32"/>
      <c r="F13" s="32" cm="1">
        <f t="array" aca="1" ref="F13" ca="1">IF(Table3[[#This Row],[Stage]]="Closed",0,IF(IFERROR(
  IF(
    COUNTIF(A$2:A$1997, A13) &gt; 1,
    MIN(IF(A$2:A$1997=A13, IF(B$2:B$1997&gt;B13, B$2:B$1997))) - B13,
    TODAY() - Table3[[#This Row],[Date of Update]]
  ),
  TODAY()-Table3[[#This Row],[Date of Update]]
)&lt;=0,
TODAY()-Table3[[#This Row],[Date of Update]],
IFERROR(
  IF(
    COUNTIF(A$2:A$1997, A13) &gt; 1,
    MIN(IF(A$2:A$1997=A13, IF(B$2:B$1997&gt;B13, B$2:B$1997))) - B13,
    TODAY() - Table3[[#This Row],[Date of Update]]
  ),
  TODAY()-Table3[[#This Row],[Date of Update]]
)))</f>
        <v>27</v>
      </c>
      <c r="G13" s="40" t="str">
        <f>IF(Table3[[#This Row],[Stage]]="Closed",Table3[[#This Row],[Date of Update]]-(_xlfn.MINIFS(Table3[Date of Update],Table3[Ref], Table3[[#This Row],[Ref]])),"")</f>
        <v/>
      </c>
    </row>
    <row r="14" spans="1:10" x14ac:dyDescent="0.25">
      <c r="A14" s="39" t="s">
        <v>1494</v>
      </c>
      <c r="B14" s="33">
        <v>44631</v>
      </c>
      <c r="C14" s="32" t="s">
        <v>23</v>
      </c>
      <c r="D14" s="32" t="s">
        <v>4</v>
      </c>
      <c r="E14" s="32" t="s">
        <v>206</v>
      </c>
      <c r="F14" s="32" cm="1">
        <f t="array" aca="1" ref="F14" ca="1">IF(Table3[[#This Row],[Stage]]="Closed",0,IF(IFERROR(
  IF(
    COUNTIF(A$2:A$1997, A14) &gt; 1,
    MIN(IF(A$2:A$1997=A14, IF(B$2:B$1997&gt;B14, B$2:B$1997))) - B14,
    TODAY() - Table3[[#This Row],[Date of Update]]
  ),
  TODAY()-Table3[[#This Row],[Date of Update]]
)&lt;=0,
TODAY()-Table3[[#This Row],[Date of Update]],
IFERROR(
  IF(
    COUNTIF(A$2:A$1997, A14) &gt; 1,
    MIN(IF(A$2:A$1997=A14, IF(B$2:B$1997&gt;B14, B$2:B$1997))) - B14,
    TODAY() - Table3[[#This Row],[Date of Update]]
  ),
  TODAY()-Table3[[#This Row],[Date of Update]]
)))</f>
        <v>1104</v>
      </c>
      <c r="G14" s="40" t="str">
        <f>IF(Table3[[#This Row],[Stage]]="Closed",Table3[[#This Row],[Date of Update]]-(_xlfn.MINIFS(Table3[Date of Update],Table3[Ref], Table3[[#This Row],[Ref]])),"")</f>
        <v/>
      </c>
    </row>
    <row r="15" spans="1:10" x14ac:dyDescent="0.25">
      <c r="A15" s="39" t="s">
        <v>1494</v>
      </c>
      <c r="B15" s="33">
        <v>44631</v>
      </c>
      <c r="C15" s="32" t="s">
        <v>169</v>
      </c>
      <c r="D15" s="32" t="s">
        <v>4</v>
      </c>
      <c r="E15" s="32" t="s">
        <v>206</v>
      </c>
      <c r="F15" s="32" cm="1">
        <f t="array" aca="1" ref="F15" ca="1">IF(Table3[[#This Row],[Stage]]="Closed",0,IF(IFERROR(
  IF(
    COUNTIF(A$2:A$1997, A15) &gt; 1,
    MIN(IF(A$2:A$1997=A15, IF(B$2:B$1997&gt;B15, B$2:B$1997))) - B15,
    TODAY() - Table3[[#This Row],[Date of Update]]
  ),
  TODAY()-Table3[[#This Row],[Date of Update]]
)&lt;=0,
TODAY()-Table3[[#This Row],[Date of Update]],
IFERROR(
  IF(
    COUNTIF(A$2:A$1997, A15) &gt; 1,
    MIN(IF(A$2:A$1997=A15, IF(B$2:B$1997&gt;B15, B$2:B$1997))) - B15,
    TODAY() - Table3[[#This Row],[Date of Update]]
  ),
  TODAY()-Table3[[#This Row],[Date of Update]]
)))</f>
        <v>0</v>
      </c>
      <c r="G15" s="40">
        <f>IF(Table3[[#This Row],[Stage]]="Closed",Table3[[#This Row],[Date of Update]]-(_xlfn.MINIFS(Table3[Date of Update],Table3[Ref], Table3[[#This Row],[Ref]])),"")</f>
        <v>0</v>
      </c>
    </row>
    <row r="16" spans="1:10" x14ac:dyDescent="0.25">
      <c r="A16" s="39" t="s">
        <v>1497</v>
      </c>
      <c r="B16" s="33">
        <v>44631</v>
      </c>
      <c r="C16" s="32" t="s">
        <v>23</v>
      </c>
      <c r="D16" s="32" t="s">
        <v>4</v>
      </c>
      <c r="E16" s="32" t="s">
        <v>206</v>
      </c>
      <c r="F16" s="32" cm="1">
        <f t="array" aca="1" ref="F16" ca="1">IF(Table3[[#This Row],[Stage]]="Closed",0,IF(IFERROR(
  IF(
    COUNTIF(A$2:A$1997, A16) &gt; 1,
    MIN(IF(A$2:A$1997=A16, IF(B$2:B$1997&gt;B16, B$2:B$1997))) - B16,
    TODAY() - Table3[[#This Row],[Date of Update]]
  ),
  TODAY()-Table3[[#This Row],[Date of Update]]
)&lt;=0,
TODAY()-Table3[[#This Row],[Date of Update]],
IFERROR(
  IF(
    COUNTIF(A$2:A$1997, A16) &gt; 1,
    MIN(IF(A$2:A$1997=A16, IF(B$2:B$1997&gt;B16, B$2:B$1997))) - B16,
    TODAY() - Table3[[#This Row],[Date of Update]]
  ),
  TODAY()-Table3[[#This Row],[Date of Update]]
)))</f>
        <v>30</v>
      </c>
      <c r="G16" s="40" t="str">
        <f>IF(Table3[[#This Row],[Stage]]="Closed",Table3[[#This Row],[Date of Update]]-(_xlfn.MINIFS(Table3[Date of Update],Table3[Ref], Table3[[#This Row],[Ref]])),"")</f>
        <v/>
      </c>
    </row>
    <row r="17" spans="1:7" x14ac:dyDescent="0.25">
      <c r="A17" s="39" t="s">
        <v>1092</v>
      </c>
      <c r="B17" s="33">
        <v>44631</v>
      </c>
      <c r="C17" s="32" t="s">
        <v>23</v>
      </c>
      <c r="D17" s="32" t="s">
        <v>4</v>
      </c>
      <c r="E17" s="32"/>
      <c r="F17" s="32" cm="1">
        <f t="array" aca="1" ref="F17" ca="1">IF(Table3[[#This Row],[Stage]]="Closed",0,IF(IFERROR(
  IF(
    COUNTIF(A$2:A$1997, A17) &gt; 1,
    MIN(IF(A$2:A$1997=A17, IF(B$2:B$1997&gt;B17, B$2:B$1997))) - B17,
    TODAY() - Table3[[#This Row],[Date of Update]]
  ),
  TODAY()-Table3[[#This Row],[Date of Update]]
)&lt;=0,
TODAY()-Table3[[#This Row],[Date of Update]],
IFERROR(
  IF(
    COUNTIF(A$2:A$1997, A17) &gt; 1,
    MIN(IF(A$2:A$1997=A17, IF(B$2:B$1997&gt;B17, B$2:B$1997))) - B17,
    TODAY() - Table3[[#This Row],[Date of Update]]
  ),
  TODAY()-Table3[[#This Row],[Date of Update]]
)))</f>
        <v>10</v>
      </c>
      <c r="G17" s="40" t="str">
        <f>IF(Table3[[#This Row],[Stage]]="Closed",Table3[[#This Row],[Date of Update]]-(_xlfn.MINIFS(Table3[Date of Update],Table3[Ref], Table3[[#This Row],[Ref]])),"")</f>
        <v/>
      </c>
    </row>
    <row r="18" spans="1:7" x14ac:dyDescent="0.25">
      <c r="A18" s="39" t="s">
        <v>1511</v>
      </c>
      <c r="B18" s="33">
        <v>44631</v>
      </c>
      <c r="C18" s="32" t="s">
        <v>169</v>
      </c>
      <c r="D18" s="32" t="s">
        <v>4</v>
      </c>
      <c r="E18" s="32"/>
      <c r="F18" s="32" cm="1">
        <f t="array" aca="1" ref="F18" ca="1">IF(Table3[[#This Row],[Stage]]="Closed",0,IF(IFERROR(
  IF(
    COUNTIF(A$2:A$1997, A18) &gt; 1,
    MIN(IF(A$2:A$1997=A18, IF(B$2:B$1997&gt;B18, B$2:B$1997))) - B18,
    TODAY() - Table3[[#This Row],[Date of Update]]
  ),
  TODAY()-Table3[[#This Row],[Date of Update]]
)&lt;=0,
TODAY()-Table3[[#This Row],[Date of Update]],
IFERROR(
  IF(
    COUNTIF(A$2:A$1997, A18) &gt; 1,
    MIN(IF(A$2:A$1997=A18, IF(B$2:B$1997&gt;B18, B$2:B$1997))) - B18,
    TODAY() - Table3[[#This Row],[Date of Update]]
  ),
  TODAY()-Table3[[#This Row],[Date of Update]]
)))</f>
        <v>0</v>
      </c>
      <c r="G18" s="40">
        <f>IF(Table3[[#This Row],[Stage]]="Closed",Table3[[#This Row],[Date of Update]]-(_xlfn.MINIFS(Table3[Date of Update],Table3[Ref], Table3[[#This Row],[Ref]])),"")</f>
        <v>4</v>
      </c>
    </row>
    <row r="19" spans="1:7" x14ac:dyDescent="0.25">
      <c r="A19" s="39" t="s">
        <v>1106</v>
      </c>
      <c r="B19" s="33">
        <v>44631</v>
      </c>
      <c r="C19" s="32" t="s">
        <v>23</v>
      </c>
      <c r="D19" s="32" t="s">
        <v>4</v>
      </c>
      <c r="E19" s="32"/>
      <c r="F19" s="32" cm="1">
        <f t="array" aca="1" ref="F19" ca="1">IF(Table3[[#This Row],[Stage]]="Closed",0,IF(IFERROR(
  IF(
    COUNTIF(A$2:A$1997, A19) &gt; 1,
    MIN(IF(A$2:A$1997=A19, IF(B$2:B$1997&gt;B19, B$2:B$1997))) - B19,
    TODAY() - Table3[[#This Row],[Date of Update]]
  ),
  TODAY()-Table3[[#This Row],[Date of Update]]
)&lt;=0,
TODAY()-Table3[[#This Row],[Date of Update]],
IFERROR(
  IF(
    COUNTIF(A$2:A$1997, A19) &gt; 1,
    MIN(IF(A$2:A$1997=A19, IF(B$2:B$1997&gt;B19, B$2:B$1997))) - B19,
    TODAY() - Table3[[#This Row],[Date of Update]]
  ),
  TODAY()-Table3[[#This Row],[Date of Update]]
)))</f>
        <v>52</v>
      </c>
      <c r="G19" s="40" t="str">
        <f>IF(Table3[[#This Row],[Stage]]="Closed",Table3[[#This Row],[Date of Update]]-(_xlfn.MINIFS(Table3[Date of Update],Table3[Ref], Table3[[#This Row],[Ref]])),"")</f>
        <v/>
      </c>
    </row>
    <row r="20" spans="1:7" x14ac:dyDescent="0.25">
      <c r="A20" s="39" t="s">
        <v>1091</v>
      </c>
      <c r="B20" s="33">
        <v>44634</v>
      </c>
      <c r="C20" s="32" t="s">
        <v>169</v>
      </c>
      <c r="D20" s="32" t="s">
        <v>4</v>
      </c>
      <c r="E20" s="32"/>
      <c r="F20" s="32" cm="1">
        <f t="array" aca="1" ref="F20" ca="1">IF(Table3[[#This Row],[Stage]]="Closed",0,IF(IFERROR(
  IF(
    COUNTIF(A$2:A$1997, A20) &gt; 1,
    MIN(IF(A$2:A$1997=A20, IF(B$2:B$1997&gt;B20, B$2:B$1997))) - B20,
    TODAY() - Table3[[#This Row],[Date of Update]]
  ),
  TODAY()-Table3[[#This Row],[Date of Update]]
)&lt;=0,
TODAY()-Table3[[#This Row],[Date of Update]],
IFERROR(
  IF(
    COUNTIF(A$2:A$1997, A20) &gt; 1,
    MIN(IF(A$2:A$1997=A20, IF(B$2:B$1997&gt;B20, B$2:B$1997))) - B20,
    TODAY() - Table3[[#This Row],[Date of Update]]
  ),
  TODAY()-Table3[[#This Row],[Date of Update]]
)))</f>
        <v>0</v>
      </c>
      <c r="G20" s="40">
        <f>IF(Table3[[#This Row],[Stage]]="Closed",Table3[[#This Row],[Date of Update]]-(_xlfn.MINIFS(Table3[Date of Update],Table3[Ref], Table3[[#This Row],[Ref]])),"")</f>
        <v>17</v>
      </c>
    </row>
    <row r="21" spans="1:7" x14ac:dyDescent="0.25">
      <c r="A21" s="39" t="s">
        <v>1090</v>
      </c>
      <c r="B21" s="33">
        <v>44634</v>
      </c>
      <c r="C21" s="32" t="s">
        <v>169</v>
      </c>
      <c r="D21" s="32" t="s">
        <v>4</v>
      </c>
      <c r="E21" s="32"/>
      <c r="F21" s="32" cm="1">
        <f t="array" aca="1" ref="F21" ca="1">IF(Table3[[#This Row],[Stage]]="Closed",0,IF(IFERROR(
  IF(
    COUNTIF(A$2:A$1997, A21) &gt; 1,
    MIN(IF(A$2:A$1997=A21, IF(B$2:B$1997&gt;B21, B$2:B$1997))) - B21,
    TODAY() - Table3[[#This Row],[Date of Update]]
  ),
  TODAY()-Table3[[#This Row],[Date of Update]]
)&lt;=0,
TODAY()-Table3[[#This Row],[Date of Update]],
IFERROR(
  IF(
    COUNTIF(A$2:A$1997, A21) &gt; 1,
    MIN(IF(A$2:A$1997=A21, IF(B$2:B$1997&gt;B21, B$2:B$1997))) - B21,
    TODAY() - Table3[[#This Row],[Date of Update]]
  ),
  TODAY()-Table3[[#This Row],[Date of Update]]
)))</f>
        <v>0</v>
      </c>
      <c r="G21" s="40">
        <f>IF(Table3[[#This Row],[Stage]]="Closed",Table3[[#This Row],[Date of Update]]-(_xlfn.MINIFS(Table3[Date of Update],Table3[Ref], Table3[[#This Row],[Ref]])),"")</f>
        <v>18</v>
      </c>
    </row>
    <row r="22" spans="1:7" x14ac:dyDescent="0.25">
      <c r="A22" s="39" t="s">
        <v>1101</v>
      </c>
      <c r="B22" s="33">
        <v>44636</v>
      </c>
      <c r="C22" s="32" t="s">
        <v>23</v>
      </c>
      <c r="D22" s="32" t="s">
        <v>4</v>
      </c>
      <c r="E22" s="32" t="s">
        <v>217</v>
      </c>
      <c r="F22" s="32" cm="1">
        <f t="array" aca="1" ref="F22" ca="1">IF(Table3[[#This Row],[Stage]]="Closed",0,IF(IFERROR(
  IF(
    COUNTIF(A$2:A$1997, A22) &gt; 1,
    MIN(IF(A$2:A$1997=A22, IF(B$2:B$1997&gt;B22, B$2:B$1997))) - B22,
    TODAY() - Table3[[#This Row],[Date of Update]]
  ),
  TODAY()-Table3[[#This Row],[Date of Update]]
)&lt;=0,
TODAY()-Table3[[#This Row],[Date of Update]],
IFERROR(
  IF(
    COUNTIF(A$2:A$1997, A22) &gt; 1,
    MIN(IF(A$2:A$1997=A22, IF(B$2:B$1997&gt;B22, B$2:B$1997))) - B22,
    TODAY() - Table3[[#This Row],[Date of Update]]
  ),
  TODAY()-Table3[[#This Row],[Date of Update]]
)))</f>
        <v>30</v>
      </c>
      <c r="G22" s="40" t="str">
        <f>IF(Table3[[#This Row],[Stage]]="Closed",Table3[[#This Row],[Date of Update]]-(_xlfn.MINIFS(Table3[Date of Update],Table3[Ref], Table3[[#This Row],[Ref]])),"")</f>
        <v/>
      </c>
    </row>
    <row r="23" spans="1:7" x14ac:dyDescent="0.25">
      <c r="A23" s="39" t="s">
        <v>1107</v>
      </c>
      <c r="B23" s="33">
        <v>44637</v>
      </c>
      <c r="C23" s="32" t="s">
        <v>23</v>
      </c>
      <c r="D23" s="32" t="s">
        <v>4</v>
      </c>
      <c r="E23" s="32"/>
      <c r="F23" s="32" cm="1">
        <f t="array" aca="1" ref="F23" ca="1">IF(Table3[[#This Row],[Stage]]="Closed",0,IF(IFERROR(
  IF(
    COUNTIF(A$2:A$1997, A23) &gt; 1,
    MIN(IF(A$2:A$1997=A23, IF(B$2:B$1997&gt;B23, B$2:B$1997))) - B23,
    TODAY() - Table3[[#This Row],[Date of Update]]
  ),
  TODAY()-Table3[[#This Row],[Date of Update]]
)&lt;=0,
TODAY()-Table3[[#This Row],[Date of Update]],
IFERROR(
  IF(
    COUNTIF(A$2:A$1997, A23) &gt; 1,
    MIN(IF(A$2:A$1997=A23, IF(B$2:B$1997&gt;B23, B$2:B$1997))) - B23,
    TODAY() - Table3[[#This Row],[Date of Update]]
  ),
  TODAY()-Table3[[#This Row],[Date of Update]]
)))</f>
        <v>47</v>
      </c>
      <c r="G23" s="40" t="str">
        <f>IF(Table3[[#This Row],[Stage]]="Closed",Table3[[#This Row],[Date of Update]]-(_xlfn.MINIFS(Table3[Date of Update],Table3[Ref], Table3[[#This Row],[Ref]])),"")</f>
        <v/>
      </c>
    </row>
    <row r="24" spans="1:7" x14ac:dyDescent="0.25">
      <c r="A24" s="39" t="s">
        <v>1110</v>
      </c>
      <c r="B24" s="33">
        <v>44638</v>
      </c>
      <c r="C24" s="32" t="s">
        <v>23</v>
      </c>
      <c r="D24" s="32" t="s">
        <v>4</v>
      </c>
      <c r="E24" s="32"/>
      <c r="F24" s="32" cm="1">
        <f t="array" aca="1" ref="F24" ca="1">IF(Table3[[#This Row],[Stage]]="Closed",0,IF(IFERROR(
  IF(
    COUNTIF(A$2:A$1997, A24) &gt; 1,
    MIN(IF(A$2:A$1997=A24, IF(B$2:B$1997&gt;B24, B$2:B$1997))) - B24,
    TODAY() - Table3[[#This Row],[Date of Update]]
  ),
  TODAY()-Table3[[#This Row],[Date of Update]]
)&lt;=0,
TODAY()-Table3[[#This Row],[Date of Update]],
IFERROR(
  IF(
    COUNTIF(A$2:A$1997, A24) &gt; 1,
    MIN(IF(A$2:A$1997=A24, IF(B$2:B$1997&gt;B24, B$2:B$1997))) - B24,
    TODAY() - Table3[[#This Row],[Date of Update]]
  ),
  TODAY()-Table3[[#This Row],[Date of Update]]
)))</f>
        <v>56</v>
      </c>
      <c r="G24" s="40" t="str">
        <f>IF(Table3[[#This Row],[Stage]]="Closed",Table3[[#This Row],[Date of Update]]-(_xlfn.MINIFS(Table3[Date of Update],Table3[Ref], Table3[[#This Row],[Ref]])),"")</f>
        <v/>
      </c>
    </row>
    <row r="25" spans="1:7" x14ac:dyDescent="0.25">
      <c r="A25" s="39" t="s">
        <v>1113</v>
      </c>
      <c r="B25" s="33">
        <v>44641</v>
      </c>
      <c r="C25" s="32" t="s">
        <v>23</v>
      </c>
      <c r="D25" s="32" t="s">
        <v>4</v>
      </c>
      <c r="E25" s="32"/>
      <c r="F25" s="32" cm="1">
        <f t="array" aca="1" ref="F25" ca="1">IF(Table3[[#This Row],[Stage]]="Closed",0,IF(IFERROR(
  IF(
    COUNTIF(A$2:A$1997, A25) &gt; 1,
    MIN(IF(A$2:A$1997=A25, IF(B$2:B$1997&gt;B25, B$2:B$1997))) - B25,
    TODAY() - Table3[[#This Row],[Date of Update]]
  ),
  TODAY()-Table3[[#This Row],[Date of Update]]
)&lt;=0,
TODAY()-Table3[[#This Row],[Date of Update]],
IFERROR(
  IF(
    COUNTIF(A$2:A$1997, A25) &gt; 1,
    MIN(IF(A$2:A$1997=A25, IF(B$2:B$1997&gt;B25, B$2:B$1997))) - B25,
    TODAY() - Table3[[#This Row],[Date of Update]]
  ),
  TODAY()-Table3[[#This Row],[Date of Update]]
)))</f>
        <v>67</v>
      </c>
      <c r="G25" s="40" t="str">
        <f>IF(Table3[[#This Row],[Stage]]="Closed",Table3[[#This Row],[Date of Update]]-(_xlfn.MINIFS(Table3[Date of Update],Table3[Ref], Table3[[#This Row],[Ref]])),"")</f>
        <v/>
      </c>
    </row>
    <row r="26" spans="1:7" x14ac:dyDescent="0.25">
      <c r="A26" s="39" t="s">
        <v>1092</v>
      </c>
      <c r="B26" s="33">
        <v>44641</v>
      </c>
      <c r="C26" s="32" t="s">
        <v>169</v>
      </c>
      <c r="D26" s="32" t="s">
        <v>4</v>
      </c>
      <c r="E26" s="32"/>
      <c r="F26" s="32" cm="1">
        <f t="array" aca="1" ref="F26" ca="1">IF(Table3[[#This Row],[Stage]]="Closed",0,IF(IFERROR(
  IF(
    COUNTIF(A$2:A$1997, A26) &gt; 1,
    MIN(IF(A$2:A$1997=A26, IF(B$2:B$1997&gt;B26, B$2:B$1997))) - B26,
    TODAY() - Table3[[#This Row],[Date of Update]]
  ),
  TODAY()-Table3[[#This Row],[Date of Update]]
)&lt;=0,
TODAY()-Table3[[#This Row],[Date of Update]],
IFERROR(
  IF(
    COUNTIF(A$2:A$1997, A26) &gt; 1,
    MIN(IF(A$2:A$1997=A26, IF(B$2:B$1997&gt;B26, B$2:B$1997))) - B26,
    TODAY() - Table3[[#This Row],[Date of Update]]
  ),
  TODAY()-Table3[[#This Row],[Date of Update]]
)))</f>
        <v>0</v>
      </c>
      <c r="G26" s="40">
        <f>IF(Table3[[#This Row],[Stage]]="Closed",Table3[[#This Row],[Date of Update]]-(_xlfn.MINIFS(Table3[Date of Update],Table3[Ref], Table3[[#This Row],[Ref]])),"")</f>
        <v>10</v>
      </c>
    </row>
    <row r="27" spans="1:7" x14ac:dyDescent="0.25">
      <c r="A27" s="39" t="s">
        <v>1512</v>
      </c>
      <c r="B27" s="33">
        <v>44641</v>
      </c>
      <c r="C27" s="32" t="s">
        <v>169</v>
      </c>
      <c r="D27" s="32" t="s">
        <v>4</v>
      </c>
      <c r="E27" s="32"/>
      <c r="F27" s="32" cm="1">
        <f t="array" aca="1" ref="F27" ca="1">IF(Table3[[#This Row],[Stage]]="Closed",0,IF(IFERROR(
  IF(
    COUNTIF(A$2:A$1997, A27) &gt; 1,
    MIN(IF(A$2:A$1997=A27, IF(B$2:B$1997&gt;B27, B$2:B$1997))) - B27,
    TODAY() - Table3[[#This Row],[Date of Update]]
  ),
  TODAY()-Table3[[#This Row],[Date of Update]]
)&lt;=0,
TODAY()-Table3[[#This Row],[Date of Update]],
IFERROR(
  IF(
    COUNTIF(A$2:A$1997, A27) &gt; 1,
    MIN(IF(A$2:A$1997=A27, IF(B$2:B$1997&gt;B27, B$2:B$1997))) - B27,
    TODAY() - Table3[[#This Row],[Date of Update]]
  ),
  TODAY()-Table3[[#This Row],[Date of Update]]
)))</f>
        <v>0</v>
      </c>
      <c r="G27" s="40">
        <f>IF(Table3[[#This Row],[Stage]]="Closed",Table3[[#This Row],[Date of Update]]-(_xlfn.MINIFS(Table3[Date of Update],Table3[Ref], Table3[[#This Row],[Ref]])),"")</f>
        <v>12</v>
      </c>
    </row>
    <row r="28" spans="1:7" x14ac:dyDescent="0.25">
      <c r="A28" s="39" t="s">
        <v>1096</v>
      </c>
      <c r="B28" s="33">
        <v>44641</v>
      </c>
      <c r="C28" s="32" t="s">
        <v>23</v>
      </c>
      <c r="D28" s="32" t="s">
        <v>4</v>
      </c>
      <c r="E28" s="32"/>
      <c r="F28" s="32" cm="1">
        <f t="array" aca="1" ref="F28" ca="1">IF(Table3[[#This Row],[Stage]]="Closed",0,IF(IFERROR(
  IF(
    COUNTIF(A$2:A$1997, A28) &gt; 1,
    MIN(IF(A$2:A$1997=A28, IF(B$2:B$1997&gt;B28, B$2:B$1997))) - B28,
    TODAY() - Table3[[#This Row],[Date of Update]]
  ),
  TODAY()-Table3[[#This Row],[Date of Update]]
)&lt;=0,
TODAY()-Table3[[#This Row],[Date of Update]],
IFERROR(
  IF(
    COUNTIF(A$2:A$1997, A28) &gt; 1,
    MIN(IF(A$2:A$1997=A28, IF(B$2:B$1997&gt;B28, B$2:B$1997))) - B28,
    TODAY() - Table3[[#This Row],[Date of Update]]
  ),
  TODAY()-Table3[[#This Row],[Date of Update]]
)))</f>
        <v>11</v>
      </c>
      <c r="G28" s="40" t="str">
        <f>IF(Table3[[#This Row],[Stage]]="Closed",Table3[[#This Row],[Date of Update]]-(_xlfn.MINIFS(Table3[Date of Update],Table3[Ref], Table3[[#This Row],[Ref]])),"")</f>
        <v/>
      </c>
    </row>
    <row r="29" spans="1:7" x14ac:dyDescent="0.25">
      <c r="A29" s="39" t="s">
        <v>1095</v>
      </c>
      <c r="B29" s="33">
        <v>44643</v>
      </c>
      <c r="C29" s="32" t="s">
        <v>23</v>
      </c>
      <c r="D29" s="32" t="s">
        <v>4</v>
      </c>
      <c r="E29" s="32"/>
      <c r="F29" s="32" cm="1">
        <f t="array" aca="1" ref="F29" ca="1">IF(Table3[[#This Row],[Stage]]="Closed",0,IF(IFERROR(
  IF(
    COUNTIF(A$2:A$1997, A29) &gt; 1,
    MIN(IF(A$2:A$1997=A29, IF(B$2:B$1997&gt;B29, B$2:B$1997))) - B29,
    TODAY() - Table3[[#This Row],[Date of Update]]
  ),
  TODAY()-Table3[[#This Row],[Date of Update]]
)&lt;=0,
TODAY()-Table3[[#This Row],[Date of Update]],
IFERROR(
  IF(
    COUNTIF(A$2:A$1997, A29) &gt; 1,
    MIN(IF(A$2:A$1997=A29, IF(B$2:B$1997&gt;B29, B$2:B$1997))) - B29,
    TODAY() - Table3[[#This Row],[Date of Update]]
  ),
  TODAY()-Table3[[#This Row],[Date of Update]]
)))</f>
        <v>8</v>
      </c>
      <c r="G29" s="40" t="str">
        <f>IF(Table3[[#This Row],[Stage]]="Closed",Table3[[#This Row],[Date of Update]]-(_xlfn.MINIFS(Table3[Date of Update],Table3[Ref], Table3[[#This Row],[Ref]])),"")</f>
        <v/>
      </c>
    </row>
    <row r="30" spans="1:7" x14ac:dyDescent="0.25">
      <c r="A30" s="39" t="s">
        <v>1102</v>
      </c>
      <c r="B30" s="33">
        <v>44645</v>
      </c>
      <c r="C30" s="32" t="s">
        <v>23</v>
      </c>
      <c r="D30" s="32" t="s">
        <v>4</v>
      </c>
      <c r="E30" s="32"/>
      <c r="F30" s="32" cm="1">
        <f t="array" aca="1" ref="F30" ca="1">IF(Table3[[#This Row],[Stage]]="Closed",0,IF(IFERROR(
  IF(
    COUNTIF(A$2:A$1997, A30) &gt; 1,
    MIN(IF(A$2:A$1997=A30, IF(B$2:B$1997&gt;B30, B$2:B$1997))) - B30,
    TODAY() - Table3[[#This Row],[Date of Update]]
  ),
  TODAY()-Table3[[#This Row],[Date of Update]]
)&lt;=0,
TODAY()-Table3[[#This Row],[Date of Update]],
IFERROR(
  IF(
    COUNTIF(A$2:A$1997, A30) &gt; 1,
    MIN(IF(A$2:A$1997=A30, IF(B$2:B$1997&gt;B30, B$2:B$1997))) - B30,
    TODAY() - Table3[[#This Row],[Date of Update]]
  ),
  TODAY()-Table3[[#This Row],[Date of Update]]
)))</f>
        <v>30</v>
      </c>
      <c r="G30" s="40" t="str">
        <f>IF(Table3[[#This Row],[Stage]]="Closed",Table3[[#This Row],[Date of Update]]-(_xlfn.MINIFS(Table3[Date of Update],Table3[Ref], Table3[[#This Row],[Ref]])),"")</f>
        <v/>
      </c>
    </row>
    <row r="31" spans="1:7" x14ac:dyDescent="0.25">
      <c r="A31" s="39" t="s">
        <v>1093</v>
      </c>
      <c r="B31" s="33">
        <v>44647</v>
      </c>
      <c r="C31" s="32" t="s">
        <v>169</v>
      </c>
      <c r="D31" s="32" t="s">
        <v>4</v>
      </c>
      <c r="E31" s="32" t="s">
        <v>214</v>
      </c>
      <c r="F31" s="32" cm="1">
        <f t="array" aca="1" ref="F31" ca="1">IF(Table3[[#This Row],[Stage]]="Closed",0,IF(IFERROR(
  IF(
    COUNTIF(A$2:A$1997, A31) &gt; 1,
    MIN(IF(A$2:A$1997=A31, IF(B$2:B$1997&gt;B31, B$2:B$1997))) - B31,
    TODAY() - Table3[[#This Row],[Date of Update]]
  ),
  TODAY()-Table3[[#This Row],[Date of Update]]
)&lt;=0,
TODAY()-Table3[[#This Row],[Date of Update]],
IFERROR(
  IF(
    COUNTIF(A$2:A$1997, A31) &gt; 1,
    MIN(IF(A$2:A$1997=A31, IF(B$2:B$1997&gt;B31, B$2:B$1997))) - B31,
    TODAY() - Table3[[#This Row],[Date of Update]]
  ),
  TODAY()-Table3[[#This Row],[Date of Update]]
)))</f>
        <v>0</v>
      </c>
      <c r="G31" s="40">
        <f>IF(Table3[[#This Row],[Stage]]="Closed",Table3[[#This Row],[Date of Update]]-(_xlfn.MINIFS(Table3[Date of Update],Table3[Ref], Table3[[#This Row],[Ref]])),"")</f>
        <v>30</v>
      </c>
    </row>
    <row r="32" spans="1:7" x14ac:dyDescent="0.25">
      <c r="A32" s="39" t="s">
        <v>1103</v>
      </c>
      <c r="B32" s="33">
        <v>44649</v>
      </c>
      <c r="C32" s="32" t="s">
        <v>23</v>
      </c>
      <c r="D32" s="32" t="s">
        <v>4</v>
      </c>
      <c r="E32" s="32" t="s">
        <v>230</v>
      </c>
      <c r="F32" s="32" cm="1">
        <f t="array" aca="1" ref="F32" ca="1">IF(Table3[[#This Row],[Stage]]="Closed",0,IF(IFERROR(
  IF(
    COUNTIF(A$2:A$1997, A32) &gt; 1,
    MIN(IF(A$2:A$1997=A32, IF(B$2:B$1997&gt;B32, B$2:B$1997))) - B32,
    TODAY() - Table3[[#This Row],[Date of Update]]
  ),
  TODAY()-Table3[[#This Row],[Date of Update]]
)&lt;=0,
TODAY()-Table3[[#This Row],[Date of Update]],
IFERROR(
  IF(
    COUNTIF(A$2:A$1997, A32) &gt; 1,
    MIN(IF(A$2:A$1997=A32, IF(B$2:B$1997&gt;B32, B$2:B$1997))) - B32,
    TODAY() - Table3[[#This Row],[Date of Update]]
  ),
  TODAY()-Table3[[#This Row],[Date of Update]]
)))</f>
        <v>30</v>
      </c>
      <c r="G32" s="40" t="str">
        <f>IF(Table3[[#This Row],[Stage]]="Closed",Table3[[#This Row],[Date of Update]]-(_xlfn.MINIFS(Table3[Date of Update],Table3[Ref], Table3[[#This Row],[Ref]])),"")</f>
        <v/>
      </c>
    </row>
    <row r="33" spans="1:7" x14ac:dyDescent="0.25">
      <c r="A33" s="39" t="s">
        <v>1094</v>
      </c>
      <c r="B33" s="33">
        <v>44650</v>
      </c>
      <c r="C33" s="32" t="s">
        <v>169</v>
      </c>
      <c r="D33" s="32" t="s">
        <v>4</v>
      </c>
      <c r="E33" s="32" t="s">
        <v>217</v>
      </c>
      <c r="F33" s="32" cm="1">
        <f t="array" aca="1" ref="F33" ca="1">IF(Table3[[#This Row],[Stage]]="Closed",0,IF(IFERROR(
  IF(
    COUNTIF(A$2:A$1997, A33) &gt; 1,
    MIN(IF(A$2:A$1997=A33, IF(B$2:B$1997&gt;B33, B$2:B$1997))) - B33,
    TODAY() - Table3[[#This Row],[Date of Update]]
  ),
  TODAY()-Table3[[#This Row],[Date of Update]]
)&lt;=0,
TODAY()-Table3[[#This Row],[Date of Update]],
IFERROR(
  IF(
    COUNTIF(A$2:A$1997, A33) &gt; 1,
    MIN(IF(A$2:A$1997=A33, IF(B$2:B$1997&gt;B33, B$2:B$1997))) - B33,
    TODAY() - Table3[[#This Row],[Date of Update]]
  ),
  TODAY()-Table3[[#This Row],[Date of Update]]
)))</f>
        <v>0</v>
      </c>
      <c r="G33" s="40">
        <f>IF(Table3[[#This Row],[Stage]]="Closed",Table3[[#This Row],[Date of Update]]-(_xlfn.MINIFS(Table3[Date of Update],Table3[Ref], Table3[[#This Row],[Ref]])),"")</f>
        <v>30</v>
      </c>
    </row>
    <row r="34" spans="1:7" x14ac:dyDescent="0.25">
      <c r="A34" s="39" t="s">
        <v>1104</v>
      </c>
      <c r="B34" s="33">
        <v>44650</v>
      </c>
      <c r="C34" s="32" t="s">
        <v>23</v>
      </c>
      <c r="D34" s="32" t="s">
        <v>4</v>
      </c>
      <c r="E34" s="32" t="s">
        <v>235</v>
      </c>
      <c r="F34" s="32" cm="1">
        <f t="array" aca="1" ref="F34" ca="1">IF(Table3[[#This Row],[Stage]]="Closed",0,IF(IFERROR(
  IF(
    COUNTIF(A$2:A$1997, A34) &gt; 1,
    MIN(IF(A$2:A$1997=A34, IF(B$2:B$1997&gt;B34, B$2:B$1997))) - B34,
    TODAY() - Table3[[#This Row],[Date of Update]]
  ),
  TODAY()-Table3[[#This Row],[Date of Update]]
)&lt;=0,
TODAY()-Table3[[#This Row],[Date of Update]],
IFERROR(
  IF(
    COUNTIF(A$2:A$1997, A34) &gt; 1,
    MIN(IF(A$2:A$1997=A34, IF(B$2:B$1997&gt;B34, B$2:B$1997))) - B34,
    TODAY() - Table3[[#This Row],[Date of Update]]
  ),
  TODAY()-Table3[[#This Row],[Date of Update]]
)))</f>
        <v>30</v>
      </c>
      <c r="G34" s="40" t="str">
        <f>IF(Table3[[#This Row],[Stage]]="Closed",Table3[[#This Row],[Date of Update]]-(_xlfn.MINIFS(Table3[Date of Update],Table3[Ref], Table3[[#This Row],[Ref]])),"")</f>
        <v/>
      </c>
    </row>
    <row r="35" spans="1:7" x14ac:dyDescent="0.25">
      <c r="A35" s="39" t="s">
        <v>1095</v>
      </c>
      <c r="B35" s="33">
        <v>44651</v>
      </c>
      <c r="C35" s="32" t="s">
        <v>169</v>
      </c>
      <c r="D35" s="32" t="s">
        <v>4</v>
      </c>
      <c r="E35" s="32"/>
      <c r="F35" s="32" cm="1">
        <f t="array" aca="1" ref="F35" ca="1">IF(Table3[[#This Row],[Stage]]="Closed",0,IF(IFERROR(
  IF(
    COUNTIF(A$2:A$1997, A35) &gt; 1,
    MIN(IF(A$2:A$1997=A35, IF(B$2:B$1997&gt;B35, B$2:B$1997))) - B35,
    TODAY() - Table3[[#This Row],[Date of Update]]
  ),
  TODAY()-Table3[[#This Row],[Date of Update]]
)&lt;=0,
TODAY()-Table3[[#This Row],[Date of Update]],
IFERROR(
  IF(
    COUNTIF(A$2:A$1997, A35) &gt; 1,
    MIN(IF(A$2:A$1997=A35, IF(B$2:B$1997&gt;B35, B$2:B$1997))) - B35,
    TODAY() - Table3[[#This Row],[Date of Update]]
  ),
  TODAY()-Table3[[#This Row],[Date of Update]]
)))</f>
        <v>0</v>
      </c>
      <c r="G35" s="40">
        <f>IF(Table3[[#This Row],[Stage]]="Closed",Table3[[#This Row],[Date of Update]]-(_xlfn.MINIFS(Table3[Date of Update],Table3[Ref], Table3[[#This Row],[Ref]])),"")</f>
        <v>8</v>
      </c>
    </row>
    <row r="36" spans="1:7" x14ac:dyDescent="0.25">
      <c r="A36" s="39" t="s">
        <v>1105</v>
      </c>
      <c r="B36" s="33">
        <v>44652</v>
      </c>
      <c r="C36" s="32" t="s">
        <v>23</v>
      </c>
      <c r="D36" s="32" t="s">
        <v>4</v>
      </c>
      <c r="E36" s="32" t="s">
        <v>239</v>
      </c>
      <c r="F36" s="32" cm="1">
        <f t="array" aca="1" ref="F36" ca="1">IF(Table3[[#This Row],[Stage]]="Closed",0,IF(IFERROR(
  IF(
    COUNTIF(A$2:A$1997, A36) &gt; 1,
    MIN(IF(A$2:A$1997=A36, IF(B$2:B$1997&gt;B36, B$2:B$1997))) - B36,
    TODAY() - Table3[[#This Row],[Date of Update]]
  ),
  TODAY()-Table3[[#This Row],[Date of Update]]
)&lt;=0,
TODAY()-Table3[[#This Row],[Date of Update]],
IFERROR(
  IF(
    COUNTIF(A$2:A$1997, A36) &gt; 1,
    MIN(IF(A$2:A$1997=A36, IF(B$2:B$1997&gt;B36, B$2:B$1997))) - B36,
    TODAY() - Table3[[#This Row],[Date of Update]]
  ),
  TODAY()-Table3[[#This Row],[Date of Update]]
)))</f>
        <v>30</v>
      </c>
      <c r="G36" s="40" t="str">
        <f>IF(Table3[[#This Row],[Stage]]="Closed",Table3[[#This Row],[Date of Update]]-(_xlfn.MINIFS(Table3[Date of Update],Table3[Ref], Table3[[#This Row],[Ref]])),"")</f>
        <v/>
      </c>
    </row>
    <row r="37" spans="1:7" x14ac:dyDescent="0.25">
      <c r="A37" s="39" t="s">
        <v>1498</v>
      </c>
      <c r="B37" s="33">
        <v>44652</v>
      </c>
      <c r="C37" s="32" t="s">
        <v>23</v>
      </c>
      <c r="D37" s="32" t="s">
        <v>4</v>
      </c>
      <c r="E37" s="32" t="s">
        <v>239</v>
      </c>
      <c r="F37" s="32" cm="1">
        <f t="array" aca="1" ref="F37" ca="1">IF(Table3[[#This Row],[Stage]]="Closed",0,IF(IFERROR(
  IF(
    COUNTIF(A$2:A$1997, A37) &gt; 1,
    MIN(IF(A$2:A$1997=A37, IF(B$2:B$1997&gt;B37, B$2:B$1997))) - B37,
    TODAY() - Table3[[#This Row],[Date of Update]]
  ),
  TODAY()-Table3[[#This Row],[Date of Update]]
)&lt;=0,
TODAY()-Table3[[#This Row],[Date of Update]],
IFERROR(
  IF(
    COUNTIF(A$2:A$1997, A37) &gt; 1,
    MIN(IF(A$2:A$1997=A37, IF(B$2:B$1997&gt;B37, B$2:B$1997))) - B37,
    TODAY() - Table3[[#This Row],[Date of Update]]
  ),
  TODAY()-Table3[[#This Row],[Date of Update]]
)))</f>
        <v>30</v>
      </c>
      <c r="G37" s="40" t="str">
        <f>IF(Table3[[#This Row],[Stage]]="Closed",Table3[[#This Row],[Date of Update]]-(_xlfn.MINIFS(Table3[Date of Update],Table3[Ref], Table3[[#This Row],[Ref]])),"")</f>
        <v/>
      </c>
    </row>
    <row r="38" spans="1:7" x14ac:dyDescent="0.25">
      <c r="A38" s="39" t="s">
        <v>1096</v>
      </c>
      <c r="B38" s="33">
        <v>44652</v>
      </c>
      <c r="C38" s="32" t="s">
        <v>169</v>
      </c>
      <c r="D38" s="32" t="s">
        <v>4</v>
      </c>
      <c r="E38" s="32"/>
      <c r="F38" s="32" cm="1">
        <f t="array" aca="1" ref="F38" ca="1">IF(Table3[[#This Row],[Stage]]="Closed",0,IF(IFERROR(
  IF(
    COUNTIF(A$2:A$1997, A38) &gt; 1,
    MIN(IF(A$2:A$1997=A38, IF(B$2:B$1997&gt;B38, B$2:B$1997))) - B38,
    TODAY() - Table3[[#This Row],[Date of Update]]
  ),
  TODAY()-Table3[[#This Row],[Date of Update]]
)&lt;=0,
TODAY()-Table3[[#This Row],[Date of Update]],
IFERROR(
  IF(
    COUNTIF(A$2:A$1997, A38) &gt; 1,
    MIN(IF(A$2:A$1997=A38, IF(B$2:B$1997&gt;B38, B$2:B$1997))) - B38,
    TODAY() - Table3[[#This Row],[Date of Update]]
  ),
  TODAY()-Table3[[#This Row],[Date of Update]]
)))</f>
        <v>0</v>
      </c>
      <c r="G38" s="40">
        <f>IF(Table3[[#This Row],[Stage]]="Closed",Table3[[#This Row],[Date of Update]]-(_xlfn.MINIFS(Table3[Date of Update],Table3[Ref], Table3[[#This Row],[Ref]])),"")</f>
        <v>11</v>
      </c>
    </row>
    <row r="39" spans="1:7" x14ac:dyDescent="0.25">
      <c r="A39" s="39" t="s">
        <v>1097</v>
      </c>
      <c r="B39" s="33">
        <v>44655</v>
      </c>
      <c r="C39" s="32" t="s">
        <v>23</v>
      </c>
      <c r="D39" s="32" t="s">
        <v>4</v>
      </c>
      <c r="E39" s="32"/>
      <c r="F39" s="32" cm="1">
        <f t="array" aca="1" ref="F39" ca="1">IF(Table3[[#This Row],[Stage]]="Closed",0,IF(IFERROR(
  IF(
    COUNTIF(A$2:A$1997, A39) &gt; 1,
    MIN(IF(A$2:A$1997=A39, IF(B$2:B$1997&gt;B39, B$2:B$1997))) - B39,
    TODAY() - Table3[[#This Row],[Date of Update]]
  ),
  TODAY()-Table3[[#This Row],[Date of Update]]
)&lt;=0,
TODAY()-Table3[[#This Row],[Date of Update]],
IFERROR(
  IF(
    COUNTIF(A$2:A$1997, A39) &gt; 1,
    MIN(IF(A$2:A$1997=A39, IF(B$2:B$1997&gt;B39, B$2:B$1997))) - B39,
    TODAY() - Table3[[#This Row],[Date of Update]]
  ),
  TODAY()-Table3[[#This Row],[Date of Update]]
)))</f>
        <v>1080</v>
      </c>
      <c r="G39" s="40" t="str">
        <f>IF(Table3[[#This Row],[Stage]]="Closed",Table3[[#This Row],[Date of Update]]-(_xlfn.MINIFS(Table3[Date of Update],Table3[Ref], Table3[[#This Row],[Ref]])),"")</f>
        <v/>
      </c>
    </row>
    <row r="40" spans="1:7" x14ac:dyDescent="0.25">
      <c r="A40" s="39" t="s">
        <v>1097</v>
      </c>
      <c r="B40" s="33">
        <v>44655</v>
      </c>
      <c r="C40" s="32" t="s">
        <v>169</v>
      </c>
      <c r="D40" s="32" t="s">
        <v>4</v>
      </c>
      <c r="E40" s="32"/>
      <c r="F40" s="32" cm="1">
        <f t="array" aca="1" ref="F40" ca="1">IF(Table3[[#This Row],[Stage]]="Closed",0,IF(IFERROR(
  IF(
    COUNTIF(A$2:A$1997, A40) &gt; 1,
    MIN(IF(A$2:A$1997=A40, IF(B$2:B$1997&gt;B40, B$2:B$1997))) - B40,
    TODAY() - Table3[[#This Row],[Date of Update]]
  ),
  TODAY()-Table3[[#This Row],[Date of Update]]
)&lt;=0,
TODAY()-Table3[[#This Row],[Date of Update]],
IFERROR(
  IF(
    COUNTIF(A$2:A$1997, A40) &gt; 1,
    MIN(IF(A$2:A$1997=A40, IF(B$2:B$1997&gt;B40, B$2:B$1997))) - B40,
    TODAY() - Table3[[#This Row],[Date of Update]]
  ),
  TODAY()-Table3[[#This Row],[Date of Update]]
)))</f>
        <v>0</v>
      </c>
      <c r="G40" s="40">
        <f>IF(Table3[[#This Row],[Stage]]="Closed",Table3[[#This Row],[Date of Update]]-(_xlfn.MINIFS(Table3[Date of Update],Table3[Ref], Table3[[#This Row],[Ref]])),"")</f>
        <v>0</v>
      </c>
    </row>
    <row r="41" spans="1:7" x14ac:dyDescent="0.25">
      <c r="A41" s="41" t="s">
        <v>1098</v>
      </c>
      <c r="B41" s="37">
        <v>44656</v>
      </c>
      <c r="C41" s="36" t="s">
        <v>23</v>
      </c>
      <c r="D41" s="36" t="s">
        <v>4</v>
      </c>
      <c r="E41" s="36"/>
      <c r="F41" s="36" cm="1">
        <f t="array" aca="1" ref="F41" ca="1">IF(Table3[[#This Row],[Stage]]="Closed",0,IF(IFERROR(
  IF(
    COUNTIF(A$2:A$1997, A41) &gt; 1,
    MIN(IF(A$2:A$1997=A41, IF(B$2:B$1997&gt;B41, B$2:B$1997))) - B41,
    TODAY() - Table3[[#This Row],[Date of Update]]
  ),
  TODAY()-Table3[[#This Row],[Date of Update]]
)&lt;=0,
TODAY()-Table3[[#This Row],[Date of Update]],
IFERROR(
  IF(
    COUNTIF(A$2:A$1997, A41) &gt; 1,
    MIN(IF(A$2:A$1997=A41, IF(B$2:B$1997&gt;B41, B$2:B$1997))) - B41,
    TODAY() - Table3[[#This Row],[Date of Update]]
  ),
  TODAY()-Table3[[#This Row],[Date of Update]]
)))</f>
        <v>1</v>
      </c>
      <c r="G41" s="42" t="str">
        <f>IF(Table3[[#This Row],[Stage]]="Closed",Table3[[#This Row],[Date of Update]]-(_xlfn.MINIFS(Table3[Date of Update],Table3[Ref], Table3[[#This Row],[Ref]])),"")</f>
        <v/>
      </c>
    </row>
    <row r="42" spans="1:7" x14ac:dyDescent="0.25">
      <c r="A42" s="39" t="s">
        <v>1514</v>
      </c>
      <c r="B42" s="33">
        <v>44657</v>
      </c>
      <c r="C42" s="32" t="s">
        <v>169</v>
      </c>
      <c r="D42" s="32" t="s">
        <v>4</v>
      </c>
      <c r="E42" s="32"/>
      <c r="F42" s="32" cm="1">
        <f t="array" aca="1" ref="F42" ca="1">IF(Table3[[#This Row],[Stage]]="Closed",0,IF(IFERROR(
  IF(
    COUNTIF(A$2:A$1997, A42) &gt; 1,
    MIN(IF(A$2:A$1997=A42, IF(B$2:B$1997&gt;B42, B$2:B$1997))) - B42,
    TODAY() - Table3[[#This Row],[Date of Update]]
  ),
  TODAY()-Table3[[#This Row],[Date of Update]]
)&lt;=0,
TODAY()-Table3[[#This Row],[Date of Update]],
IFERROR(
  IF(
    COUNTIF(A$2:A$1997, A42) &gt; 1,
    MIN(IF(A$2:A$1997=A42, IF(B$2:B$1997&gt;B42, B$2:B$1997))) - B42,
    TODAY() - Table3[[#This Row],[Date of Update]]
  ),
  TODAY()-Table3[[#This Row],[Date of Update]]
)))</f>
        <v>0</v>
      </c>
      <c r="G42" s="40">
        <f>IF(Table3[[#This Row],[Stage]]="Closed",Table3[[#This Row],[Date of Update]]-(_xlfn.MINIFS(Table3[Date of Update],Table3[Ref], Table3[[#This Row],[Ref]])),"")</f>
        <v>27</v>
      </c>
    </row>
    <row r="43" spans="1:7" x14ac:dyDescent="0.25">
      <c r="A43" s="39" t="s">
        <v>1098</v>
      </c>
      <c r="B43" s="33">
        <v>44657</v>
      </c>
      <c r="C43" s="32" t="s">
        <v>169</v>
      </c>
      <c r="D43" s="32" t="s">
        <v>4</v>
      </c>
      <c r="E43" s="32"/>
      <c r="F43" s="32" cm="1">
        <f t="array" aca="1" ref="F43" ca="1">IF(Table3[[#This Row],[Stage]]="Closed",0,IF(IFERROR(
  IF(
    COUNTIF(A$2:A$1997, A43) &gt; 1,
    MIN(IF(A$2:A$1997=A43, IF(B$2:B$1997&gt;B43, B$2:B$1997))) - B43,
    TODAY() - Table3[[#This Row],[Date of Update]]
  ),
  TODAY()-Table3[[#This Row],[Date of Update]]
)&lt;=0,
TODAY()-Table3[[#This Row],[Date of Update]],
IFERROR(
  IF(
    COUNTIF(A$2:A$1997, A43) &gt; 1,
    MIN(IF(A$2:A$1997=A43, IF(B$2:B$1997&gt;B43, B$2:B$1997))) - B43,
    TODAY() - Table3[[#This Row],[Date of Update]]
  ),
  TODAY()-Table3[[#This Row],[Date of Update]]
)))</f>
        <v>0</v>
      </c>
      <c r="G43" s="40">
        <f>IF(Table3[[#This Row],[Stage]]="Closed",Table3[[#This Row],[Date of Update]]-(_xlfn.MINIFS(Table3[Date of Update],Table3[Ref], Table3[[#This Row],[Ref]])),"")</f>
        <v>1</v>
      </c>
    </row>
    <row r="44" spans="1:7" x14ac:dyDescent="0.25">
      <c r="A44" s="39" t="s">
        <v>1108</v>
      </c>
      <c r="B44" s="33">
        <v>44659</v>
      </c>
      <c r="C44" s="32" t="s">
        <v>23</v>
      </c>
      <c r="D44" s="32" t="s">
        <v>4</v>
      </c>
      <c r="E44" s="32" t="s">
        <v>206</v>
      </c>
      <c r="F44" s="32" cm="1">
        <f t="array" aca="1" ref="F44" ca="1">IF(Table3[[#This Row],[Stage]]="Closed",0,IF(IFERROR(
  IF(
    COUNTIF(A$2:A$1997, A44) &gt; 1,
    MIN(IF(A$2:A$1997=A44, IF(B$2:B$1997&gt;B44, B$2:B$1997))) - B44,
    TODAY() - Table3[[#This Row],[Date of Update]]
  ),
  TODAY()-Table3[[#This Row],[Date of Update]]
)&lt;=0,
TODAY()-Table3[[#This Row],[Date of Update]],
IFERROR(
  IF(
    COUNTIF(A$2:A$1997, A44) &gt; 1,
    MIN(IF(A$2:A$1997=A44, IF(B$2:B$1997&gt;B44, B$2:B$1997))) - B44,
    TODAY() - Table3[[#This Row],[Date of Update]]
  ),
  TODAY()-Table3[[#This Row],[Date of Update]]
)))</f>
        <v>30</v>
      </c>
      <c r="G44" s="40" t="str">
        <f>IF(Table3[[#This Row],[Stage]]="Closed",Table3[[#This Row],[Date of Update]]-(_xlfn.MINIFS(Table3[Date of Update],Table3[Ref], Table3[[#This Row],[Ref]])),"")</f>
        <v/>
      </c>
    </row>
    <row r="45" spans="1:7" x14ac:dyDescent="0.25">
      <c r="A45" s="39" t="s">
        <v>1109</v>
      </c>
      <c r="B45" s="33">
        <v>44660</v>
      </c>
      <c r="C45" s="32" t="s">
        <v>23</v>
      </c>
      <c r="D45" s="32" t="s">
        <v>4</v>
      </c>
      <c r="E45" s="32" t="s">
        <v>255</v>
      </c>
      <c r="F45" s="32" cm="1">
        <f t="array" aca="1" ref="F45" ca="1">IF(Table3[[#This Row],[Stage]]="Closed",0,IF(IFERROR(
  IF(
    COUNTIF(A$2:A$1997, A45) &gt; 1,
    MIN(IF(A$2:A$1997=A45, IF(B$2:B$1997&gt;B45, B$2:B$1997))) - B45,
    TODAY() - Table3[[#This Row],[Date of Update]]
  ),
  TODAY()-Table3[[#This Row],[Date of Update]]
)&lt;=0,
TODAY()-Table3[[#This Row],[Date of Update]],
IFERROR(
  IF(
    COUNTIF(A$2:A$1997, A45) &gt; 1,
    MIN(IF(A$2:A$1997=A45, IF(B$2:B$1997&gt;B45, B$2:B$1997))) - B45,
    TODAY() - Table3[[#This Row],[Date of Update]]
  ),
  TODAY()-Table3[[#This Row],[Date of Update]]
)))</f>
        <v>30</v>
      </c>
      <c r="G45" s="40" t="str">
        <f>IF(Table3[[#This Row],[Stage]]="Closed",Table3[[#This Row],[Date of Update]]-(_xlfn.MINIFS(Table3[Date of Update],Table3[Ref], Table3[[#This Row],[Ref]])),"")</f>
        <v/>
      </c>
    </row>
    <row r="46" spans="1:7" x14ac:dyDescent="0.25">
      <c r="A46" s="39" t="s">
        <v>1496</v>
      </c>
      <c r="B46" s="33">
        <v>44661</v>
      </c>
      <c r="C46" s="32" t="s">
        <v>169</v>
      </c>
      <c r="D46" s="32" t="s">
        <v>4</v>
      </c>
      <c r="E46" s="32" t="s">
        <v>206</v>
      </c>
      <c r="F46" s="32" cm="1">
        <f t="array" aca="1" ref="F46" ca="1">IF(Table3[[#This Row],[Stage]]="Closed",0,IF(IFERROR(
  IF(
    COUNTIF(A$2:A$1997, A46) &gt; 1,
    MIN(IF(A$2:A$1997=A46, IF(B$2:B$1997&gt;B46, B$2:B$1997))) - B46,
    TODAY() - Table3[[#This Row],[Date of Update]]
  ),
  TODAY()-Table3[[#This Row],[Date of Update]]
)&lt;=0,
TODAY()-Table3[[#This Row],[Date of Update]],
IFERROR(
  IF(
    COUNTIF(A$2:A$1997, A46) &gt; 1,
    MIN(IF(A$2:A$1997=A46, IF(B$2:B$1997&gt;B46, B$2:B$1997))) - B46,
    TODAY() - Table3[[#This Row],[Date of Update]]
  ),
  TODAY()-Table3[[#This Row],[Date of Update]]
)))</f>
        <v>0</v>
      </c>
      <c r="G46" s="40">
        <f>IF(Table3[[#This Row],[Stage]]="Closed",Table3[[#This Row],[Date of Update]]-(_xlfn.MINIFS(Table3[Date of Update],Table3[Ref], Table3[[#This Row],[Ref]])),"")</f>
        <v>31</v>
      </c>
    </row>
    <row r="47" spans="1:7" x14ac:dyDescent="0.25">
      <c r="A47" s="39" t="s">
        <v>1497</v>
      </c>
      <c r="B47" s="33">
        <v>44661</v>
      </c>
      <c r="C47" s="32" t="s">
        <v>169</v>
      </c>
      <c r="D47" s="32" t="s">
        <v>4</v>
      </c>
      <c r="E47" s="32" t="s">
        <v>206</v>
      </c>
      <c r="F47" s="32" cm="1">
        <f t="array" aca="1" ref="F47" ca="1">IF(Table3[[#This Row],[Stage]]="Closed",0,IF(IFERROR(
  IF(
    COUNTIF(A$2:A$1997, A47) &gt; 1,
    MIN(IF(A$2:A$1997=A47, IF(B$2:B$1997&gt;B47, B$2:B$1997))) - B47,
    TODAY() - Table3[[#This Row],[Date of Update]]
  ),
  TODAY()-Table3[[#This Row],[Date of Update]]
)&lt;=0,
TODAY()-Table3[[#This Row],[Date of Update]],
IFERROR(
  IF(
    COUNTIF(A$2:A$1997, A47) &gt; 1,
    MIN(IF(A$2:A$1997=A47, IF(B$2:B$1997&gt;B47, B$2:B$1997))) - B47,
    TODAY() - Table3[[#This Row],[Date of Update]]
  ),
  TODAY()-Table3[[#This Row],[Date of Update]]
)))</f>
        <v>0</v>
      </c>
      <c r="G47" s="40">
        <f>IF(Table3[[#This Row],[Stage]]="Closed",Table3[[#This Row],[Date of Update]]-(_xlfn.MINIFS(Table3[Date of Update],Table3[Ref], Table3[[#This Row],[Ref]])),"")</f>
        <v>30</v>
      </c>
    </row>
    <row r="48" spans="1:7" x14ac:dyDescent="0.25">
      <c r="A48" s="39" t="s">
        <v>1499</v>
      </c>
      <c r="B48" s="33">
        <v>44662</v>
      </c>
      <c r="C48" s="32" t="s">
        <v>23</v>
      </c>
      <c r="D48" s="32" t="s">
        <v>4</v>
      </c>
      <c r="E48" s="32" t="s">
        <v>257</v>
      </c>
      <c r="F48" s="32" cm="1">
        <f t="array" aca="1" ref="F48" ca="1">IF(Table3[[#This Row],[Stage]]="Closed",0,IF(IFERROR(
  IF(
    COUNTIF(A$2:A$1997, A48) &gt; 1,
    MIN(IF(A$2:A$1997=A48, IF(B$2:B$1997&gt;B48, B$2:B$1997))) - B48,
    TODAY() - Table3[[#This Row],[Date of Update]]
  ),
  TODAY()-Table3[[#This Row],[Date of Update]]
)&lt;=0,
TODAY()-Table3[[#This Row],[Date of Update]],
IFERROR(
  IF(
    COUNTIF(A$2:A$1997, A48) &gt; 1,
    MIN(IF(A$2:A$1997=A48, IF(B$2:B$1997&gt;B48, B$2:B$1997))) - B48,
    TODAY() - Table3[[#This Row],[Date of Update]]
  ),
  TODAY()-Table3[[#This Row],[Date of Update]]
)))</f>
        <v>30</v>
      </c>
      <c r="G48" s="40" t="str">
        <f>IF(Table3[[#This Row],[Stage]]="Closed",Table3[[#This Row],[Date of Update]]-(_xlfn.MINIFS(Table3[Date of Update],Table3[Ref], Table3[[#This Row],[Ref]])),"")</f>
        <v/>
      </c>
    </row>
    <row r="49" spans="1:7" x14ac:dyDescent="0.25">
      <c r="A49" s="39" t="s">
        <v>1500</v>
      </c>
      <c r="B49" s="33">
        <v>44662</v>
      </c>
      <c r="C49" s="32" t="s">
        <v>23</v>
      </c>
      <c r="D49" s="32" t="s">
        <v>4</v>
      </c>
      <c r="E49" s="32" t="s">
        <v>257</v>
      </c>
      <c r="F49" s="32" cm="1">
        <f t="array" aca="1" ref="F49" ca="1">IF(Table3[[#This Row],[Stage]]="Closed",0,IF(IFERROR(
  IF(
    COUNTIF(A$2:A$1997, A49) &gt; 1,
    MIN(IF(A$2:A$1997=A49, IF(B$2:B$1997&gt;B49, B$2:B$1997))) - B49,
    TODAY() - Table3[[#This Row],[Date of Update]]
  ),
  TODAY()-Table3[[#This Row],[Date of Update]]
)&lt;=0,
TODAY()-Table3[[#This Row],[Date of Update]],
IFERROR(
  IF(
    COUNTIF(A$2:A$1997, A49) &gt; 1,
    MIN(IF(A$2:A$1997=A49, IF(B$2:B$1997&gt;B49, B$2:B$1997))) - B49,
    TODAY() - Table3[[#This Row],[Date of Update]]
  ),
  TODAY()-Table3[[#This Row],[Date of Update]]
)))</f>
        <v>30</v>
      </c>
      <c r="G49" s="40" t="str">
        <f>IF(Table3[[#This Row],[Stage]]="Closed",Table3[[#This Row],[Date of Update]]-(_xlfn.MINIFS(Table3[Date of Update],Table3[Ref], Table3[[#This Row],[Ref]])),"")</f>
        <v/>
      </c>
    </row>
    <row r="50" spans="1:7" x14ac:dyDescent="0.25">
      <c r="A50" s="39" t="s">
        <v>1501</v>
      </c>
      <c r="B50" s="33">
        <v>44665</v>
      </c>
      <c r="C50" s="32" t="s">
        <v>23</v>
      </c>
      <c r="D50" s="32" t="s">
        <v>4</v>
      </c>
      <c r="E50" s="32" t="s">
        <v>262</v>
      </c>
      <c r="F50" s="32" cm="1">
        <f t="array" aca="1" ref="F50" ca="1">IF(Table3[[#This Row],[Stage]]="Closed",0,IF(IFERROR(
  IF(
    COUNTIF(A$2:A$1997, A50) &gt; 1,
    MIN(IF(A$2:A$1997=A50, IF(B$2:B$1997&gt;B50, B$2:B$1997))) - B50,
    TODAY() - Table3[[#This Row],[Date of Update]]
  ),
  TODAY()-Table3[[#This Row],[Date of Update]]
)&lt;=0,
TODAY()-Table3[[#This Row],[Date of Update]],
IFERROR(
  IF(
    COUNTIF(A$2:A$1997, A50) &gt; 1,
    MIN(IF(A$2:A$1997=A50, IF(B$2:B$1997&gt;B50, B$2:B$1997))) - B50,
    TODAY() - Table3[[#This Row],[Date of Update]]
  ),
  TODAY()-Table3[[#This Row],[Date of Update]]
)))</f>
        <v>30</v>
      </c>
      <c r="G50" s="40" t="str">
        <f>IF(Table3[[#This Row],[Stage]]="Closed",Table3[[#This Row],[Date of Update]]-(_xlfn.MINIFS(Table3[Date of Update],Table3[Ref], Table3[[#This Row],[Ref]])),"")</f>
        <v/>
      </c>
    </row>
    <row r="51" spans="1:7" x14ac:dyDescent="0.25">
      <c r="A51" s="39" t="s">
        <v>1101</v>
      </c>
      <c r="B51" s="33">
        <v>44666</v>
      </c>
      <c r="C51" s="32" t="s">
        <v>169</v>
      </c>
      <c r="D51" s="32" t="s">
        <v>4</v>
      </c>
      <c r="E51" s="32" t="s">
        <v>217</v>
      </c>
      <c r="F51" s="32" cm="1">
        <f t="array" aca="1" ref="F51" ca="1">IF(Table3[[#This Row],[Stage]]="Closed",0,IF(IFERROR(
  IF(
    COUNTIF(A$2:A$1997, A51) &gt; 1,
    MIN(IF(A$2:A$1997=A51, IF(B$2:B$1997&gt;B51, B$2:B$1997))) - B51,
    TODAY() - Table3[[#This Row],[Date of Update]]
  ),
  TODAY()-Table3[[#This Row],[Date of Update]]
)&lt;=0,
TODAY()-Table3[[#This Row],[Date of Update]],
IFERROR(
  IF(
    COUNTIF(A$2:A$1997, A51) &gt; 1,
    MIN(IF(A$2:A$1997=A51, IF(B$2:B$1997&gt;B51, B$2:B$1997))) - B51,
    TODAY() - Table3[[#This Row],[Date of Update]]
  ),
  TODAY()-Table3[[#This Row],[Date of Update]]
)))</f>
        <v>0</v>
      </c>
      <c r="G51" s="40">
        <f>IF(Table3[[#This Row],[Stage]]="Closed",Table3[[#This Row],[Date of Update]]-(_xlfn.MINIFS(Table3[Date of Update],Table3[Ref], Table3[[#This Row],[Ref]])),"")</f>
        <v>30</v>
      </c>
    </row>
    <row r="52" spans="1:7" x14ac:dyDescent="0.25">
      <c r="A52" s="39" t="s">
        <v>1099</v>
      </c>
      <c r="B52" s="33">
        <v>44670</v>
      </c>
      <c r="C52" s="32" t="s">
        <v>23</v>
      </c>
      <c r="D52" s="32" t="s">
        <v>4</v>
      </c>
      <c r="E52" s="32"/>
      <c r="F52" s="32" cm="1">
        <f t="array" aca="1" ref="F52" ca="1">IF(Table3[[#This Row],[Stage]]="Closed",0,IF(IFERROR(
  IF(
    COUNTIF(A$2:A$1997, A52) &gt; 1,
    MIN(IF(A$2:A$1997=A52, IF(B$2:B$1997&gt;B52, B$2:B$1997))) - B52,
    TODAY() - Table3[[#This Row],[Date of Update]]
  ),
  TODAY()-Table3[[#This Row],[Date of Update]]
)&lt;=0,
TODAY()-Table3[[#This Row],[Date of Update]],
IFERROR(
  IF(
    COUNTIF(A$2:A$1997, A52) &gt; 1,
    MIN(IF(A$2:A$1997=A52, IF(B$2:B$1997&gt;B52, B$2:B$1997))) - B52,
    TODAY() - Table3[[#This Row],[Date of Update]]
  ),
  TODAY()-Table3[[#This Row],[Date of Update]]
)))</f>
        <v>49</v>
      </c>
      <c r="G52" s="40" t="str">
        <f>IF(Table3[[#This Row],[Stage]]="Closed",Table3[[#This Row],[Date of Update]]-(_xlfn.MINIFS(Table3[Date of Update],Table3[Ref], Table3[[#This Row],[Ref]])),"")</f>
        <v/>
      </c>
    </row>
    <row r="53" spans="1:7" x14ac:dyDescent="0.25">
      <c r="A53" s="39" t="s">
        <v>1089</v>
      </c>
      <c r="B53" s="33">
        <v>44670</v>
      </c>
      <c r="C53" s="32" t="s">
        <v>23</v>
      </c>
      <c r="D53" s="32" t="s">
        <v>4</v>
      </c>
      <c r="E53" s="32"/>
      <c r="F53" s="32" cm="1">
        <f t="array" aca="1" ref="F53" ca="1">IF(Table3[[#This Row],[Stage]]="Closed",0,IF(IFERROR(
  IF(
    COUNTIF(A$2:A$1997, A53) &gt; 1,
    MIN(IF(A$2:A$1997=A53, IF(B$2:B$1997&gt;B53, B$2:B$1997))) - B53,
    TODAY() - Table3[[#This Row],[Date of Update]]
  ),
  TODAY()-Table3[[#This Row],[Date of Update]]
)&lt;=0,
TODAY()-Table3[[#This Row],[Date of Update]],
IFERROR(
  IF(
    COUNTIF(A$2:A$1997, A53) &gt; 1,
    MIN(IF(A$2:A$1997=A53, IF(B$2:B$1997&gt;B53, B$2:B$1997))) - B53,
    TODAY() - Table3[[#This Row],[Date of Update]]
  ),
  TODAY()-Table3[[#This Row],[Date of Update]]
)))</f>
        <v>48</v>
      </c>
      <c r="G53" s="40" t="str">
        <f>IF(Table3[[#This Row],[Stage]]="Closed",Table3[[#This Row],[Date of Update]]-(_xlfn.MINIFS(Table3[Date of Update],Table3[Ref], Table3[[#This Row],[Ref]])),"")</f>
        <v/>
      </c>
    </row>
    <row r="54" spans="1:7" x14ac:dyDescent="0.25">
      <c r="A54" s="39" t="s">
        <v>1100</v>
      </c>
      <c r="B54" s="33">
        <v>44670</v>
      </c>
      <c r="C54" s="32" t="s">
        <v>23</v>
      </c>
      <c r="D54" s="32" t="s">
        <v>4</v>
      </c>
      <c r="E54" s="32"/>
      <c r="F54" s="32" cm="1">
        <f t="array" aca="1" ref="F54" ca="1">IF(Table3[[#This Row],[Stage]]="Closed",0,IF(IFERROR(
  IF(
    COUNTIF(A$2:A$1997, A54) &gt; 1,
    MIN(IF(A$2:A$1997=A54, IF(B$2:B$1997&gt;B54, B$2:B$1997))) - B54,
    TODAY() - Table3[[#This Row],[Date of Update]]
  ),
  TODAY()-Table3[[#This Row],[Date of Update]]
)&lt;=0,
TODAY()-Table3[[#This Row],[Date of Update]],
IFERROR(
  IF(
    COUNTIF(A$2:A$1997, A54) &gt; 1,
    MIN(IF(A$2:A$1997=A54, IF(B$2:B$1997&gt;B54, B$2:B$1997))) - B54,
    TODAY() - Table3[[#This Row],[Date of Update]]
  ),
  TODAY()-Table3[[#This Row],[Date of Update]]
)))</f>
        <v>50</v>
      </c>
      <c r="G54" s="40" t="str">
        <f>IF(Table3[[#This Row],[Stage]]="Closed",Table3[[#This Row],[Date of Update]]-(_xlfn.MINIFS(Table3[Date of Update],Table3[Ref], Table3[[#This Row],[Ref]])),"")</f>
        <v/>
      </c>
    </row>
    <row r="55" spans="1:7" x14ac:dyDescent="0.25">
      <c r="A55" s="39" t="s">
        <v>1102</v>
      </c>
      <c r="B55" s="33">
        <v>44675</v>
      </c>
      <c r="C55" s="32" t="s">
        <v>169</v>
      </c>
      <c r="D55" s="32" t="s">
        <v>4</v>
      </c>
      <c r="E55" s="32"/>
      <c r="F55" s="32" cm="1">
        <f t="array" aca="1" ref="F55" ca="1">IF(Table3[[#This Row],[Stage]]="Closed",0,IF(IFERROR(
  IF(
    COUNTIF(A$2:A$1997, A55) &gt; 1,
    MIN(IF(A$2:A$1997=A55, IF(B$2:B$1997&gt;B55, B$2:B$1997))) - B55,
    TODAY() - Table3[[#This Row],[Date of Update]]
  ),
  TODAY()-Table3[[#This Row],[Date of Update]]
)&lt;=0,
TODAY()-Table3[[#This Row],[Date of Update]],
IFERROR(
  IF(
    COUNTIF(A$2:A$1997, A55) &gt; 1,
    MIN(IF(A$2:A$1997=A55, IF(B$2:B$1997&gt;B55, B$2:B$1997))) - B55,
    TODAY() - Table3[[#This Row],[Date of Update]]
  ),
  TODAY()-Table3[[#This Row],[Date of Update]]
)))</f>
        <v>0</v>
      </c>
      <c r="G55" s="40">
        <f>IF(Table3[[#This Row],[Stage]]="Closed",Table3[[#This Row],[Date of Update]]-(_xlfn.MINIFS(Table3[Date of Update],Table3[Ref], Table3[[#This Row],[Ref]])),"")</f>
        <v>30</v>
      </c>
    </row>
    <row r="56" spans="1:7" x14ac:dyDescent="0.25">
      <c r="A56" s="39" t="s">
        <v>1103</v>
      </c>
      <c r="B56" s="33">
        <v>44679</v>
      </c>
      <c r="C56" s="32" t="s">
        <v>169</v>
      </c>
      <c r="D56" s="32" t="s">
        <v>4</v>
      </c>
      <c r="E56" s="32" t="s">
        <v>230</v>
      </c>
      <c r="F56" s="32" cm="1">
        <f t="array" aca="1" ref="F56" ca="1">IF(Table3[[#This Row],[Stage]]="Closed",0,IF(IFERROR(
  IF(
    COUNTIF(A$2:A$1997, A56) &gt; 1,
    MIN(IF(A$2:A$1997=A56, IF(B$2:B$1997&gt;B56, B$2:B$1997))) - B56,
    TODAY() - Table3[[#This Row],[Date of Update]]
  ),
  TODAY()-Table3[[#This Row],[Date of Update]]
)&lt;=0,
TODAY()-Table3[[#This Row],[Date of Update]],
IFERROR(
  IF(
    COUNTIF(A$2:A$1997, A56) &gt; 1,
    MIN(IF(A$2:A$1997=A56, IF(B$2:B$1997&gt;B56, B$2:B$1997))) - B56,
    TODAY() - Table3[[#This Row],[Date of Update]]
  ),
  TODAY()-Table3[[#This Row],[Date of Update]]
)))</f>
        <v>0</v>
      </c>
      <c r="G56" s="40">
        <f>IF(Table3[[#This Row],[Stage]]="Closed",Table3[[#This Row],[Date of Update]]-(_xlfn.MINIFS(Table3[Date of Update],Table3[Ref], Table3[[#This Row],[Ref]])),"")</f>
        <v>30</v>
      </c>
    </row>
    <row r="57" spans="1:7" x14ac:dyDescent="0.25">
      <c r="A57" s="39" t="s">
        <v>1104</v>
      </c>
      <c r="B57" s="33">
        <v>44680</v>
      </c>
      <c r="C57" s="32" t="s">
        <v>169</v>
      </c>
      <c r="D57" s="32" t="s">
        <v>4</v>
      </c>
      <c r="E57" s="32" t="s">
        <v>235</v>
      </c>
      <c r="F57" s="32" cm="1">
        <f t="array" aca="1" ref="F57" ca="1">IF(Table3[[#This Row],[Stage]]="Closed",0,IF(IFERROR(
  IF(
    COUNTIF(A$2:A$1997, A57) &gt; 1,
    MIN(IF(A$2:A$1997=A57, IF(B$2:B$1997&gt;B57, B$2:B$1997))) - B57,
    TODAY() - Table3[[#This Row],[Date of Update]]
  ),
  TODAY()-Table3[[#This Row],[Date of Update]]
)&lt;=0,
TODAY()-Table3[[#This Row],[Date of Update]],
IFERROR(
  IF(
    COUNTIF(A$2:A$1997, A57) &gt; 1,
    MIN(IF(A$2:A$1997=A57, IF(B$2:B$1997&gt;B57, B$2:B$1997))) - B57,
    TODAY() - Table3[[#This Row],[Date of Update]]
  ),
  TODAY()-Table3[[#This Row],[Date of Update]]
)))</f>
        <v>0</v>
      </c>
      <c r="G57" s="40">
        <f>IF(Table3[[#This Row],[Stage]]="Closed",Table3[[#This Row],[Date of Update]]-(_xlfn.MINIFS(Table3[Date of Update],Table3[Ref], Table3[[#This Row],[Ref]])),"")</f>
        <v>30</v>
      </c>
    </row>
    <row r="58" spans="1:7" x14ac:dyDescent="0.25">
      <c r="A58" s="39" t="s">
        <v>1105</v>
      </c>
      <c r="B58" s="33">
        <v>44682</v>
      </c>
      <c r="C58" s="32" t="s">
        <v>169</v>
      </c>
      <c r="D58" s="32" t="s">
        <v>4</v>
      </c>
      <c r="E58" s="32" t="s">
        <v>239</v>
      </c>
      <c r="F58" s="32" cm="1">
        <f t="array" aca="1" ref="F58" ca="1">IF(Table3[[#This Row],[Stage]]="Closed",0,IF(IFERROR(
  IF(
    COUNTIF(A$2:A$1997, A58) &gt; 1,
    MIN(IF(A$2:A$1997=A58, IF(B$2:B$1997&gt;B58, B$2:B$1997))) - B58,
    TODAY() - Table3[[#This Row],[Date of Update]]
  ),
  TODAY()-Table3[[#This Row],[Date of Update]]
)&lt;=0,
TODAY()-Table3[[#This Row],[Date of Update]],
IFERROR(
  IF(
    COUNTIF(A$2:A$1997, A58) &gt; 1,
    MIN(IF(A$2:A$1997=A58, IF(B$2:B$1997&gt;B58, B$2:B$1997))) - B58,
    TODAY() - Table3[[#This Row],[Date of Update]]
  ),
  TODAY()-Table3[[#This Row],[Date of Update]]
)))</f>
        <v>0</v>
      </c>
      <c r="G58" s="40">
        <f>IF(Table3[[#This Row],[Stage]]="Closed",Table3[[#This Row],[Date of Update]]-(_xlfn.MINIFS(Table3[Date of Update],Table3[Ref], Table3[[#This Row],[Ref]])),"")</f>
        <v>30</v>
      </c>
    </row>
    <row r="59" spans="1:7" x14ac:dyDescent="0.25">
      <c r="A59" s="39" t="s">
        <v>1498</v>
      </c>
      <c r="B59" s="33">
        <v>44682</v>
      </c>
      <c r="C59" s="32" t="s">
        <v>169</v>
      </c>
      <c r="D59" s="32" t="s">
        <v>4</v>
      </c>
      <c r="E59" s="32" t="s">
        <v>239</v>
      </c>
      <c r="F59" s="32" cm="1">
        <f t="array" aca="1" ref="F59" ca="1">IF(Table3[[#This Row],[Stage]]="Closed",0,IF(IFERROR(
  IF(
    COUNTIF(A$2:A$1997, A59) &gt; 1,
    MIN(IF(A$2:A$1997=A59, IF(B$2:B$1997&gt;B59, B$2:B$1997))) - B59,
    TODAY() - Table3[[#This Row],[Date of Update]]
  ),
  TODAY()-Table3[[#This Row],[Date of Update]]
)&lt;=0,
TODAY()-Table3[[#This Row],[Date of Update]],
IFERROR(
  IF(
    COUNTIF(A$2:A$1997, A59) &gt; 1,
    MIN(IF(A$2:A$1997=A59, IF(B$2:B$1997&gt;B59, B$2:B$1997))) - B59,
    TODAY() - Table3[[#This Row],[Date of Update]]
  ),
  TODAY()-Table3[[#This Row],[Date of Update]]
)))</f>
        <v>0</v>
      </c>
      <c r="G59" s="40">
        <f>IF(Table3[[#This Row],[Stage]]="Closed",Table3[[#This Row],[Date of Update]]-(_xlfn.MINIFS(Table3[Date of Update],Table3[Ref], Table3[[#This Row],[Ref]])),"")</f>
        <v>30</v>
      </c>
    </row>
    <row r="60" spans="1:7" x14ac:dyDescent="0.25">
      <c r="A60" s="39" t="s">
        <v>1106</v>
      </c>
      <c r="B60" s="33">
        <v>44683</v>
      </c>
      <c r="C60" s="32" t="s">
        <v>169</v>
      </c>
      <c r="D60" s="32" t="s">
        <v>4</v>
      </c>
      <c r="E60" s="32"/>
      <c r="F60" s="32" cm="1">
        <f t="array" aca="1" ref="F60" ca="1">IF(Table3[[#This Row],[Stage]]="Closed",0,IF(IFERROR(
  IF(
    COUNTIF(A$2:A$1997, A60) &gt; 1,
    MIN(IF(A$2:A$1997=A60, IF(B$2:B$1997&gt;B60, B$2:B$1997))) - B60,
    TODAY() - Table3[[#This Row],[Date of Update]]
  ),
  TODAY()-Table3[[#This Row],[Date of Update]]
)&lt;=0,
TODAY()-Table3[[#This Row],[Date of Update]],
IFERROR(
  IF(
    COUNTIF(A$2:A$1997, A60) &gt; 1,
    MIN(IF(A$2:A$1997=A60, IF(B$2:B$1997&gt;B60, B$2:B$1997))) - B60,
    TODAY() - Table3[[#This Row],[Date of Update]]
  ),
  TODAY()-Table3[[#This Row],[Date of Update]]
)))</f>
        <v>0</v>
      </c>
      <c r="G60" s="40">
        <f>IF(Table3[[#This Row],[Stage]]="Closed",Table3[[#This Row],[Date of Update]]-(_xlfn.MINIFS(Table3[Date of Update],Table3[Ref], Table3[[#This Row],[Ref]])),"")</f>
        <v>52</v>
      </c>
    </row>
    <row r="61" spans="1:7" x14ac:dyDescent="0.25">
      <c r="A61" s="39" t="s">
        <v>1107</v>
      </c>
      <c r="B61" s="33">
        <v>44684</v>
      </c>
      <c r="C61" s="32" t="s">
        <v>169</v>
      </c>
      <c r="D61" s="32" t="s">
        <v>4</v>
      </c>
      <c r="E61" s="32"/>
      <c r="F61" s="32" cm="1">
        <f t="array" aca="1" ref="F61" ca="1">IF(Table3[[#This Row],[Stage]]="Closed",0,IF(IFERROR(
  IF(
    COUNTIF(A$2:A$1997, A61) &gt; 1,
    MIN(IF(A$2:A$1997=A61, IF(B$2:B$1997&gt;B61, B$2:B$1997))) - B61,
    TODAY() - Table3[[#This Row],[Date of Update]]
  ),
  TODAY()-Table3[[#This Row],[Date of Update]]
)&lt;=0,
TODAY()-Table3[[#This Row],[Date of Update]],
IFERROR(
  IF(
    COUNTIF(A$2:A$1997, A61) &gt; 1,
    MIN(IF(A$2:A$1997=A61, IF(B$2:B$1997&gt;B61, B$2:B$1997))) - B61,
    TODAY() - Table3[[#This Row],[Date of Update]]
  ),
  TODAY()-Table3[[#This Row],[Date of Update]]
)))</f>
        <v>0</v>
      </c>
      <c r="G61" s="40">
        <f>IF(Table3[[#This Row],[Stage]]="Closed",Table3[[#This Row],[Date of Update]]-(_xlfn.MINIFS(Table3[Date of Update],Table3[Ref], Table3[[#This Row],[Ref]])),"")</f>
        <v>47</v>
      </c>
    </row>
    <row r="62" spans="1:7" x14ac:dyDescent="0.25">
      <c r="A62" s="39" t="s">
        <v>1117</v>
      </c>
      <c r="B62" s="33">
        <v>44687</v>
      </c>
      <c r="C62" s="32" t="s">
        <v>23</v>
      </c>
      <c r="D62" s="32" t="s">
        <v>4</v>
      </c>
      <c r="E62" s="32"/>
      <c r="F62" s="32" cm="1">
        <f t="array" aca="1" ref="F62" ca="1">IF(Table3[[#This Row],[Stage]]="Closed",0,IF(IFERROR(
  IF(
    COUNTIF(A$2:A$1997, A62) &gt; 1,
    MIN(IF(A$2:A$1997=A62, IF(B$2:B$1997&gt;B62, B$2:B$1997))) - B62,
    TODAY() - Table3[[#This Row],[Date of Update]]
  ),
  TODAY()-Table3[[#This Row],[Date of Update]]
)&lt;=0,
TODAY()-Table3[[#This Row],[Date of Update]],
IFERROR(
  IF(
    COUNTIF(A$2:A$1997, A62) &gt; 1,
    MIN(IF(A$2:A$1997=A62, IF(B$2:B$1997&gt;B62, B$2:B$1997))) - B62,
    TODAY() - Table3[[#This Row],[Date of Update]]
  ),
  TODAY()-Table3[[#This Row],[Date of Update]]
)))</f>
        <v>33</v>
      </c>
      <c r="G62" s="40" t="str">
        <f>IF(Table3[[#This Row],[Stage]]="Closed",Table3[[#This Row],[Date of Update]]-(_xlfn.MINIFS(Table3[Date of Update],Table3[Ref], Table3[[#This Row],[Ref]])),"")</f>
        <v/>
      </c>
    </row>
    <row r="63" spans="1:7" x14ac:dyDescent="0.25">
      <c r="A63" s="39" t="s">
        <v>1108</v>
      </c>
      <c r="B63" s="33">
        <v>44689</v>
      </c>
      <c r="C63" s="32" t="s">
        <v>169</v>
      </c>
      <c r="D63" s="32" t="s">
        <v>4</v>
      </c>
      <c r="E63" s="32" t="s">
        <v>206</v>
      </c>
      <c r="F63" s="32" cm="1">
        <f t="array" aca="1" ref="F63" ca="1">IF(Table3[[#This Row],[Stage]]="Closed",0,IF(IFERROR(
  IF(
    COUNTIF(A$2:A$1997, A63) &gt; 1,
    MIN(IF(A$2:A$1997=A63, IF(B$2:B$1997&gt;B63, B$2:B$1997))) - B63,
    TODAY() - Table3[[#This Row],[Date of Update]]
  ),
  TODAY()-Table3[[#This Row],[Date of Update]]
)&lt;=0,
TODAY()-Table3[[#This Row],[Date of Update]],
IFERROR(
  IF(
    COUNTIF(A$2:A$1997, A63) &gt; 1,
    MIN(IF(A$2:A$1997=A63, IF(B$2:B$1997&gt;B63, B$2:B$1997))) - B63,
    TODAY() - Table3[[#This Row],[Date of Update]]
  ),
  TODAY()-Table3[[#This Row],[Date of Update]]
)))</f>
        <v>0</v>
      </c>
      <c r="G63" s="40">
        <f>IF(Table3[[#This Row],[Stage]]="Closed",Table3[[#This Row],[Date of Update]]-(_xlfn.MINIFS(Table3[Date of Update],Table3[Ref], Table3[[#This Row],[Ref]])),"")</f>
        <v>30</v>
      </c>
    </row>
    <row r="64" spans="1:7" x14ac:dyDescent="0.25">
      <c r="A64" s="39" t="s">
        <v>1118</v>
      </c>
      <c r="B64" s="33">
        <v>44690</v>
      </c>
      <c r="C64" s="32" t="s">
        <v>23</v>
      </c>
      <c r="D64" s="32" t="s">
        <v>4</v>
      </c>
      <c r="E64" s="32"/>
      <c r="F64" s="32" cm="1">
        <f t="array" aca="1" ref="F64" ca="1">IF(Table3[[#This Row],[Stage]]="Closed",0,IF(IFERROR(
  IF(
    COUNTIF(A$2:A$1997, A64) &gt; 1,
    MIN(IF(A$2:A$1997=A64, IF(B$2:B$1997&gt;B64, B$2:B$1997))) - B64,
    TODAY() - Table3[[#This Row],[Date of Update]]
  ),
  TODAY()-Table3[[#This Row],[Date of Update]]
)&lt;=0,
TODAY()-Table3[[#This Row],[Date of Update]],
IFERROR(
  IF(
    COUNTIF(A$2:A$1997, A64) &gt; 1,
    MIN(IF(A$2:A$1997=A64, IF(B$2:B$1997&gt;B64, B$2:B$1997))) - B64,
    TODAY() - Table3[[#This Row],[Date of Update]]
  ),
  TODAY()-Table3[[#This Row],[Date of Update]]
)))</f>
        <v>32</v>
      </c>
      <c r="G64" s="40" t="str">
        <f>IF(Table3[[#This Row],[Stage]]="Closed",Table3[[#This Row],[Date of Update]]-(_xlfn.MINIFS(Table3[Date of Update],Table3[Ref], Table3[[#This Row],[Ref]])),"")</f>
        <v/>
      </c>
    </row>
    <row r="65" spans="1:7" x14ac:dyDescent="0.25">
      <c r="A65" s="39" t="s">
        <v>1119</v>
      </c>
      <c r="B65" s="33">
        <v>44690</v>
      </c>
      <c r="C65" s="32" t="s">
        <v>23</v>
      </c>
      <c r="D65" s="32" t="s">
        <v>4</v>
      </c>
      <c r="E65" s="32"/>
      <c r="F65" s="32" cm="1">
        <f t="array" aca="1" ref="F65" ca="1">IF(Table3[[#This Row],[Stage]]="Closed",0,IF(IFERROR(
  IF(
    COUNTIF(A$2:A$1997, A65) &gt; 1,
    MIN(IF(A$2:A$1997=A65, IF(B$2:B$1997&gt;B65, B$2:B$1997))) - B65,
    TODAY() - Table3[[#This Row],[Date of Update]]
  ),
  TODAY()-Table3[[#This Row],[Date of Update]]
)&lt;=0,
TODAY()-Table3[[#This Row],[Date of Update]],
IFERROR(
  IF(
    COUNTIF(A$2:A$1997, A65) &gt; 1,
    MIN(IF(A$2:A$1997=A65, IF(B$2:B$1997&gt;B65, B$2:B$1997))) - B65,
    TODAY() - Table3[[#This Row],[Date of Update]]
  ),
  TODAY()-Table3[[#This Row],[Date of Update]]
)))</f>
        <v>32</v>
      </c>
      <c r="G65" s="40" t="str">
        <f>IF(Table3[[#This Row],[Stage]]="Closed",Table3[[#This Row],[Date of Update]]-(_xlfn.MINIFS(Table3[Date of Update],Table3[Ref], Table3[[#This Row],[Ref]])),"")</f>
        <v/>
      </c>
    </row>
    <row r="66" spans="1:7" x14ac:dyDescent="0.25">
      <c r="A66" s="39" t="s">
        <v>1153</v>
      </c>
      <c r="B66" s="33">
        <v>44690</v>
      </c>
      <c r="C66" s="32" t="s">
        <v>23</v>
      </c>
      <c r="D66" s="32" t="s">
        <v>4</v>
      </c>
      <c r="E66" s="32" t="s">
        <v>362</v>
      </c>
      <c r="F66" s="32" cm="1">
        <f t="array" aca="1" ref="F66" ca="1">IF(Table3[[#This Row],[Stage]]="Closed",0,IF(IFERROR(
  IF(
    COUNTIF(A$2:A$1997, A66) &gt; 1,
    MIN(IF(A$2:A$1997=A66, IF(B$2:B$1997&gt;B66, B$2:B$1997))) - B66,
    TODAY() - Table3[[#This Row],[Date of Update]]
  ),
  TODAY()-Table3[[#This Row],[Date of Update]]
)&lt;=0,
TODAY()-Table3[[#This Row],[Date of Update]],
IFERROR(
  IF(
    COUNTIF(A$2:A$1997, A66) &gt; 1,
    MIN(IF(A$2:A$1997=A66, IF(B$2:B$1997&gt;B66, B$2:B$1997))) - B66,
    TODAY() - Table3[[#This Row],[Date of Update]]
  ),
  TODAY()-Table3[[#This Row],[Date of Update]]
)))</f>
        <v>126</v>
      </c>
      <c r="G66" s="40" t="str">
        <f>IF(Table3[[#This Row],[Stage]]="Closed",Table3[[#This Row],[Date of Update]]-(_xlfn.MINIFS(Table3[Date of Update],Table3[Ref], Table3[[#This Row],[Ref]])),"")</f>
        <v/>
      </c>
    </row>
    <row r="67" spans="1:7" x14ac:dyDescent="0.25">
      <c r="A67" s="39" t="s">
        <v>1109</v>
      </c>
      <c r="B67" s="33">
        <v>44690</v>
      </c>
      <c r="C67" s="32" t="s">
        <v>169</v>
      </c>
      <c r="D67" s="32" t="s">
        <v>4</v>
      </c>
      <c r="E67" s="32" t="s">
        <v>255</v>
      </c>
      <c r="F67" s="32" cm="1">
        <f t="array" aca="1" ref="F67" ca="1">IF(Table3[[#This Row],[Stage]]="Closed",0,IF(IFERROR(
  IF(
    COUNTIF(A$2:A$1997, A67) &gt; 1,
    MIN(IF(A$2:A$1997=A67, IF(B$2:B$1997&gt;B67, B$2:B$1997))) - B67,
    TODAY() - Table3[[#This Row],[Date of Update]]
  ),
  TODAY()-Table3[[#This Row],[Date of Update]]
)&lt;=0,
TODAY()-Table3[[#This Row],[Date of Update]],
IFERROR(
  IF(
    COUNTIF(A$2:A$1997, A67) &gt; 1,
    MIN(IF(A$2:A$1997=A67, IF(B$2:B$1997&gt;B67, B$2:B$1997))) - B67,
    TODAY() - Table3[[#This Row],[Date of Update]]
  ),
  TODAY()-Table3[[#This Row],[Date of Update]]
)))</f>
        <v>0</v>
      </c>
      <c r="G67" s="40">
        <f>IF(Table3[[#This Row],[Stage]]="Closed",Table3[[#This Row],[Date of Update]]-(_xlfn.MINIFS(Table3[Date of Update],Table3[Ref], Table3[[#This Row],[Ref]])),"")</f>
        <v>30</v>
      </c>
    </row>
    <row r="68" spans="1:7" x14ac:dyDescent="0.25">
      <c r="A68" s="39" t="s">
        <v>1499</v>
      </c>
      <c r="B68" s="33">
        <v>44692</v>
      </c>
      <c r="C68" s="32" t="s">
        <v>169</v>
      </c>
      <c r="D68" s="32" t="s">
        <v>4</v>
      </c>
      <c r="E68" s="32" t="s">
        <v>257</v>
      </c>
      <c r="F68" s="32" cm="1">
        <f t="array" aca="1" ref="F68" ca="1">IF(Table3[[#This Row],[Stage]]="Closed",0,IF(IFERROR(
  IF(
    COUNTIF(A$2:A$1997, A68) &gt; 1,
    MIN(IF(A$2:A$1997=A68, IF(B$2:B$1997&gt;B68, B$2:B$1997))) - B68,
    TODAY() - Table3[[#This Row],[Date of Update]]
  ),
  TODAY()-Table3[[#This Row],[Date of Update]]
)&lt;=0,
TODAY()-Table3[[#This Row],[Date of Update]],
IFERROR(
  IF(
    COUNTIF(A$2:A$1997, A68) &gt; 1,
    MIN(IF(A$2:A$1997=A68, IF(B$2:B$1997&gt;B68, B$2:B$1997))) - B68,
    TODAY() - Table3[[#This Row],[Date of Update]]
  ),
  TODAY()-Table3[[#This Row],[Date of Update]]
)))</f>
        <v>0</v>
      </c>
      <c r="G68" s="40">
        <f>IF(Table3[[#This Row],[Stage]]="Closed",Table3[[#This Row],[Date of Update]]-(_xlfn.MINIFS(Table3[Date of Update],Table3[Ref], Table3[[#This Row],[Ref]])),"")</f>
        <v>30</v>
      </c>
    </row>
    <row r="69" spans="1:7" x14ac:dyDescent="0.25">
      <c r="A69" s="39" t="s">
        <v>1500</v>
      </c>
      <c r="B69" s="33">
        <v>44692</v>
      </c>
      <c r="C69" s="32" t="s">
        <v>169</v>
      </c>
      <c r="D69" s="32" t="s">
        <v>4</v>
      </c>
      <c r="E69" s="32" t="s">
        <v>257</v>
      </c>
      <c r="F69" s="32" cm="1">
        <f t="array" aca="1" ref="F69" ca="1">IF(Table3[[#This Row],[Stage]]="Closed",0,IF(IFERROR(
  IF(
    COUNTIF(A$2:A$1997, A69) &gt; 1,
    MIN(IF(A$2:A$1997=A69, IF(B$2:B$1997&gt;B69, B$2:B$1997))) - B69,
    TODAY() - Table3[[#This Row],[Date of Update]]
  ),
  TODAY()-Table3[[#This Row],[Date of Update]]
)&lt;=0,
TODAY()-Table3[[#This Row],[Date of Update]],
IFERROR(
  IF(
    COUNTIF(A$2:A$1997, A69) &gt; 1,
    MIN(IF(A$2:A$1997=A69, IF(B$2:B$1997&gt;B69, B$2:B$1997))) - B69,
    TODAY() - Table3[[#This Row],[Date of Update]]
  ),
  TODAY()-Table3[[#This Row],[Date of Update]]
)))</f>
        <v>0</v>
      </c>
      <c r="G69" s="40">
        <f>IF(Table3[[#This Row],[Stage]]="Closed",Table3[[#This Row],[Date of Update]]-(_xlfn.MINIFS(Table3[Date of Update],Table3[Ref], Table3[[#This Row],[Ref]])),"")</f>
        <v>30</v>
      </c>
    </row>
    <row r="70" spans="1:7" x14ac:dyDescent="0.25">
      <c r="A70" s="39" t="s">
        <v>1154</v>
      </c>
      <c r="B70" s="33">
        <v>44693</v>
      </c>
      <c r="C70" s="32" t="s">
        <v>23</v>
      </c>
      <c r="D70" s="32" t="s">
        <v>4</v>
      </c>
      <c r="E70" s="32" t="s">
        <v>362</v>
      </c>
      <c r="F70" s="32" cm="1">
        <f t="array" aca="1" ref="F70" ca="1">IF(Table3[[#This Row],[Stage]]="Closed",0,IF(IFERROR(
  IF(
    COUNTIF(A$2:A$1997, A70) &gt; 1,
    MIN(IF(A$2:A$1997=A70, IF(B$2:B$1997&gt;B70, B$2:B$1997))) - B70,
    TODAY() - Table3[[#This Row],[Date of Update]]
  ),
  TODAY()-Table3[[#This Row],[Date of Update]]
)&lt;=0,
TODAY()-Table3[[#This Row],[Date of Update]],
IFERROR(
  IF(
    COUNTIF(A$2:A$1997, A70) &gt; 1,
    MIN(IF(A$2:A$1997=A70, IF(B$2:B$1997&gt;B70, B$2:B$1997))) - B70,
    TODAY() - Table3[[#This Row],[Date of Update]]
  ),
  TODAY()-Table3[[#This Row],[Date of Update]]
)))</f>
        <v>123</v>
      </c>
      <c r="G70" s="40" t="str">
        <f>IF(Table3[[#This Row],[Stage]]="Closed",Table3[[#This Row],[Date of Update]]-(_xlfn.MINIFS(Table3[Date of Update],Table3[Ref], Table3[[#This Row],[Ref]])),"")</f>
        <v/>
      </c>
    </row>
    <row r="71" spans="1:7" x14ac:dyDescent="0.25">
      <c r="A71" s="39" t="s">
        <v>1110</v>
      </c>
      <c r="B71" s="33">
        <v>44694</v>
      </c>
      <c r="C71" s="32" t="s">
        <v>169</v>
      </c>
      <c r="D71" s="32" t="s">
        <v>4</v>
      </c>
      <c r="E71" s="32"/>
      <c r="F71" s="32" cm="1">
        <f t="array" aca="1" ref="F71" ca="1">IF(Table3[[#This Row],[Stage]]="Closed",0,IF(IFERROR(
  IF(
    COUNTIF(A$2:A$1997, A71) &gt; 1,
    MIN(IF(A$2:A$1997=A71, IF(B$2:B$1997&gt;B71, B$2:B$1997))) - B71,
    TODAY() - Table3[[#This Row],[Date of Update]]
  ),
  TODAY()-Table3[[#This Row],[Date of Update]]
)&lt;=0,
TODAY()-Table3[[#This Row],[Date of Update]],
IFERROR(
  IF(
    COUNTIF(A$2:A$1997, A71) &gt; 1,
    MIN(IF(A$2:A$1997=A71, IF(B$2:B$1997&gt;B71, B$2:B$1997))) - B71,
    TODAY() - Table3[[#This Row],[Date of Update]]
  ),
  TODAY()-Table3[[#This Row],[Date of Update]]
)))</f>
        <v>0</v>
      </c>
      <c r="G71" s="40">
        <f>IF(Table3[[#This Row],[Stage]]="Closed",Table3[[#This Row],[Date of Update]]-(_xlfn.MINIFS(Table3[Date of Update],Table3[Ref], Table3[[#This Row],[Ref]])),"")</f>
        <v>56</v>
      </c>
    </row>
    <row r="72" spans="1:7" x14ac:dyDescent="0.25">
      <c r="A72" s="39" t="s">
        <v>1120</v>
      </c>
      <c r="B72" s="33">
        <v>44694</v>
      </c>
      <c r="C72" s="32" t="s">
        <v>23</v>
      </c>
      <c r="D72" s="32" t="s">
        <v>4</v>
      </c>
      <c r="E72" s="32"/>
      <c r="F72" s="32" cm="1">
        <f t="array" aca="1" ref="F72" ca="1">IF(Table3[[#This Row],[Stage]]="Closed",0,IF(IFERROR(
  IF(
    COUNTIF(A$2:A$1997, A72) &gt; 1,
    MIN(IF(A$2:A$1997=A72, IF(B$2:B$1997&gt;B72, B$2:B$1997))) - B72,
    TODAY() - Table3[[#This Row],[Date of Update]]
  ),
  TODAY()-Table3[[#This Row],[Date of Update]]
)&lt;=0,
TODAY()-Table3[[#This Row],[Date of Update]],
IFERROR(
  IF(
    COUNTIF(A$2:A$1997, A72) &gt; 1,
    MIN(IF(A$2:A$1997=A72, IF(B$2:B$1997&gt;B72, B$2:B$1997))) - B72,
    TODAY() - Table3[[#This Row],[Date of Update]]
  ),
  TODAY()-Table3[[#This Row],[Date of Update]]
)))</f>
        <v>28</v>
      </c>
      <c r="G72" s="40" t="str">
        <f>IF(Table3[[#This Row],[Stage]]="Closed",Table3[[#This Row],[Date of Update]]-(_xlfn.MINIFS(Table3[Date of Update],Table3[Ref], Table3[[#This Row],[Ref]])),"")</f>
        <v/>
      </c>
    </row>
    <row r="73" spans="1:7" x14ac:dyDescent="0.25">
      <c r="A73" s="39" t="s">
        <v>1501</v>
      </c>
      <c r="B73" s="33">
        <v>44695</v>
      </c>
      <c r="C73" s="32" t="s">
        <v>169</v>
      </c>
      <c r="D73" s="32" t="s">
        <v>4</v>
      </c>
      <c r="E73" s="32" t="s">
        <v>262</v>
      </c>
      <c r="F73" s="32" cm="1">
        <f t="array" aca="1" ref="F73" ca="1">IF(Table3[[#This Row],[Stage]]="Closed",0,IF(IFERROR(
  IF(
    COUNTIF(A$2:A$1997, A73) &gt; 1,
    MIN(IF(A$2:A$1997=A73, IF(B$2:B$1997&gt;B73, B$2:B$1997))) - B73,
    TODAY() - Table3[[#This Row],[Date of Update]]
  ),
  TODAY()-Table3[[#This Row],[Date of Update]]
)&lt;=0,
TODAY()-Table3[[#This Row],[Date of Update]],
IFERROR(
  IF(
    COUNTIF(A$2:A$1997, A73) &gt; 1,
    MIN(IF(A$2:A$1997=A73, IF(B$2:B$1997&gt;B73, B$2:B$1997))) - B73,
    TODAY() - Table3[[#This Row],[Date of Update]]
  ),
  TODAY()-Table3[[#This Row],[Date of Update]]
)))</f>
        <v>0</v>
      </c>
      <c r="G73" s="40">
        <f>IF(Table3[[#This Row],[Stage]]="Closed",Table3[[#This Row],[Date of Update]]-(_xlfn.MINIFS(Table3[Date of Update],Table3[Ref], Table3[[#This Row],[Ref]])),"")</f>
        <v>30</v>
      </c>
    </row>
    <row r="74" spans="1:7" x14ac:dyDescent="0.25">
      <c r="A74" s="39" t="s">
        <v>1112</v>
      </c>
      <c r="B74" s="33">
        <v>44698</v>
      </c>
      <c r="C74" s="32" t="s">
        <v>23</v>
      </c>
      <c r="D74" s="32" t="s">
        <v>4</v>
      </c>
      <c r="E74" s="32"/>
      <c r="F74" s="32" cm="1">
        <f t="array" aca="1" ref="F74" ca="1">IF(Table3[[#This Row],[Stage]]="Closed",0,IF(IFERROR(
  IF(
    COUNTIF(A$2:A$1997, A74) &gt; 1,
    MIN(IF(A$2:A$1997=A74, IF(B$2:B$1997&gt;B74, B$2:B$1997))) - B74,
    TODAY() - Table3[[#This Row],[Date of Update]]
  ),
  TODAY()-Table3[[#This Row],[Date of Update]]
)&lt;=0,
TODAY()-Table3[[#This Row],[Date of Update]],
IFERROR(
  IF(
    COUNTIF(A$2:A$1997, A74) &gt; 1,
    MIN(IF(A$2:A$1997=A74, IF(B$2:B$1997&gt;B74, B$2:B$1997))) - B74,
    TODAY() - Table3[[#This Row],[Date of Update]]
  ),
  TODAY()-Table3[[#This Row],[Date of Update]]
)))</f>
        <v>9</v>
      </c>
      <c r="G74" s="40" t="str">
        <f>IF(Table3[[#This Row],[Stage]]="Closed",Table3[[#This Row],[Date of Update]]-(_xlfn.MINIFS(Table3[Date of Update],Table3[Ref], Table3[[#This Row],[Ref]])),"")</f>
        <v/>
      </c>
    </row>
    <row r="75" spans="1:7" x14ac:dyDescent="0.25">
      <c r="A75" s="39" t="s">
        <v>1116</v>
      </c>
      <c r="B75" s="33">
        <v>44698</v>
      </c>
      <c r="C75" s="32" t="s">
        <v>23</v>
      </c>
      <c r="D75" s="32" t="s">
        <v>4</v>
      </c>
      <c r="E75" s="32"/>
      <c r="F75" s="32" cm="1">
        <f t="array" aca="1" ref="F75" ca="1">IF(Table3[[#This Row],[Stage]]="Closed",0,IF(IFERROR(
  IF(
    COUNTIF(A$2:A$1997, A75) &gt; 1,
    MIN(IF(A$2:A$1997=A75, IF(B$2:B$1997&gt;B75, B$2:B$1997))) - B75,
    TODAY() - Table3[[#This Row],[Date of Update]]
  ),
  TODAY()-Table3[[#This Row],[Date of Update]]
)&lt;=0,
TODAY()-Table3[[#This Row],[Date of Update]],
IFERROR(
  IF(
    COUNTIF(A$2:A$1997, A75) &gt; 1,
    MIN(IF(A$2:A$1997=A75, IF(B$2:B$1997&gt;B75, B$2:B$1997))) - B75,
    TODAY() - Table3[[#This Row],[Date of Update]]
  ),
  TODAY()-Table3[[#This Row],[Date of Update]]
)))</f>
        <v>14</v>
      </c>
      <c r="G75" s="40" t="str">
        <f>IF(Table3[[#This Row],[Stage]]="Closed",Table3[[#This Row],[Date of Update]]-(_xlfn.MINIFS(Table3[Date of Update],Table3[Ref], Table3[[#This Row],[Ref]])),"")</f>
        <v/>
      </c>
    </row>
    <row r="76" spans="1:7" x14ac:dyDescent="0.25">
      <c r="A76" s="39" t="s">
        <v>1115</v>
      </c>
      <c r="B76" s="33">
        <v>44701</v>
      </c>
      <c r="C76" s="32" t="s">
        <v>23</v>
      </c>
      <c r="D76" s="32" t="s">
        <v>4</v>
      </c>
      <c r="E76" s="32"/>
      <c r="F76" s="32" cm="1">
        <f t="array" aca="1" ref="F76" ca="1">IF(Table3[[#This Row],[Stage]]="Closed",0,IF(IFERROR(
  IF(
    COUNTIF(A$2:A$1997, A76) &gt; 1,
    MIN(IF(A$2:A$1997=A76, IF(B$2:B$1997&gt;B76, B$2:B$1997))) - B76,
    TODAY() - Table3[[#This Row],[Date of Update]]
  ),
  TODAY()-Table3[[#This Row],[Date of Update]]
)&lt;=0,
TODAY()-Table3[[#This Row],[Date of Update]],
IFERROR(
  IF(
    COUNTIF(A$2:A$1997, A76) &gt; 1,
    MIN(IF(A$2:A$1997=A76, IF(B$2:B$1997&gt;B76, B$2:B$1997))) - B76,
    TODAY() - Table3[[#This Row],[Date of Update]]
  ),
  TODAY()-Table3[[#This Row],[Date of Update]]
)))</f>
        <v>8</v>
      </c>
      <c r="G76" s="40" t="str">
        <f>IF(Table3[[#This Row],[Stage]]="Closed",Table3[[#This Row],[Date of Update]]-(_xlfn.MINIFS(Table3[Date of Update],Table3[Ref], Table3[[#This Row],[Ref]])),"")</f>
        <v/>
      </c>
    </row>
    <row r="77" spans="1:7" x14ac:dyDescent="0.25">
      <c r="A77" s="39" t="s">
        <v>1490</v>
      </c>
      <c r="B77" s="33">
        <v>44706</v>
      </c>
      <c r="C77" s="32" t="s">
        <v>23</v>
      </c>
      <c r="D77" s="32" t="s">
        <v>4</v>
      </c>
      <c r="E77" s="32" t="s">
        <v>362</v>
      </c>
      <c r="F77" s="32" cm="1">
        <f t="array" aca="1" ref="F77" ca="1">IF(Table3[[#This Row],[Stage]]="Closed",0,IF(IFERROR(
  IF(
    COUNTIF(A$2:A$1997, A77) &gt; 1,
    MIN(IF(A$2:A$1997=A77, IF(B$2:B$1997&gt;B77, B$2:B$1997))) - B77,
    TODAY() - Table3[[#This Row],[Date of Update]]
  ),
  TODAY()-Table3[[#This Row],[Date of Update]]
)&lt;=0,
TODAY()-Table3[[#This Row],[Date of Update]],
IFERROR(
  IF(
    COUNTIF(A$2:A$1997, A77) &gt; 1,
    MIN(IF(A$2:A$1997=A77, IF(B$2:B$1997&gt;B77, B$2:B$1997))) - B77,
    TODAY() - Table3[[#This Row],[Date of Update]]
  ),
  TODAY()-Table3[[#This Row],[Date of Update]]
)))</f>
        <v>110</v>
      </c>
      <c r="G77" s="40" t="str">
        <f>IF(Table3[[#This Row],[Stage]]="Closed",Table3[[#This Row],[Date of Update]]-(_xlfn.MINIFS(Table3[Date of Update],Table3[Ref], Table3[[#This Row],[Ref]])),"")</f>
        <v/>
      </c>
    </row>
    <row r="78" spans="1:7" x14ac:dyDescent="0.25">
      <c r="A78" s="39" t="s">
        <v>1114</v>
      </c>
      <c r="B78" s="33">
        <v>44706</v>
      </c>
      <c r="C78" s="32" t="s">
        <v>23</v>
      </c>
      <c r="D78" s="32" t="s">
        <v>4</v>
      </c>
      <c r="E78" s="32"/>
      <c r="F78" s="32" cm="1">
        <f t="array" aca="1" ref="F78" ca="1">IF(Table3[[#This Row],[Stage]]="Closed",0,IF(IFERROR(
  IF(
    COUNTIF(A$2:A$1997, A78) &gt; 1,
    MIN(IF(A$2:A$1997=A78, IF(B$2:B$1997&gt;B78, B$2:B$1997))) - B78,
    TODAY() - Table3[[#This Row],[Date of Update]]
  ),
  TODAY()-Table3[[#This Row],[Date of Update]]
)&lt;=0,
TODAY()-Table3[[#This Row],[Date of Update]],
IFERROR(
  IF(
    COUNTIF(A$2:A$1997, A78) &gt; 1,
    MIN(IF(A$2:A$1997=A78, IF(B$2:B$1997&gt;B78, B$2:B$1997))) - B78,
    TODAY() - Table3[[#This Row],[Date of Update]]
  ),
  TODAY()-Table3[[#This Row],[Date of Update]]
)))</f>
        <v>2</v>
      </c>
      <c r="G78" s="40" t="str">
        <f>IF(Table3[[#This Row],[Stage]]="Closed",Table3[[#This Row],[Date of Update]]-(_xlfn.MINIFS(Table3[Date of Update],Table3[Ref], Table3[[#This Row],[Ref]])),"")</f>
        <v/>
      </c>
    </row>
    <row r="79" spans="1:7" x14ac:dyDescent="0.25">
      <c r="A79" s="39" t="s">
        <v>1111</v>
      </c>
      <c r="B79" s="33">
        <v>44706</v>
      </c>
      <c r="C79" s="32" t="s">
        <v>23</v>
      </c>
      <c r="D79" s="32" t="s">
        <v>4</v>
      </c>
      <c r="E79" s="32"/>
      <c r="F79" s="32" cm="1">
        <f t="array" aca="1" ref="F79" ca="1">IF(Table3[[#This Row],[Stage]]="Closed",0,IF(IFERROR(
  IF(
    COUNTIF(A$2:A$1997, A79) &gt; 1,
    MIN(IF(A$2:A$1997=A79, IF(B$2:B$1997&gt;B79, B$2:B$1997))) - B79,
    TODAY() - Table3[[#This Row],[Date of Update]]
  ),
  TODAY()-Table3[[#This Row],[Date of Update]]
)&lt;=0,
TODAY()-Table3[[#This Row],[Date of Update]],
IFERROR(
  IF(
    COUNTIF(A$2:A$1997, A79) &gt; 1,
    MIN(IF(A$2:A$1997=A79, IF(B$2:B$1997&gt;B79, B$2:B$1997))) - B79,
    TODAY() - Table3[[#This Row],[Date of Update]]
  ),
  TODAY()-Table3[[#This Row],[Date of Update]]
)))</f>
        <v>1029</v>
      </c>
      <c r="G79" s="40" t="str">
        <f>IF(Table3[[#This Row],[Stage]]="Closed",Table3[[#This Row],[Date of Update]]-(_xlfn.MINIFS(Table3[Date of Update],Table3[Ref], Table3[[#This Row],[Ref]])),"")</f>
        <v/>
      </c>
    </row>
    <row r="80" spans="1:7" x14ac:dyDescent="0.25">
      <c r="A80" s="39" t="s">
        <v>1111</v>
      </c>
      <c r="B80" s="33">
        <v>44706</v>
      </c>
      <c r="C80" s="32" t="s">
        <v>169</v>
      </c>
      <c r="D80" s="32" t="s">
        <v>4</v>
      </c>
      <c r="E80" s="32"/>
      <c r="F80" s="32" cm="1">
        <f t="array" aca="1" ref="F80" ca="1">IF(Table3[[#This Row],[Stage]]="Closed",0,IF(IFERROR(
  IF(
    COUNTIF(A$2:A$1997, A80) &gt; 1,
    MIN(IF(A$2:A$1997=A80, IF(B$2:B$1997&gt;B80, B$2:B$1997))) - B80,
    TODAY() - Table3[[#This Row],[Date of Update]]
  ),
  TODAY()-Table3[[#This Row],[Date of Update]]
)&lt;=0,
TODAY()-Table3[[#This Row],[Date of Update]],
IFERROR(
  IF(
    COUNTIF(A$2:A$1997, A80) &gt; 1,
    MIN(IF(A$2:A$1997=A80, IF(B$2:B$1997&gt;B80, B$2:B$1997))) - B80,
    TODAY() - Table3[[#This Row],[Date of Update]]
  ),
  TODAY()-Table3[[#This Row],[Date of Update]]
)))</f>
        <v>0</v>
      </c>
      <c r="G80" s="40">
        <f>IF(Table3[[#This Row],[Stage]]="Closed",Table3[[#This Row],[Date of Update]]-(_xlfn.MINIFS(Table3[Date of Update],Table3[Ref], Table3[[#This Row],[Ref]])),"")</f>
        <v>0</v>
      </c>
    </row>
    <row r="81" spans="1:7" x14ac:dyDescent="0.25">
      <c r="A81" s="39" t="s">
        <v>1155</v>
      </c>
      <c r="B81" s="33">
        <v>44706</v>
      </c>
      <c r="C81" s="32" t="s">
        <v>23</v>
      </c>
      <c r="D81" s="32" t="s">
        <v>4</v>
      </c>
      <c r="E81" s="32" t="s">
        <v>362</v>
      </c>
      <c r="F81" s="32" cm="1">
        <f t="array" aca="1" ref="F81" ca="1">IF(Table3[[#This Row],[Stage]]="Closed",0,IF(IFERROR(
  IF(
    COUNTIF(A$2:A$1997, A81) &gt; 1,
    MIN(IF(A$2:A$1997=A81, IF(B$2:B$1997&gt;B81, B$2:B$1997))) - B81,
    TODAY() - Table3[[#This Row],[Date of Update]]
  ),
  TODAY()-Table3[[#This Row],[Date of Update]]
)&lt;=0,
TODAY()-Table3[[#This Row],[Date of Update]],
IFERROR(
  IF(
    COUNTIF(A$2:A$1997, A81) &gt; 1,
    MIN(IF(A$2:A$1997=A81, IF(B$2:B$1997&gt;B81, B$2:B$1997))) - B81,
    TODAY() - Table3[[#This Row],[Date of Update]]
  ),
  TODAY()-Table3[[#This Row],[Date of Update]]
)))</f>
        <v>110</v>
      </c>
      <c r="G81" s="40" t="str">
        <f>IF(Table3[[#This Row],[Stage]]="Closed",Table3[[#This Row],[Date of Update]]-(_xlfn.MINIFS(Table3[Date of Update],Table3[Ref], Table3[[#This Row],[Ref]])),"")</f>
        <v/>
      </c>
    </row>
    <row r="82" spans="1:7" x14ac:dyDescent="0.25">
      <c r="A82" s="39" t="s">
        <v>1112</v>
      </c>
      <c r="B82" s="33">
        <v>44707</v>
      </c>
      <c r="C82" s="32" t="s">
        <v>169</v>
      </c>
      <c r="D82" s="32" t="s">
        <v>4</v>
      </c>
      <c r="E82" s="32"/>
      <c r="F82" s="32" cm="1">
        <f t="array" aca="1" ref="F82" ca="1">IF(Table3[[#This Row],[Stage]]="Closed",0,IF(IFERROR(
  IF(
    COUNTIF(A$2:A$1997, A82) &gt; 1,
    MIN(IF(A$2:A$1997=A82, IF(B$2:B$1997&gt;B82, B$2:B$1997))) - B82,
    TODAY() - Table3[[#This Row],[Date of Update]]
  ),
  TODAY()-Table3[[#This Row],[Date of Update]]
)&lt;=0,
TODAY()-Table3[[#This Row],[Date of Update]],
IFERROR(
  IF(
    COUNTIF(A$2:A$1997, A82) &gt; 1,
    MIN(IF(A$2:A$1997=A82, IF(B$2:B$1997&gt;B82, B$2:B$1997))) - B82,
    TODAY() - Table3[[#This Row],[Date of Update]]
  ),
  TODAY()-Table3[[#This Row],[Date of Update]]
)))</f>
        <v>0</v>
      </c>
      <c r="G82" s="40">
        <f>IF(Table3[[#This Row],[Stage]]="Closed",Table3[[#This Row],[Date of Update]]-(_xlfn.MINIFS(Table3[Date of Update],Table3[Ref], Table3[[#This Row],[Ref]])),"")</f>
        <v>9</v>
      </c>
    </row>
    <row r="83" spans="1:7" x14ac:dyDescent="0.25">
      <c r="A83" s="39" t="s">
        <v>1113</v>
      </c>
      <c r="B83" s="33">
        <v>44708</v>
      </c>
      <c r="C83" s="32" t="s">
        <v>169</v>
      </c>
      <c r="D83" s="32" t="s">
        <v>4</v>
      </c>
      <c r="E83" s="32"/>
      <c r="F83" s="32" cm="1">
        <f t="array" aca="1" ref="F83" ca="1">IF(Table3[[#This Row],[Stage]]="Closed",0,IF(IFERROR(
  IF(
    COUNTIF(A$2:A$1997, A83) &gt; 1,
    MIN(IF(A$2:A$1997=A83, IF(B$2:B$1997&gt;B83, B$2:B$1997))) - B83,
    TODAY() - Table3[[#This Row],[Date of Update]]
  ),
  TODAY()-Table3[[#This Row],[Date of Update]]
)&lt;=0,
TODAY()-Table3[[#This Row],[Date of Update]],
IFERROR(
  IF(
    COUNTIF(A$2:A$1997, A83) &gt; 1,
    MIN(IF(A$2:A$1997=A83, IF(B$2:B$1997&gt;B83, B$2:B$1997))) - B83,
    TODAY() - Table3[[#This Row],[Date of Update]]
  ),
  TODAY()-Table3[[#This Row],[Date of Update]]
)))</f>
        <v>0</v>
      </c>
      <c r="G83" s="40">
        <f>IF(Table3[[#This Row],[Stage]]="Closed",Table3[[#This Row],[Date of Update]]-(_xlfn.MINIFS(Table3[Date of Update],Table3[Ref], Table3[[#This Row],[Ref]])),"")</f>
        <v>67</v>
      </c>
    </row>
    <row r="84" spans="1:7" x14ac:dyDescent="0.25">
      <c r="A84" s="39" t="s">
        <v>1124</v>
      </c>
      <c r="B84" s="33">
        <v>44708</v>
      </c>
      <c r="C84" s="32" t="s">
        <v>23</v>
      </c>
      <c r="D84" s="32" t="s">
        <v>4</v>
      </c>
      <c r="E84" s="32"/>
      <c r="F84" s="32" cm="1">
        <f t="array" aca="1" ref="F84" ca="1">IF(Table3[[#This Row],[Stage]]="Closed",0,IF(IFERROR(
  IF(
    COUNTIF(A$2:A$1997, A84) &gt; 1,
    MIN(IF(A$2:A$1997=A84, IF(B$2:B$1997&gt;B84, B$2:B$1997))) - B84,
    TODAY() - Table3[[#This Row],[Date of Update]]
  ),
  TODAY()-Table3[[#This Row],[Date of Update]]
)&lt;=0,
TODAY()-Table3[[#This Row],[Date of Update]],
IFERROR(
  IF(
    COUNTIF(A$2:A$1997, A84) &gt; 1,
    MIN(IF(A$2:A$1997=A84, IF(B$2:B$1997&gt;B84, B$2:B$1997))) - B84,
    TODAY() - Table3[[#This Row],[Date of Update]]
  ),
  TODAY()-Table3[[#This Row],[Date of Update]]
)))</f>
        <v>39</v>
      </c>
      <c r="G84" s="40" t="str">
        <f>IF(Table3[[#This Row],[Stage]]="Closed",Table3[[#This Row],[Date of Update]]-(_xlfn.MINIFS(Table3[Date of Update],Table3[Ref], Table3[[#This Row],[Ref]])),"")</f>
        <v/>
      </c>
    </row>
    <row r="85" spans="1:7" x14ac:dyDescent="0.25">
      <c r="A85" s="39" t="s">
        <v>1114</v>
      </c>
      <c r="B85" s="33">
        <v>44708</v>
      </c>
      <c r="C85" s="32" t="s">
        <v>169</v>
      </c>
      <c r="D85" s="32" t="s">
        <v>4</v>
      </c>
      <c r="E85" s="32"/>
      <c r="F85" s="32" cm="1">
        <f t="array" aca="1" ref="F85" ca="1">IF(Table3[[#This Row],[Stage]]="Closed",0,IF(IFERROR(
  IF(
    COUNTIF(A$2:A$1997, A85) &gt; 1,
    MIN(IF(A$2:A$1997=A85, IF(B$2:B$1997&gt;B85, B$2:B$1997))) - B85,
    TODAY() - Table3[[#This Row],[Date of Update]]
  ),
  TODAY()-Table3[[#This Row],[Date of Update]]
)&lt;=0,
TODAY()-Table3[[#This Row],[Date of Update]],
IFERROR(
  IF(
    COUNTIF(A$2:A$1997, A85) &gt; 1,
    MIN(IF(A$2:A$1997=A85, IF(B$2:B$1997&gt;B85, B$2:B$1997))) - B85,
    TODAY() - Table3[[#This Row],[Date of Update]]
  ),
  TODAY()-Table3[[#This Row],[Date of Update]]
)))</f>
        <v>0</v>
      </c>
      <c r="G85" s="40">
        <f>IF(Table3[[#This Row],[Stage]]="Closed",Table3[[#This Row],[Date of Update]]-(_xlfn.MINIFS(Table3[Date of Update],Table3[Ref], Table3[[#This Row],[Ref]])),"")</f>
        <v>2</v>
      </c>
    </row>
    <row r="86" spans="1:7" x14ac:dyDescent="0.25">
      <c r="A86" s="39" t="s">
        <v>1115</v>
      </c>
      <c r="B86" s="33">
        <v>44709</v>
      </c>
      <c r="C86" s="32" t="s">
        <v>169</v>
      </c>
      <c r="D86" s="32" t="s">
        <v>4</v>
      </c>
      <c r="E86" s="32"/>
      <c r="F86" s="32" cm="1">
        <f t="array" aca="1" ref="F86" ca="1">IF(Table3[[#This Row],[Stage]]="Closed",0,IF(IFERROR(
  IF(
    COUNTIF(A$2:A$1997, A86) &gt; 1,
    MIN(IF(A$2:A$1997=A86, IF(B$2:B$1997&gt;B86, B$2:B$1997))) - B86,
    TODAY() - Table3[[#This Row],[Date of Update]]
  ),
  TODAY()-Table3[[#This Row],[Date of Update]]
)&lt;=0,
TODAY()-Table3[[#This Row],[Date of Update]],
IFERROR(
  IF(
    COUNTIF(A$2:A$1997, A86) &gt; 1,
    MIN(IF(A$2:A$1997=A86, IF(B$2:B$1997&gt;B86, B$2:B$1997))) - B86,
    TODAY() - Table3[[#This Row],[Date of Update]]
  ),
  TODAY()-Table3[[#This Row],[Date of Update]]
)))</f>
        <v>0</v>
      </c>
      <c r="G86" s="40">
        <f>IF(Table3[[#This Row],[Stage]]="Closed",Table3[[#This Row],[Date of Update]]-(_xlfn.MINIFS(Table3[Date of Update],Table3[Ref], Table3[[#This Row],[Ref]])),"")</f>
        <v>8</v>
      </c>
    </row>
    <row r="87" spans="1:7" x14ac:dyDescent="0.25">
      <c r="A87" s="39" t="s">
        <v>1146</v>
      </c>
      <c r="B87" s="33">
        <v>44711</v>
      </c>
      <c r="C87" s="32" t="s">
        <v>23</v>
      </c>
      <c r="D87" s="32" t="s">
        <v>4</v>
      </c>
      <c r="E87" s="32"/>
      <c r="F87" s="32" cm="1">
        <f t="array" aca="1" ref="F87" ca="1">IF(Table3[[#This Row],[Stage]]="Closed",0,IF(IFERROR(
  IF(
    COUNTIF(A$2:A$1997, A87) &gt; 1,
    MIN(IF(A$2:A$1997=A87, IF(B$2:B$1997&gt;B87, B$2:B$1997))) - B87,
    TODAY() - Table3[[#This Row],[Date of Update]]
  ),
  TODAY()-Table3[[#This Row],[Date of Update]]
)&lt;=0,
TODAY()-Table3[[#This Row],[Date of Update]],
IFERROR(
  IF(
    COUNTIF(A$2:A$1997, A87) &gt; 1,
    MIN(IF(A$2:A$1997=A87, IF(B$2:B$1997&gt;B87, B$2:B$1997))) - B87,
    TODAY() - Table3[[#This Row],[Date of Update]]
  ),
  TODAY()-Table3[[#This Row],[Date of Update]]
)))</f>
        <v>95</v>
      </c>
      <c r="G87" s="40" t="str">
        <f>IF(Table3[[#This Row],[Stage]]="Closed",Table3[[#This Row],[Date of Update]]-(_xlfn.MINIFS(Table3[Date of Update],Table3[Ref], Table3[[#This Row],[Ref]])),"")</f>
        <v/>
      </c>
    </row>
    <row r="88" spans="1:7" x14ac:dyDescent="0.25">
      <c r="A88" s="39" t="s">
        <v>1536</v>
      </c>
      <c r="B88" s="33">
        <v>44711</v>
      </c>
      <c r="C88" s="32" t="s">
        <v>23</v>
      </c>
      <c r="D88" s="32" t="s">
        <v>4</v>
      </c>
      <c r="E88" s="32"/>
      <c r="F88" s="32" cm="1">
        <f t="array" aca="1" ref="F88" ca="1">IF(Table3[[#This Row],[Stage]]="Closed",0,IF(IFERROR(
  IF(
    COUNTIF(A$2:A$1997, A88) &gt; 1,
    MIN(IF(A$2:A$1997=A88, IF(B$2:B$1997&gt;B88, B$2:B$1997))) - B88,
    TODAY() - Table3[[#This Row],[Date of Update]]
  ),
  TODAY()-Table3[[#This Row],[Date of Update]]
)&lt;=0,
TODAY()-Table3[[#This Row],[Date of Update]],
IFERROR(
  IF(
    COUNTIF(A$2:A$1997, A88) &gt; 1,
    MIN(IF(A$2:A$1997=A88, IF(B$2:B$1997&gt;B88, B$2:B$1997))) - B88,
    TODAY() - Table3[[#This Row],[Date of Update]]
  ),
  TODAY()-Table3[[#This Row],[Date of Update]]
)))</f>
        <v>14</v>
      </c>
      <c r="G88" s="40" t="str">
        <f>IF(Table3[[#This Row],[Stage]]="Closed",Table3[[#This Row],[Date of Update]]-(_xlfn.MINIFS(Table3[Date of Update],Table3[Ref], Table3[[#This Row],[Ref]])),"")</f>
        <v/>
      </c>
    </row>
    <row r="89" spans="1:7" x14ac:dyDescent="0.25">
      <c r="A89" s="39" t="s">
        <v>1537</v>
      </c>
      <c r="B89" s="33">
        <v>44711</v>
      </c>
      <c r="C89" s="32" t="s">
        <v>23</v>
      </c>
      <c r="D89" s="32" t="s">
        <v>4</v>
      </c>
      <c r="E89" s="32"/>
      <c r="F89" s="32" cm="1">
        <f t="array" aca="1" ref="F89" ca="1">IF(Table3[[#This Row],[Stage]]="Closed",0,IF(IFERROR(
  IF(
    COUNTIF(A$2:A$1997, A89) &gt; 1,
    MIN(IF(A$2:A$1997=A89, IF(B$2:B$1997&gt;B89, B$2:B$1997))) - B89,
    TODAY() - Table3[[#This Row],[Date of Update]]
  ),
  TODAY()-Table3[[#This Row],[Date of Update]]
)&lt;=0,
TODAY()-Table3[[#This Row],[Date of Update]],
IFERROR(
  IF(
    COUNTIF(A$2:A$1997, A89) &gt; 1,
    MIN(IF(A$2:A$1997=A89, IF(B$2:B$1997&gt;B89, B$2:B$1997))) - B89,
    TODAY() - Table3[[#This Row],[Date of Update]]
  ),
  TODAY()-Table3[[#This Row],[Date of Update]]
)))</f>
        <v>14</v>
      </c>
      <c r="G89" s="40" t="str">
        <f>IF(Table3[[#This Row],[Stage]]="Closed",Table3[[#This Row],[Date of Update]]-(_xlfn.MINIFS(Table3[Date of Update],Table3[Ref], Table3[[#This Row],[Ref]])),"")</f>
        <v/>
      </c>
    </row>
    <row r="90" spans="1:7" x14ac:dyDescent="0.25">
      <c r="A90" s="39" t="s">
        <v>1116</v>
      </c>
      <c r="B90" s="33">
        <v>44712</v>
      </c>
      <c r="C90" s="32" t="s">
        <v>169</v>
      </c>
      <c r="D90" s="32" t="s">
        <v>4</v>
      </c>
      <c r="E90" s="32"/>
      <c r="F90" s="32" cm="1">
        <f t="array" aca="1" ref="F90" ca="1">IF(Table3[[#This Row],[Stage]]="Closed",0,IF(IFERROR(
  IF(
    COUNTIF(A$2:A$1997, A90) &gt; 1,
    MIN(IF(A$2:A$1997=A90, IF(B$2:B$1997&gt;B90, B$2:B$1997))) - B90,
    TODAY() - Table3[[#This Row],[Date of Update]]
  ),
  TODAY()-Table3[[#This Row],[Date of Update]]
)&lt;=0,
TODAY()-Table3[[#This Row],[Date of Update]],
IFERROR(
  IF(
    COUNTIF(A$2:A$1997, A90) &gt; 1,
    MIN(IF(A$2:A$1997=A90, IF(B$2:B$1997&gt;B90, B$2:B$1997))) - B90,
    TODAY() - Table3[[#This Row],[Date of Update]]
  ),
  TODAY()-Table3[[#This Row],[Date of Update]]
)))</f>
        <v>0</v>
      </c>
      <c r="G90" s="40">
        <f>IF(Table3[[#This Row],[Stage]]="Closed",Table3[[#This Row],[Date of Update]]-(_xlfn.MINIFS(Table3[Date of Update],Table3[Ref], Table3[[#This Row],[Ref]])),"")</f>
        <v>14</v>
      </c>
    </row>
    <row r="91" spans="1:7" x14ac:dyDescent="0.25">
      <c r="A91" s="39" t="s">
        <v>1089</v>
      </c>
      <c r="B91" s="33">
        <v>44718</v>
      </c>
      <c r="C91" s="32" t="s">
        <v>169</v>
      </c>
      <c r="D91" s="32" t="s">
        <v>4</v>
      </c>
      <c r="E91" s="32"/>
      <c r="F91" s="32" cm="1">
        <f t="array" aca="1" ref="F91" ca="1">IF(Table3[[#This Row],[Stage]]="Closed",0,IF(IFERROR(
  IF(
    COUNTIF(A$2:A$1997, A91) &gt; 1,
    MIN(IF(A$2:A$1997=A91, IF(B$2:B$1997&gt;B91, B$2:B$1997))) - B91,
    TODAY() - Table3[[#This Row],[Date of Update]]
  ),
  TODAY()-Table3[[#This Row],[Date of Update]]
)&lt;=0,
TODAY()-Table3[[#This Row],[Date of Update]],
IFERROR(
  IF(
    COUNTIF(A$2:A$1997, A91) &gt; 1,
    MIN(IF(A$2:A$1997=A91, IF(B$2:B$1997&gt;B91, B$2:B$1997))) - B91,
    TODAY() - Table3[[#This Row],[Date of Update]]
  ),
  TODAY()-Table3[[#This Row],[Date of Update]]
)))</f>
        <v>0</v>
      </c>
      <c r="G91" s="40">
        <f>IF(Table3[[#This Row],[Stage]]="Closed",Table3[[#This Row],[Date of Update]]-(_xlfn.MINIFS(Table3[Date of Update],Table3[Ref], Table3[[#This Row],[Ref]])),"")</f>
        <v>48</v>
      </c>
    </row>
    <row r="92" spans="1:7" x14ac:dyDescent="0.25">
      <c r="A92" s="39" t="s">
        <v>1131</v>
      </c>
      <c r="B92" s="33">
        <v>44718</v>
      </c>
      <c r="C92" s="32" t="s">
        <v>23</v>
      </c>
      <c r="D92" s="32" t="s">
        <v>4</v>
      </c>
      <c r="E92" s="32"/>
      <c r="F92" s="32" cm="1">
        <f t="array" aca="1" ref="F92" ca="1">IF(Table3[[#This Row],[Stage]]="Closed",0,IF(IFERROR(
  IF(
    COUNTIF(A$2:A$1997, A92) &gt; 1,
    MIN(IF(A$2:A$1997=A92, IF(B$2:B$1997&gt;B92, B$2:B$1997))) - B92,
    TODAY() - Table3[[#This Row],[Date of Update]]
  ),
  TODAY()-Table3[[#This Row],[Date of Update]]
)&lt;=0,
TODAY()-Table3[[#This Row],[Date of Update]],
IFERROR(
  IF(
    COUNTIF(A$2:A$1997, A92) &gt; 1,
    MIN(IF(A$2:A$1997=A92, IF(B$2:B$1997&gt;B92, B$2:B$1997))) - B92,
    TODAY() - Table3[[#This Row],[Date of Update]]
  ),
  TODAY()-Table3[[#This Row],[Date of Update]]
)))</f>
        <v>49</v>
      </c>
      <c r="G92" s="40" t="str">
        <f>IF(Table3[[#This Row],[Stage]]="Closed",Table3[[#This Row],[Date of Update]]-(_xlfn.MINIFS(Table3[Date of Update],Table3[Ref], Table3[[#This Row],[Ref]])),"")</f>
        <v/>
      </c>
    </row>
    <row r="93" spans="1:7" x14ac:dyDescent="0.25">
      <c r="A93" s="39" t="s">
        <v>1099</v>
      </c>
      <c r="B93" s="33">
        <v>44719</v>
      </c>
      <c r="C93" s="32" t="s">
        <v>169</v>
      </c>
      <c r="D93" s="32" t="s">
        <v>4</v>
      </c>
      <c r="E93" s="32"/>
      <c r="F93" s="32" cm="1">
        <f t="array" aca="1" ref="F93" ca="1">IF(Table3[[#This Row],[Stage]]="Closed",0,IF(IFERROR(
  IF(
    COUNTIF(A$2:A$1997, A93) &gt; 1,
    MIN(IF(A$2:A$1997=A93, IF(B$2:B$1997&gt;B93, B$2:B$1997))) - B93,
    TODAY() - Table3[[#This Row],[Date of Update]]
  ),
  TODAY()-Table3[[#This Row],[Date of Update]]
)&lt;=0,
TODAY()-Table3[[#This Row],[Date of Update]],
IFERROR(
  IF(
    COUNTIF(A$2:A$1997, A93) &gt; 1,
    MIN(IF(A$2:A$1997=A93, IF(B$2:B$1997&gt;B93, B$2:B$1997))) - B93,
    TODAY() - Table3[[#This Row],[Date of Update]]
  ),
  TODAY()-Table3[[#This Row],[Date of Update]]
)))</f>
        <v>0</v>
      </c>
      <c r="G93" s="40">
        <f>IF(Table3[[#This Row],[Stage]]="Closed",Table3[[#This Row],[Date of Update]]-(_xlfn.MINIFS(Table3[Date of Update],Table3[Ref], Table3[[#This Row],[Ref]])),"")</f>
        <v>49</v>
      </c>
    </row>
    <row r="94" spans="1:7" x14ac:dyDescent="0.25">
      <c r="A94" s="39" t="s">
        <v>1162</v>
      </c>
      <c r="B94" s="33">
        <v>44720</v>
      </c>
      <c r="C94" s="32" t="s">
        <v>23</v>
      </c>
      <c r="D94" s="32" t="s">
        <v>4</v>
      </c>
      <c r="E94" s="32" t="s">
        <v>377</v>
      </c>
      <c r="F94" s="32" cm="1">
        <f t="array" aca="1" ref="F94" ca="1">IF(Table3[[#This Row],[Stage]]="Closed",0,IF(IFERROR(
  IF(
    COUNTIF(A$2:A$1997, A94) &gt; 1,
    MIN(IF(A$2:A$1997=A94, IF(B$2:B$1997&gt;B94, B$2:B$1997))) - B94,
    TODAY() - Table3[[#This Row],[Date of Update]]
  ),
  TODAY()-Table3[[#This Row],[Date of Update]]
)&lt;=0,
TODAY()-Table3[[#This Row],[Date of Update]],
IFERROR(
  IF(
    COUNTIF(A$2:A$1997, A94) &gt; 1,
    MIN(IF(A$2:A$1997=A94, IF(B$2:B$1997&gt;B94, B$2:B$1997))) - B94,
    TODAY() - Table3[[#This Row],[Date of Update]]
  ),
  TODAY()-Table3[[#This Row],[Date of Update]]
)))</f>
        <v>98</v>
      </c>
      <c r="G94" s="40" t="str">
        <f>IF(Table3[[#This Row],[Stage]]="Closed",Table3[[#This Row],[Date of Update]]-(_xlfn.MINIFS(Table3[Date of Update],Table3[Ref], Table3[[#This Row],[Ref]])),"")</f>
        <v/>
      </c>
    </row>
    <row r="95" spans="1:7" x14ac:dyDescent="0.25">
      <c r="A95" s="39" t="s">
        <v>1100</v>
      </c>
      <c r="B95" s="33">
        <v>44720</v>
      </c>
      <c r="C95" s="32" t="s">
        <v>169</v>
      </c>
      <c r="D95" s="32" t="s">
        <v>4</v>
      </c>
      <c r="E95" s="32"/>
      <c r="F95" s="32" cm="1">
        <f t="array" aca="1" ref="F95" ca="1">IF(Table3[[#This Row],[Stage]]="Closed",0,IF(IFERROR(
  IF(
    COUNTIF(A$2:A$1997, A95) &gt; 1,
    MIN(IF(A$2:A$1997=A95, IF(B$2:B$1997&gt;B95, B$2:B$1997))) - B95,
    TODAY() - Table3[[#This Row],[Date of Update]]
  ),
  TODAY()-Table3[[#This Row],[Date of Update]]
)&lt;=0,
TODAY()-Table3[[#This Row],[Date of Update]],
IFERROR(
  IF(
    COUNTIF(A$2:A$1997, A95) &gt; 1,
    MIN(IF(A$2:A$1997=A95, IF(B$2:B$1997&gt;B95, B$2:B$1997))) - B95,
    TODAY() - Table3[[#This Row],[Date of Update]]
  ),
  TODAY()-Table3[[#This Row],[Date of Update]]
)))</f>
        <v>0</v>
      </c>
      <c r="G95" s="40">
        <f>IF(Table3[[#This Row],[Stage]]="Closed",Table3[[#This Row],[Date of Update]]-(_xlfn.MINIFS(Table3[Date of Update],Table3[Ref], Table3[[#This Row],[Ref]])),"")</f>
        <v>50</v>
      </c>
    </row>
    <row r="96" spans="1:7" x14ac:dyDescent="0.25">
      <c r="A96" s="39" t="s">
        <v>1161</v>
      </c>
      <c r="B96" s="33">
        <v>44720</v>
      </c>
      <c r="C96" s="32" t="s">
        <v>23</v>
      </c>
      <c r="D96" s="32" t="s">
        <v>4</v>
      </c>
      <c r="E96" s="32"/>
      <c r="F96" s="32" cm="1">
        <f t="array" aca="1" ref="F96" ca="1">IF(Table3[[#This Row],[Stage]]="Closed",0,IF(IFERROR(
  IF(
    COUNTIF(A$2:A$1997, A96) &gt; 1,
    MIN(IF(A$2:A$1997=A96, IF(B$2:B$1997&gt;B96, B$2:B$1997))) - B96,
    TODAY() - Table3[[#This Row],[Date of Update]]
  ),
  TODAY()-Table3[[#This Row],[Date of Update]]
)&lt;=0,
TODAY()-Table3[[#This Row],[Date of Update]],
IFERROR(
  IF(
    COUNTIF(A$2:A$1997, A96) &gt; 1,
    MIN(IF(A$2:A$1997=A96, IF(B$2:B$1997&gt;B96, B$2:B$1997))) - B96,
    TODAY() - Table3[[#This Row],[Date of Update]]
  ),
  TODAY()-Table3[[#This Row],[Date of Update]]
)))</f>
        <v>98</v>
      </c>
      <c r="G96" s="40" t="str">
        <f>IF(Table3[[#This Row],[Stage]]="Closed",Table3[[#This Row],[Date of Update]]-(_xlfn.MINIFS(Table3[Date of Update],Table3[Ref], Table3[[#This Row],[Ref]])),"")</f>
        <v/>
      </c>
    </row>
    <row r="97" spans="1:7" x14ac:dyDescent="0.25">
      <c r="A97" s="39" t="s">
        <v>1126</v>
      </c>
      <c r="B97" s="33">
        <v>44720</v>
      </c>
      <c r="C97" s="32" t="s">
        <v>23</v>
      </c>
      <c r="D97" s="32" t="s">
        <v>4</v>
      </c>
      <c r="E97" s="32" t="s">
        <v>301</v>
      </c>
      <c r="F97" s="32" cm="1">
        <f t="array" aca="1" ref="F97" ca="1">IF(Table3[[#This Row],[Stage]]="Closed",0,IF(IFERROR(
  IF(
    COUNTIF(A$2:A$1997, A97) &gt; 1,
    MIN(IF(A$2:A$1997=A97, IF(B$2:B$1997&gt;B97, B$2:B$1997))) - B97,
    TODAY() - Table3[[#This Row],[Date of Update]]
  ),
  TODAY()-Table3[[#This Row],[Date of Update]]
)&lt;=0,
TODAY()-Table3[[#This Row],[Date of Update]],
IFERROR(
  IF(
    COUNTIF(A$2:A$1997, A97) &gt; 1,
    MIN(IF(A$2:A$1997=A97, IF(B$2:B$1997&gt;B97, B$2:B$1997))) - B97,
    TODAY() - Table3[[#This Row],[Date of Update]]
  ),
  TODAY()-Table3[[#This Row],[Date of Update]]
)))</f>
        <v>30</v>
      </c>
      <c r="G97" s="40" t="str">
        <f>IF(Table3[[#This Row],[Stage]]="Closed",Table3[[#This Row],[Date of Update]]-(_xlfn.MINIFS(Table3[Date of Update],Table3[Ref], Table3[[#This Row],[Ref]])),"")</f>
        <v/>
      </c>
    </row>
    <row r="98" spans="1:7" x14ac:dyDescent="0.25">
      <c r="A98" s="39" t="s">
        <v>1156</v>
      </c>
      <c r="B98" s="33">
        <v>44720</v>
      </c>
      <c r="C98" s="32" t="s">
        <v>23</v>
      </c>
      <c r="D98" s="32" t="s">
        <v>4</v>
      </c>
      <c r="E98" s="32" t="s">
        <v>362</v>
      </c>
      <c r="F98" s="32" cm="1">
        <f t="array" aca="1" ref="F98" ca="1">IF(Table3[[#This Row],[Stage]]="Closed",0,IF(IFERROR(
  IF(
    COUNTIF(A$2:A$1997, A98) &gt; 1,
    MIN(IF(A$2:A$1997=A98, IF(B$2:B$1997&gt;B98, B$2:B$1997))) - B98,
    TODAY() - Table3[[#This Row],[Date of Update]]
  ),
  TODAY()-Table3[[#This Row],[Date of Update]]
)&lt;=0,
TODAY()-Table3[[#This Row],[Date of Update]],
IFERROR(
  IF(
    COUNTIF(A$2:A$1997, A98) &gt; 1,
    MIN(IF(A$2:A$1997=A98, IF(B$2:B$1997&gt;B98, B$2:B$1997))) - B98,
    TODAY() - Table3[[#This Row],[Date of Update]]
  ),
  TODAY()-Table3[[#This Row],[Date of Update]]
)))</f>
        <v>96</v>
      </c>
      <c r="G98" s="40" t="str">
        <f>IF(Table3[[#This Row],[Stage]]="Closed",Table3[[#This Row],[Date of Update]]-(_xlfn.MINIFS(Table3[Date of Update],Table3[Ref], Table3[[#This Row],[Ref]])),"")</f>
        <v/>
      </c>
    </row>
    <row r="99" spans="1:7" x14ac:dyDescent="0.25">
      <c r="A99" s="39" t="s">
        <v>1117</v>
      </c>
      <c r="B99" s="33">
        <v>44720</v>
      </c>
      <c r="C99" s="32" t="s">
        <v>169</v>
      </c>
      <c r="D99" s="32" t="s">
        <v>4</v>
      </c>
      <c r="E99" s="32"/>
      <c r="F99" s="32" cm="1">
        <f t="array" aca="1" ref="F99" ca="1">IF(Table3[[#This Row],[Stage]]="Closed",0,IF(IFERROR(
  IF(
    COUNTIF(A$2:A$1997, A99) &gt; 1,
    MIN(IF(A$2:A$1997=A99, IF(B$2:B$1997&gt;B99, B$2:B$1997))) - B99,
    TODAY() - Table3[[#This Row],[Date of Update]]
  ),
  TODAY()-Table3[[#This Row],[Date of Update]]
)&lt;=0,
TODAY()-Table3[[#This Row],[Date of Update]],
IFERROR(
  IF(
    COUNTIF(A$2:A$1997, A99) &gt; 1,
    MIN(IF(A$2:A$1997=A99, IF(B$2:B$1997&gt;B99, B$2:B$1997))) - B99,
    TODAY() - Table3[[#This Row],[Date of Update]]
  ),
  TODAY()-Table3[[#This Row],[Date of Update]]
)))</f>
        <v>0</v>
      </c>
      <c r="G99" s="40">
        <f>IF(Table3[[#This Row],[Stage]]="Closed",Table3[[#This Row],[Date of Update]]-(_xlfn.MINIFS(Table3[Date of Update],Table3[Ref], Table3[[#This Row],[Ref]])),"")</f>
        <v>33</v>
      </c>
    </row>
    <row r="100" spans="1:7" x14ac:dyDescent="0.25">
      <c r="A100" s="39" t="s">
        <v>1118</v>
      </c>
      <c r="B100" s="33">
        <v>44722</v>
      </c>
      <c r="C100" s="32" t="s">
        <v>169</v>
      </c>
      <c r="D100" s="32" t="s">
        <v>4</v>
      </c>
      <c r="E100" s="32"/>
      <c r="F100" s="32" cm="1">
        <f t="array" aca="1" ref="F100" ca="1">IF(Table3[[#This Row],[Stage]]="Closed",0,IF(IFERROR(
  IF(
    COUNTIF(A$2:A$1997, A100) &gt; 1,
    MIN(IF(A$2:A$1997=A100, IF(B$2:B$1997&gt;B100, B$2:B$1997))) - B100,
    TODAY() - Table3[[#This Row],[Date of Update]]
  ),
  TODAY()-Table3[[#This Row],[Date of Update]]
)&lt;=0,
TODAY()-Table3[[#This Row],[Date of Update]],
IFERROR(
  IF(
    COUNTIF(A$2:A$1997, A100) &gt; 1,
    MIN(IF(A$2:A$1997=A100, IF(B$2:B$1997&gt;B100, B$2:B$1997))) - B100,
    TODAY() - Table3[[#This Row],[Date of Update]]
  ),
  TODAY()-Table3[[#This Row],[Date of Update]]
)))</f>
        <v>0</v>
      </c>
      <c r="G100" s="40">
        <f>IF(Table3[[#This Row],[Stage]]="Closed",Table3[[#This Row],[Date of Update]]-(_xlfn.MINIFS(Table3[Date of Update],Table3[Ref], Table3[[#This Row],[Ref]])),"")</f>
        <v>32</v>
      </c>
    </row>
    <row r="101" spans="1:7" x14ac:dyDescent="0.25">
      <c r="A101" s="39" t="s">
        <v>1119</v>
      </c>
      <c r="B101" s="33">
        <v>44722</v>
      </c>
      <c r="C101" s="32" t="s">
        <v>169</v>
      </c>
      <c r="D101" s="32" t="s">
        <v>4</v>
      </c>
      <c r="E101" s="32"/>
      <c r="F101" s="32" cm="1">
        <f t="array" aca="1" ref="F101" ca="1">IF(Table3[[#This Row],[Stage]]="Closed",0,IF(IFERROR(
  IF(
    COUNTIF(A$2:A$1997, A101) &gt; 1,
    MIN(IF(A$2:A$1997=A101, IF(B$2:B$1997&gt;B101, B$2:B$1997))) - B101,
    TODAY() - Table3[[#This Row],[Date of Update]]
  ),
  TODAY()-Table3[[#This Row],[Date of Update]]
)&lt;=0,
TODAY()-Table3[[#This Row],[Date of Update]],
IFERROR(
  IF(
    COUNTIF(A$2:A$1997, A101) &gt; 1,
    MIN(IF(A$2:A$1997=A101, IF(B$2:B$1997&gt;B101, B$2:B$1997))) - B101,
    TODAY() - Table3[[#This Row],[Date of Update]]
  ),
  TODAY()-Table3[[#This Row],[Date of Update]]
)))</f>
        <v>0</v>
      </c>
      <c r="G101" s="40">
        <f>IF(Table3[[#This Row],[Stage]]="Closed",Table3[[#This Row],[Date of Update]]-(_xlfn.MINIFS(Table3[Date of Update],Table3[Ref], Table3[[#This Row],[Ref]])),"")</f>
        <v>32</v>
      </c>
    </row>
    <row r="102" spans="1:7" x14ac:dyDescent="0.25">
      <c r="A102" s="39" t="s">
        <v>1120</v>
      </c>
      <c r="B102" s="33">
        <v>44722</v>
      </c>
      <c r="C102" s="32" t="s">
        <v>169</v>
      </c>
      <c r="D102" s="32" t="s">
        <v>4</v>
      </c>
      <c r="E102" s="32"/>
      <c r="F102" s="32" cm="1">
        <f t="array" aca="1" ref="F102" ca="1">IF(Table3[[#This Row],[Stage]]="Closed",0,IF(IFERROR(
  IF(
    COUNTIF(A$2:A$1997, A102) &gt; 1,
    MIN(IF(A$2:A$1997=A102, IF(B$2:B$1997&gt;B102, B$2:B$1997))) - B102,
    TODAY() - Table3[[#This Row],[Date of Update]]
  ),
  TODAY()-Table3[[#This Row],[Date of Update]]
)&lt;=0,
TODAY()-Table3[[#This Row],[Date of Update]],
IFERROR(
  IF(
    COUNTIF(A$2:A$1997, A102) &gt; 1,
    MIN(IF(A$2:A$1997=A102, IF(B$2:B$1997&gt;B102, B$2:B$1997))) - B102,
    TODAY() - Table3[[#This Row],[Date of Update]]
  ),
  TODAY()-Table3[[#This Row],[Date of Update]]
)))</f>
        <v>0</v>
      </c>
      <c r="G102" s="40">
        <f>IF(Table3[[#This Row],[Stage]]="Closed",Table3[[#This Row],[Date of Update]]-(_xlfn.MINIFS(Table3[Date of Update],Table3[Ref], Table3[[#This Row],[Ref]])),"")</f>
        <v>28</v>
      </c>
    </row>
    <row r="103" spans="1:7" x14ac:dyDescent="0.25">
      <c r="A103" s="39" t="s">
        <v>1536</v>
      </c>
      <c r="B103" s="33">
        <v>44725</v>
      </c>
      <c r="C103" s="32" t="s">
        <v>169</v>
      </c>
      <c r="D103" s="32" t="s">
        <v>4</v>
      </c>
      <c r="E103" s="32"/>
      <c r="F103" s="32" cm="1">
        <f t="array" aca="1" ref="F103" ca="1">IF(Table3[[#This Row],[Stage]]="Closed",0,IF(IFERROR(
  IF(
    COUNTIF(A$2:A$1997, A103) &gt; 1,
    MIN(IF(A$2:A$1997=A103, IF(B$2:B$1997&gt;B103, B$2:B$1997))) - B103,
    TODAY() - Table3[[#This Row],[Date of Update]]
  ),
  TODAY()-Table3[[#This Row],[Date of Update]]
)&lt;=0,
TODAY()-Table3[[#This Row],[Date of Update]],
IFERROR(
  IF(
    COUNTIF(A$2:A$1997, A103) &gt; 1,
    MIN(IF(A$2:A$1997=A103, IF(B$2:B$1997&gt;B103, B$2:B$1997))) - B103,
    TODAY() - Table3[[#This Row],[Date of Update]]
  ),
  TODAY()-Table3[[#This Row],[Date of Update]]
)))</f>
        <v>0</v>
      </c>
      <c r="G103" s="40">
        <f>IF(Table3[[#This Row],[Stage]]="Closed",Table3[[#This Row],[Date of Update]]-(_xlfn.MINIFS(Table3[Date of Update],Table3[Ref], Table3[[#This Row],[Ref]])),"")</f>
        <v>14</v>
      </c>
    </row>
    <row r="104" spans="1:7" x14ac:dyDescent="0.25">
      <c r="A104" s="39" t="s">
        <v>1537</v>
      </c>
      <c r="B104" s="33">
        <v>44725</v>
      </c>
      <c r="C104" s="32" t="s">
        <v>169</v>
      </c>
      <c r="D104" s="32" t="s">
        <v>4</v>
      </c>
      <c r="E104" s="32"/>
      <c r="F104" s="32" cm="1">
        <f t="array" aca="1" ref="F104" ca="1">IF(Table3[[#This Row],[Stage]]="Closed",0,IF(IFERROR(
  IF(
    COUNTIF(A$2:A$1997, A104) &gt; 1,
    MIN(IF(A$2:A$1997=A104, IF(B$2:B$1997&gt;B104, B$2:B$1997))) - B104,
    TODAY() - Table3[[#This Row],[Date of Update]]
  ),
  TODAY()-Table3[[#This Row],[Date of Update]]
)&lt;=0,
TODAY()-Table3[[#This Row],[Date of Update]],
IFERROR(
  IF(
    COUNTIF(A$2:A$1997, A104) &gt; 1,
    MIN(IF(A$2:A$1997=A104, IF(B$2:B$1997&gt;B104, B$2:B$1997))) - B104,
    TODAY() - Table3[[#This Row],[Date of Update]]
  ),
  TODAY()-Table3[[#This Row],[Date of Update]]
)))</f>
        <v>0</v>
      </c>
      <c r="G104" s="40">
        <f>IF(Table3[[#This Row],[Stage]]="Closed",Table3[[#This Row],[Date of Update]]-(_xlfn.MINIFS(Table3[Date of Update],Table3[Ref], Table3[[#This Row],[Ref]])),"")</f>
        <v>14</v>
      </c>
    </row>
    <row r="105" spans="1:7" x14ac:dyDescent="0.25">
      <c r="A105" s="39" t="s">
        <v>1224</v>
      </c>
      <c r="B105" s="33">
        <v>44726</v>
      </c>
      <c r="C105" s="32" t="s">
        <v>23</v>
      </c>
      <c r="D105" s="32" t="s">
        <v>4</v>
      </c>
      <c r="E105" s="32" t="s">
        <v>453</v>
      </c>
      <c r="F105" s="32" cm="1">
        <f t="array" aca="1" ref="F105" ca="1">IF(Table3[[#This Row],[Stage]]="Closed",0,IF(IFERROR(
  IF(
    COUNTIF(A$2:A$1997, A105) &gt; 1,
    MIN(IF(A$2:A$1997=A105, IF(B$2:B$1997&gt;B105, B$2:B$1997))) - B105,
    TODAY() - Table3[[#This Row],[Date of Update]]
  ),
  TODAY()-Table3[[#This Row],[Date of Update]]
)&lt;=0,
TODAY()-Table3[[#This Row],[Date of Update]],
IFERROR(
  IF(
    COUNTIF(A$2:A$1997, A105) &gt; 1,
    MIN(IF(A$2:A$1997=A105, IF(B$2:B$1997&gt;B105, B$2:B$1997))) - B105,
    TODAY() - Table3[[#This Row],[Date of Update]]
  ),
  TODAY()-Table3[[#This Row],[Date of Update]]
)))</f>
        <v>234</v>
      </c>
      <c r="G105" s="40" t="str">
        <f>IF(Table3[[#This Row],[Stage]]="Closed",Table3[[#This Row],[Date of Update]]-(_xlfn.MINIFS(Table3[Date of Update],Table3[Ref], Table3[[#This Row],[Ref]])),"")</f>
        <v/>
      </c>
    </row>
    <row r="106" spans="1:7" x14ac:dyDescent="0.25">
      <c r="A106" s="39" t="s">
        <v>1121</v>
      </c>
      <c r="B106" s="33">
        <v>44728</v>
      </c>
      <c r="C106" s="32" t="s">
        <v>23</v>
      </c>
      <c r="D106" s="32" t="s">
        <v>4</v>
      </c>
      <c r="E106" s="32"/>
      <c r="F106" s="32" cm="1">
        <f t="array" aca="1" ref="F106" ca="1">IF(Table3[[#This Row],[Stage]]="Closed",0,IF(IFERROR(
  IF(
    COUNTIF(A$2:A$1997, A106) &gt; 1,
    MIN(IF(A$2:A$1997=A106, IF(B$2:B$1997&gt;B106, B$2:B$1997))) - B106,
    TODAY() - Table3[[#This Row],[Date of Update]]
  ),
  TODAY()-Table3[[#This Row],[Date of Update]]
)&lt;=0,
TODAY()-Table3[[#This Row],[Date of Update]],
IFERROR(
  IF(
    COUNTIF(A$2:A$1997, A106) &gt; 1,
    MIN(IF(A$2:A$1997=A106, IF(B$2:B$1997&gt;B106, B$2:B$1997))) - B106,
    TODAY() - Table3[[#This Row],[Date of Update]]
  ),
  TODAY()-Table3[[#This Row],[Date of Update]]
)))</f>
        <v>4</v>
      </c>
      <c r="G106" s="40" t="str">
        <f>IF(Table3[[#This Row],[Stage]]="Closed",Table3[[#This Row],[Date of Update]]-(_xlfn.MINIFS(Table3[Date of Update],Table3[Ref], Table3[[#This Row],[Ref]])),"")</f>
        <v/>
      </c>
    </row>
    <row r="107" spans="1:7" x14ac:dyDescent="0.25">
      <c r="A107" s="39" t="s">
        <v>1524</v>
      </c>
      <c r="B107" s="33">
        <v>44729</v>
      </c>
      <c r="C107" s="32" t="s">
        <v>23</v>
      </c>
      <c r="D107" s="32" t="s">
        <v>4</v>
      </c>
      <c r="E107" s="32"/>
      <c r="F107" s="32" cm="1">
        <f t="array" aca="1" ref="F107" ca="1">IF(Table3[[#This Row],[Stage]]="Closed",0,IF(IFERROR(
  IF(
    COUNTIF(A$2:A$1997, A107) &gt; 1,
    MIN(IF(A$2:A$1997=A107, IF(B$2:B$1997&gt;B107, B$2:B$1997))) - B107,
    TODAY() - Table3[[#This Row],[Date of Update]]
  ),
  TODAY()-Table3[[#This Row],[Date of Update]]
)&lt;=0,
TODAY()-Table3[[#This Row],[Date of Update]],
IFERROR(
  IF(
    COUNTIF(A$2:A$1997, A107) &gt; 1,
    MIN(IF(A$2:A$1997=A107, IF(B$2:B$1997&gt;B107, B$2:B$1997))) - B107,
    TODAY() - Table3[[#This Row],[Date of Update]]
  ),
  TODAY()-Table3[[#This Row],[Date of Update]]
)))</f>
        <v>18</v>
      </c>
      <c r="G107" s="40" t="str">
        <f>IF(Table3[[#This Row],[Stage]]="Closed",Table3[[#This Row],[Date of Update]]-(_xlfn.MINIFS(Table3[Date of Update],Table3[Ref], Table3[[#This Row],[Ref]])),"")</f>
        <v/>
      </c>
    </row>
    <row r="108" spans="1:7" x14ac:dyDescent="0.25">
      <c r="A108" s="39" t="s">
        <v>1525</v>
      </c>
      <c r="B108" s="33">
        <v>44729</v>
      </c>
      <c r="C108" s="32" t="s">
        <v>23</v>
      </c>
      <c r="D108" s="32" t="s">
        <v>4</v>
      </c>
      <c r="E108" s="32" t="s">
        <v>307</v>
      </c>
      <c r="F108" s="32" cm="1">
        <f t="array" aca="1" ref="F108" ca="1">IF(Table3[[#This Row],[Stage]]="Closed",0,IF(IFERROR(
  IF(
    COUNTIF(A$2:A$1997, A108) &gt; 1,
    MIN(IF(A$2:A$1997=A108, IF(B$2:B$1997&gt;B108, B$2:B$1997))) - B108,
    TODAY() - Table3[[#This Row],[Date of Update]]
  ),
  TODAY()-Table3[[#This Row],[Date of Update]]
)&lt;=0,
TODAY()-Table3[[#This Row],[Date of Update]],
IFERROR(
  IF(
    COUNTIF(A$2:A$1997, A108) &gt; 1,
    MIN(IF(A$2:A$1997=A108, IF(B$2:B$1997&gt;B108, B$2:B$1997))) - B108,
    TODAY() - Table3[[#This Row],[Date of Update]]
  ),
  TODAY()-Table3[[#This Row],[Date of Update]]
)))</f>
        <v>25</v>
      </c>
      <c r="G108" s="40" t="str">
        <f>IF(Table3[[#This Row],[Stage]]="Closed",Table3[[#This Row],[Date of Update]]-(_xlfn.MINIFS(Table3[Date of Update],Table3[Ref], Table3[[#This Row],[Ref]])),"")</f>
        <v/>
      </c>
    </row>
    <row r="109" spans="1:7" x14ac:dyDescent="0.25">
      <c r="A109" s="39" t="s">
        <v>1129</v>
      </c>
      <c r="B109" s="33">
        <v>44729</v>
      </c>
      <c r="C109" s="32" t="s">
        <v>23</v>
      </c>
      <c r="D109" s="32" t="s">
        <v>4</v>
      </c>
      <c r="E109" s="32"/>
      <c r="F109" s="32" cm="1">
        <f t="array" aca="1" ref="F109" ca="1">IF(Table3[[#This Row],[Stage]]="Closed",0,IF(IFERROR(
  IF(
    COUNTIF(A$2:A$1997, A109) &gt; 1,
    MIN(IF(A$2:A$1997=A109, IF(B$2:B$1997&gt;B109, B$2:B$1997))) - B109,
    TODAY() - Table3[[#This Row],[Date of Update]]
  ),
  TODAY()-Table3[[#This Row],[Date of Update]]
)&lt;=0,
TODAY()-Table3[[#This Row],[Date of Update]],
IFERROR(
  IF(
    COUNTIF(A$2:A$1997, A109) &gt; 1,
    MIN(IF(A$2:A$1997=A109, IF(B$2:B$1997&gt;B109, B$2:B$1997))) - B109,
    TODAY() - Table3[[#This Row],[Date of Update]]
  ),
  TODAY()-Table3[[#This Row],[Date of Update]]
)))</f>
        <v>30</v>
      </c>
      <c r="G109" s="40" t="str">
        <f>IF(Table3[[#This Row],[Stage]]="Closed",Table3[[#This Row],[Date of Update]]-(_xlfn.MINIFS(Table3[Date of Update],Table3[Ref], Table3[[#This Row],[Ref]])),"")</f>
        <v/>
      </c>
    </row>
    <row r="110" spans="1:7" x14ac:dyDescent="0.25">
      <c r="A110" s="39" t="s">
        <v>1157</v>
      </c>
      <c r="B110" s="33">
        <v>44729</v>
      </c>
      <c r="C110" s="32" t="s">
        <v>23</v>
      </c>
      <c r="D110" s="32" t="s">
        <v>4</v>
      </c>
      <c r="E110" s="32" t="s">
        <v>362</v>
      </c>
      <c r="F110" s="32" cm="1">
        <f t="array" aca="1" ref="F110" ca="1">IF(Table3[[#This Row],[Stage]]="Closed",0,IF(IFERROR(
  IF(
    COUNTIF(A$2:A$1997, A110) &gt; 1,
    MIN(IF(A$2:A$1997=A110, IF(B$2:B$1997&gt;B110, B$2:B$1997))) - B110,
    TODAY() - Table3[[#This Row],[Date of Update]]
  ),
  TODAY()-Table3[[#This Row],[Date of Update]]
)&lt;=0,
TODAY()-Table3[[#This Row],[Date of Update]],
IFERROR(
  IF(
    COUNTIF(A$2:A$1997, A110) &gt; 1,
    MIN(IF(A$2:A$1997=A110, IF(B$2:B$1997&gt;B110, B$2:B$1997))) - B110,
    TODAY() - Table3[[#This Row],[Date of Update]]
  ),
  TODAY()-Table3[[#This Row],[Date of Update]]
)))</f>
        <v>87</v>
      </c>
      <c r="G110" s="40" t="str">
        <f>IF(Table3[[#This Row],[Stage]]="Closed",Table3[[#This Row],[Date of Update]]-(_xlfn.MINIFS(Table3[Date of Update],Table3[Ref], Table3[[#This Row],[Ref]])),"")</f>
        <v/>
      </c>
    </row>
    <row r="111" spans="1:7" x14ac:dyDescent="0.25">
      <c r="A111" s="39" t="s">
        <v>1121</v>
      </c>
      <c r="B111" s="33">
        <v>44732</v>
      </c>
      <c r="C111" s="32" t="s">
        <v>169</v>
      </c>
      <c r="D111" s="32" t="s">
        <v>4</v>
      </c>
      <c r="E111" s="32"/>
      <c r="F111" s="32" cm="1">
        <f t="array" aca="1" ref="F111" ca="1">IF(Table3[[#This Row],[Stage]]="Closed",0,IF(IFERROR(
  IF(
    COUNTIF(A$2:A$1997, A111) &gt; 1,
    MIN(IF(A$2:A$1997=A111, IF(B$2:B$1997&gt;B111, B$2:B$1997))) - B111,
    TODAY() - Table3[[#This Row],[Date of Update]]
  ),
  TODAY()-Table3[[#This Row],[Date of Update]]
)&lt;=0,
TODAY()-Table3[[#This Row],[Date of Update]],
IFERROR(
  IF(
    COUNTIF(A$2:A$1997, A111) &gt; 1,
    MIN(IF(A$2:A$1997=A111, IF(B$2:B$1997&gt;B111, B$2:B$1997))) - B111,
    TODAY() - Table3[[#This Row],[Date of Update]]
  ),
  TODAY()-Table3[[#This Row],[Date of Update]]
)))</f>
        <v>0</v>
      </c>
      <c r="G111" s="40">
        <f>IF(Table3[[#This Row],[Stage]]="Closed",Table3[[#This Row],[Date of Update]]-(_xlfn.MINIFS(Table3[Date of Update],Table3[Ref], Table3[[#This Row],[Ref]])),"")</f>
        <v>4</v>
      </c>
    </row>
    <row r="112" spans="1:7" x14ac:dyDescent="0.25">
      <c r="A112" s="39" t="s">
        <v>1122</v>
      </c>
      <c r="B112" s="33">
        <v>44733</v>
      </c>
      <c r="C112" s="32" t="s">
        <v>23</v>
      </c>
      <c r="D112" s="32" t="s">
        <v>4</v>
      </c>
      <c r="E112" s="32"/>
      <c r="F112" s="32" cm="1">
        <f t="array" aca="1" ref="F112" ca="1">IF(Table3[[#This Row],[Stage]]="Closed",0,IF(IFERROR(
  IF(
    COUNTIF(A$2:A$1997, A112) &gt; 1,
    MIN(IF(A$2:A$1997=A112, IF(B$2:B$1997&gt;B112, B$2:B$1997))) - B112,
    TODAY() - Table3[[#This Row],[Date of Update]]
  ),
  TODAY()-Table3[[#This Row],[Date of Update]]
)&lt;=0,
TODAY()-Table3[[#This Row],[Date of Update]],
IFERROR(
  IF(
    COUNTIF(A$2:A$1997, A112) &gt; 1,
    MIN(IF(A$2:A$1997=A112, IF(B$2:B$1997&gt;B112, B$2:B$1997))) - B112,
    TODAY() - Table3[[#This Row],[Date of Update]]
  ),
  TODAY()-Table3[[#This Row],[Date of Update]]
)))</f>
        <v>1002</v>
      </c>
      <c r="G112" s="40" t="str">
        <f>IF(Table3[[#This Row],[Stage]]="Closed",Table3[[#This Row],[Date of Update]]-(_xlfn.MINIFS(Table3[Date of Update],Table3[Ref], Table3[[#This Row],[Ref]])),"")</f>
        <v/>
      </c>
    </row>
    <row r="113" spans="1:7" x14ac:dyDescent="0.25">
      <c r="A113" s="39" t="s">
        <v>1122</v>
      </c>
      <c r="B113" s="33">
        <v>44733</v>
      </c>
      <c r="C113" s="32" t="s">
        <v>169</v>
      </c>
      <c r="D113" s="32" t="s">
        <v>4</v>
      </c>
      <c r="E113" s="32"/>
      <c r="F113" s="32" cm="1">
        <f t="array" aca="1" ref="F113" ca="1">IF(Table3[[#This Row],[Stage]]="Closed",0,IF(IFERROR(
  IF(
    COUNTIF(A$2:A$1997, A113) &gt; 1,
    MIN(IF(A$2:A$1997=A113, IF(B$2:B$1997&gt;B113, B$2:B$1997))) - B113,
    TODAY() - Table3[[#This Row],[Date of Update]]
  ),
  TODAY()-Table3[[#This Row],[Date of Update]]
)&lt;=0,
TODAY()-Table3[[#This Row],[Date of Update]],
IFERROR(
  IF(
    COUNTIF(A$2:A$1997, A113) &gt; 1,
    MIN(IF(A$2:A$1997=A113, IF(B$2:B$1997&gt;B113, B$2:B$1997))) - B113,
    TODAY() - Table3[[#This Row],[Date of Update]]
  ),
  TODAY()-Table3[[#This Row],[Date of Update]]
)))</f>
        <v>0</v>
      </c>
      <c r="G113" s="40">
        <f>IF(Table3[[#This Row],[Stage]]="Closed",Table3[[#This Row],[Date of Update]]-(_xlfn.MINIFS(Table3[Date of Update],Table3[Ref], Table3[[#This Row],[Ref]])),"")</f>
        <v>0</v>
      </c>
    </row>
    <row r="114" spans="1:7" x14ac:dyDescent="0.25">
      <c r="A114" s="39" t="s">
        <v>1132</v>
      </c>
      <c r="B114" s="33">
        <v>44739</v>
      </c>
      <c r="C114" s="32" t="s">
        <v>23</v>
      </c>
      <c r="D114" s="32" t="s">
        <v>4</v>
      </c>
      <c r="E114" s="32"/>
      <c r="F114" s="32" cm="1">
        <f t="array" aca="1" ref="F114" ca="1">IF(Table3[[#This Row],[Stage]]="Closed",0,IF(IFERROR(
  IF(
    COUNTIF(A$2:A$1997, A114) &gt; 1,
    MIN(IF(A$2:A$1997=A114, IF(B$2:B$1997&gt;B114, B$2:B$1997))) - B114,
    TODAY() - Table3[[#This Row],[Date of Update]]
  ),
  TODAY()-Table3[[#This Row],[Date of Update]]
)&lt;=0,
TODAY()-Table3[[#This Row],[Date of Update]],
IFERROR(
  IF(
    COUNTIF(A$2:A$1997, A114) &gt; 1,
    MIN(IF(A$2:A$1997=A114, IF(B$2:B$1997&gt;B114, B$2:B$1997))) - B114,
    TODAY() - Table3[[#This Row],[Date of Update]]
  ),
  TODAY()-Table3[[#This Row],[Date of Update]]
)))</f>
        <v>30</v>
      </c>
      <c r="G114" s="40" t="str">
        <f>IF(Table3[[#This Row],[Stage]]="Closed",Table3[[#This Row],[Date of Update]]-(_xlfn.MINIFS(Table3[Date of Update],Table3[Ref], Table3[[#This Row],[Ref]])),"")</f>
        <v/>
      </c>
    </row>
    <row r="115" spans="1:7" x14ac:dyDescent="0.25">
      <c r="A115" s="39" t="s">
        <v>1150</v>
      </c>
      <c r="B115" s="33">
        <v>44740</v>
      </c>
      <c r="C115" s="32" t="s">
        <v>23</v>
      </c>
      <c r="D115" s="32" t="s">
        <v>4</v>
      </c>
      <c r="E115" s="32" t="s">
        <v>352</v>
      </c>
      <c r="F115" s="32" cm="1">
        <f t="array" aca="1" ref="F115" ca="1">IF(Table3[[#This Row],[Stage]]="Closed",0,IF(IFERROR(
  IF(
    COUNTIF(A$2:A$1997, A115) &gt; 1,
    MIN(IF(A$2:A$1997=A115, IF(B$2:B$1997&gt;B115, B$2:B$1997))) - B115,
    TODAY() - Table3[[#This Row],[Date of Update]]
  ),
  TODAY()-Table3[[#This Row],[Date of Update]]
)&lt;=0,
TODAY()-Table3[[#This Row],[Date of Update]],
IFERROR(
  IF(
    COUNTIF(A$2:A$1997, A115) &gt; 1,
    MIN(IF(A$2:A$1997=A115, IF(B$2:B$1997&gt;B115, B$2:B$1997))) - B115,
    TODAY() - Table3[[#This Row],[Date of Update]]
  ),
  TODAY()-Table3[[#This Row],[Date of Update]]
)))</f>
        <v>71</v>
      </c>
      <c r="G115" s="40" t="str">
        <f>IF(Table3[[#This Row],[Stage]]="Closed",Table3[[#This Row],[Date of Update]]-(_xlfn.MINIFS(Table3[Date of Update],Table3[Ref], Table3[[#This Row],[Ref]])),"")</f>
        <v/>
      </c>
    </row>
    <row r="116" spans="1:7" x14ac:dyDescent="0.25">
      <c r="A116" s="39" t="s">
        <v>1158</v>
      </c>
      <c r="B116" s="33">
        <v>44740</v>
      </c>
      <c r="C116" s="32" t="s">
        <v>23</v>
      </c>
      <c r="D116" s="32" t="s">
        <v>4</v>
      </c>
      <c r="E116" s="32" t="s">
        <v>362</v>
      </c>
      <c r="F116" s="32" cm="1">
        <f t="array" aca="1" ref="F116" ca="1">IF(Table3[[#This Row],[Stage]]="Closed",0,IF(IFERROR(
  IF(
    COUNTIF(A$2:A$1997, A116) &gt; 1,
    MIN(IF(A$2:A$1997=A116, IF(B$2:B$1997&gt;B116, B$2:B$1997))) - B116,
    TODAY() - Table3[[#This Row],[Date of Update]]
  ),
  TODAY()-Table3[[#This Row],[Date of Update]]
)&lt;=0,
TODAY()-Table3[[#This Row],[Date of Update]],
IFERROR(
  IF(
    COUNTIF(A$2:A$1997, A116) &gt; 1,
    MIN(IF(A$2:A$1997=A116, IF(B$2:B$1997&gt;B116, B$2:B$1997))) - B116,
    TODAY() - Table3[[#This Row],[Date of Update]]
  ),
  TODAY()-Table3[[#This Row],[Date of Update]]
)))</f>
        <v>76</v>
      </c>
      <c r="G116" s="40" t="str">
        <f>IF(Table3[[#This Row],[Stage]]="Closed",Table3[[#This Row],[Date of Update]]-(_xlfn.MINIFS(Table3[Date of Update],Table3[Ref], Table3[[#This Row],[Ref]])),"")</f>
        <v/>
      </c>
    </row>
    <row r="117" spans="1:7" x14ac:dyDescent="0.25">
      <c r="A117" s="39" t="s">
        <v>1123</v>
      </c>
      <c r="B117" s="33">
        <v>44746</v>
      </c>
      <c r="C117" s="32" t="s">
        <v>23</v>
      </c>
      <c r="D117" s="32" t="s">
        <v>4</v>
      </c>
      <c r="E117" s="32"/>
      <c r="F117" s="32" cm="1">
        <f t="array" aca="1" ref="F117" ca="1">IF(Table3[[#This Row],[Stage]]="Closed",0,IF(IFERROR(
  IF(
    COUNTIF(A$2:A$1997, A117) &gt; 1,
    MIN(IF(A$2:A$1997=A117, IF(B$2:B$1997&gt;B117, B$2:B$1997))) - B117,
    TODAY() - Table3[[#This Row],[Date of Update]]
  ),
  TODAY()-Table3[[#This Row],[Date of Update]]
)&lt;=0,
TODAY()-Table3[[#This Row],[Date of Update]],
IFERROR(
  IF(
    COUNTIF(A$2:A$1997, A117) &gt; 1,
    MIN(IF(A$2:A$1997=A117, IF(B$2:B$1997&gt;B117, B$2:B$1997))) - B117,
    TODAY() - Table3[[#This Row],[Date of Update]]
  ),
  TODAY()-Table3[[#This Row],[Date of Update]]
)))</f>
        <v>989</v>
      </c>
      <c r="G117" s="40" t="str">
        <f>IF(Table3[[#This Row],[Stage]]="Closed",Table3[[#This Row],[Date of Update]]-(_xlfn.MINIFS(Table3[Date of Update],Table3[Ref], Table3[[#This Row],[Ref]])),"")</f>
        <v/>
      </c>
    </row>
    <row r="118" spans="1:7" x14ac:dyDescent="0.25">
      <c r="A118" s="39" t="s">
        <v>1123</v>
      </c>
      <c r="B118" s="33">
        <v>44746</v>
      </c>
      <c r="C118" s="32" t="s">
        <v>169</v>
      </c>
      <c r="D118" s="32" t="s">
        <v>4</v>
      </c>
      <c r="E118" s="32"/>
      <c r="F118" s="32" cm="1">
        <f t="array" aca="1" ref="F118" ca="1">IF(Table3[[#This Row],[Stage]]="Closed",0,IF(IFERROR(
  IF(
    COUNTIF(A$2:A$1997, A118) &gt; 1,
    MIN(IF(A$2:A$1997=A118, IF(B$2:B$1997&gt;B118, B$2:B$1997))) - B118,
    TODAY() - Table3[[#This Row],[Date of Update]]
  ),
  TODAY()-Table3[[#This Row],[Date of Update]]
)&lt;=0,
TODAY()-Table3[[#This Row],[Date of Update]],
IFERROR(
  IF(
    COUNTIF(A$2:A$1997, A118) &gt; 1,
    MIN(IF(A$2:A$1997=A118, IF(B$2:B$1997&gt;B118, B$2:B$1997))) - B118,
    TODAY() - Table3[[#This Row],[Date of Update]]
  ),
  TODAY()-Table3[[#This Row],[Date of Update]]
)))</f>
        <v>0</v>
      </c>
      <c r="G118" s="40">
        <f>IF(Table3[[#This Row],[Stage]]="Closed",Table3[[#This Row],[Date of Update]]-(_xlfn.MINIFS(Table3[Date of Update],Table3[Ref], Table3[[#This Row],[Ref]])),"")</f>
        <v>0</v>
      </c>
    </row>
    <row r="119" spans="1:7" x14ac:dyDescent="0.25">
      <c r="A119" s="39" t="s">
        <v>1133</v>
      </c>
      <c r="B119" s="33">
        <v>44746</v>
      </c>
      <c r="C119" s="32" t="s">
        <v>23</v>
      </c>
      <c r="D119" s="32" t="s">
        <v>4</v>
      </c>
      <c r="E119" s="32"/>
      <c r="F119" s="32" cm="1">
        <f t="array" aca="1" ref="F119" ca="1">IF(Table3[[#This Row],[Stage]]="Closed",0,IF(IFERROR(
  IF(
    COUNTIF(A$2:A$1997, A119) &gt; 1,
    MIN(IF(A$2:A$1997=A119, IF(B$2:B$1997&gt;B119, B$2:B$1997))) - B119,
    TODAY() - Table3[[#This Row],[Date of Update]]
  ),
  TODAY()-Table3[[#This Row],[Date of Update]]
)&lt;=0,
TODAY()-Table3[[#This Row],[Date of Update]],
IFERROR(
  IF(
    COUNTIF(A$2:A$1997, A119) &gt; 1,
    MIN(IF(A$2:A$1997=A119, IF(B$2:B$1997&gt;B119, B$2:B$1997))) - B119,
    TODAY() - Table3[[#This Row],[Date of Update]]
  ),
  TODAY()-Table3[[#This Row],[Date of Update]]
)))</f>
        <v>36</v>
      </c>
      <c r="G119" s="40" t="str">
        <f>IF(Table3[[#This Row],[Stage]]="Closed",Table3[[#This Row],[Date of Update]]-(_xlfn.MINIFS(Table3[Date of Update],Table3[Ref], Table3[[#This Row],[Ref]])),"")</f>
        <v/>
      </c>
    </row>
    <row r="120" spans="1:7" x14ac:dyDescent="0.25">
      <c r="A120" s="39" t="s">
        <v>1124</v>
      </c>
      <c r="B120" s="33">
        <v>44747</v>
      </c>
      <c r="C120" s="32" t="s">
        <v>169</v>
      </c>
      <c r="D120" s="32" t="s">
        <v>4</v>
      </c>
      <c r="E120" s="32"/>
      <c r="F120" s="32" cm="1">
        <f t="array" aca="1" ref="F120" ca="1">IF(Table3[[#This Row],[Stage]]="Closed",0,IF(IFERROR(
  IF(
    COUNTIF(A$2:A$1997, A120) &gt; 1,
    MIN(IF(A$2:A$1997=A120, IF(B$2:B$1997&gt;B120, B$2:B$1997))) - B120,
    TODAY() - Table3[[#This Row],[Date of Update]]
  ),
  TODAY()-Table3[[#This Row],[Date of Update]]
)&lt;=0,
TODAY()-Table3[[#This Row],[Date of Update]],
IFERROR(
  IF(
    COUNTIF(A$2:A$1997, A120) &gt; 1,
    MIN(IF(A$2:A$1997=A120, IF(B$2:B$1997&gt;B120, B$2:B$1997))) - B120,
    TODAY() - Table3[[#This Row],[Date of Update]]
  ),
  TODAY()-Table3[[#This Row],[Date of Update]]
)))</f>
        <v>0</v>
      </c>
      <c r="G120" s="40">
        <f>IF(Table3[[#This Row],[Stage]]="Closed",Table3[[#This Row],[Date of Update]]-(_xlfn.MINIFS(Table3[Date of Update],Table3[Ref], Table3[[#This Row],[Ref]])),"")</f>
        <v>39</v>
      </c>
    </row>
    <row r="121" spans="1:7" x14ac:dyDescent="0.25">
      <c r="A121" s="39" t="s">
        <v>1524</v>
      </c>
      <c r="B121" s="33">
        <v>44747</v>
      </c>
      <c r="C121" s="32" t="s">
        <v>169</v>
      </c>
      <c r="D121" s="32" t="s">
        <v>4</v>
      </c>
      <c r="E121" s="32"/>
      <c r="F121" s="32" cm="1">
        <f t="array" aca="1" ref="F121" ca="1">IF(Table3[[#This Row],[Stage]]="Closed",0,IF(IFERROR(
  IF(
    COUNTIF(A$2:A$1997, A121) &gt; 1,
    MIN(IF(A$2:A$1997=A121, IF(B$2:B$1997&gt;B121, B$2:B$1997))) - B121,
    TODAY() - Table3[[#This Row],[Date of Update]]
  ),
  TODAY()-Table3[[#This Row],[Date of Update]]
)&lt;=0,
TODAY()-Table3[[#This Row],[Date of Update]],
IFERROR(
  IF(
    COUNTIF(A$2:A$1997, A121) &gt; 1,
    MIN(IF(A$2:A$1997=A121, IF(B$2:B$1997&gt;B121, B$2:B$1997))) - B121,
    TODAY() - Table3[[#This Row],[Date of Update]]
  ),
  TODAY()-Table3[[#This Row],[Date of Update]]
)))</f>
        <v>0</v>
      </c>
      <c r="G121" s="40">
        <f>IF(Table3[[#This Row],[Stage]]="Closed",Table3[[#This Row],[Date of Update]]-(_xlfn.MINIFS(Table3[Date of Update],Table3[Ref], Table3[[#This Row],[Ref]])),"")</f>
        <v>18</v>
      </c>
    </row>
    <row r="122" spans="1:7" x14ac:dyDescent="0.25">
      <c r="A122" s="39" t="s">
        <v>1170</v>
      </c>
      <c r="B122" s="33">
        <v>44747</v>
      </c>
      <c r="C122" s="32" t="s">
        <v>23</v>
      </c>
      <c r="D122" s="32" t="s">
        <v>4</v>
      </c>
      <c r="E122" s="32" t="s">
        <v>392</v>
      </c>
      <c r="F122" s="32" cm="1">
        <f t="array" aca="1" ref="F122" ca="1">IF(Table3[[#This Row],[Stage]]="Closed",0,IF(IFERROR(
  IF(
    COUNTIF(A$2:A$1997, A122) &gt; 1,
    MIN(IF(A$2:A$1997=A122, IF(B$2:B$1997&gt;B122, B$2:B$1997))) - B122,
    TODAY() - Table3[[#This Row],[Date of Update]]
  ),
  TODAY()-Table3[[#This Row],[Date of Update]]
)&lt;=0,
TODAY()-Table3[[#This Row],[Date of Update]],
IFERROR(
  IF(
    COUNTIF(A$2:A$1997, A122) &gt; 1,
    MIN(IF(A$2:A$1997=A122, IF(B$2:B$1997&gt;B122, B$2:B$1997))) - B122,
    TODAY() - Table3[[#This Row],[Date of Update]]
  ),
  TODAY()-Table3[[#This Row],[Date of Update]]
)))</f>
        <v>119</v>
      </c>
      <c r="G122" s="40" t="str">
        <f>IF(Table3[[#This Row],[Stage]]="Closed",Table3[[#This Row],[Date of Update]]-(_xlfn.MINIFS(Table3[Date of Update],Table3[Ref], Table3[[#This Row],[Ref]])),"")</f>
        <v/>
      </c>
    </row>
    <row r="123" spans="1:7" x14ac:dyDescent="0.25">
      <c r="A123" s="39" t="s">
        <v>1159</v>
      </c>
      <c r="B123" s="33">
        <v>44747</v>
      </c>
      <c r="C123" s="32" t="s">
        <v>23</v>
      </c>
      <c r="D123" s="32" t="s">
        <v>4</v>
      </c>
      <c r="E123" s="32" t="s">
        <v>362</v>
      </c>
      <c r="F123" s="32" cm="1">
        <f t="array" aca="1" ref="F123" ca="1">IF(Table3[[#This Row],[Stage]]="Closed",0,IF(IFERROR(
  IF(
    COUNTIF(A$2:A$1997, A123) &gt; 1,
    MIN(IF(A$2:A$1997=A123, IF(B$2:B$1997&gt;B123, B$2:B$1997))) - B123,
    TODAY() - Table3[[#This Row],[Date of Update]]
  ),
  TODAY()-Table3[[#This Row],[Date of Update]]
)&lt;=0,
TODAY()-Table3[[#This Row],[Date of Update]],
IFERROR(
  IF(
    COUNTIF(A$2:A$1997, A123) &gt; 1,
    MIN(IF(A$2:A$1997=A123, IF(B$2:B$1997&gt;B123, B$2:B$1997))) - B123,
    TODAY() - Table3[[#This Row],[Date of Update]]
  ),
  TODAY()-Table3[[#This Row],[Date of Update]]
)))</f>
        <v>69</v>
      </c>
      <c r="G123" s="40" t="str">
        <f>IF(Table3[[#This Row],[Stage]]="Closed",Table3[[#This Row],[Date of Update]]-(_xlfn.MINIFS(Table3[Date of Update],Table3[Ref], Table3[[#This Row],[Ref]])),"")</f>
        <v/>
      </c>
    </row>
    <row r="124" spans="1:7" x14ac:dyDescent="0.25">
      <c r="A124" s="39" t="s">
        <v>1126</v>
      </c>
      <c r="B124" s="33">
        <v>44750</v>
      </c>
      <c r="C124" s="32" t="s">
        <v>169</v>
      </c>
      <c r="D124" s="32" t="s">
        <v>4</v>
      </c>
      <c r="E124" s="32" t="s">
        <v>301</v>
      </c>
      <c r="F124" s="32" cm="1">
        <f t="array" aca="1" ref="F124" ca="1">IF(Table3[[#This Row],[Stage]]="Closed",0,IF(IFERROR(
  IF(
    COUNTIF(A$2:A$1997, A124) &gt; 1,
    MIN(IF(A$2:A$1997=A124, IF(B$2:B$1997&gt;B124, B$2:B$1997))) - B124,
    TODAY() - Table3[[#This Row],[Date of Update]]
  ),
  TODAY()-Table3[[#This Row],[Date of Update]]
)&lt;=0,
TODAY()-Table3[[#This Row],[Date of Update]],
IFERROR(
  IF(
    COUNTIF(A$2:A$1997, A124) &gt; 1,
    MIN(IF(A$2:A$1997=A124, IF(B$2:B$1997&gt;B124, B$2:B$1997))) - B124,
    TODAY() - Table3[[#This Row],[Date of Update]]
  ),
  TODAY()-Table3[[#This Row],[Date of Update]]
)))</f>
        <v>0</v>
      </c>
      <c r="G124" s="40">
        <f>IF(Table3[[#This Row],[Stage]]="Closed",Table3[[#This Row],[Date of Update]]-(_xlfn.MINIFS(Table3[Date of Update],Table3[Ref], Table3[[#This Row],[Ref]])),"")</f>
        <v>30</v>
      </c>
    </row>
    <row r="125" spans="1:7" x14ac:dyDescent="0.25">
      <c r="A125" s="39" t="s">
        <v>1149</v>
      </c>
      <c r="B125" s="33">
        <v>44750</v>
      </c>
      <c r="C125" s="32" t="s">
        <v>23</v>
      </c>
      <c r="D125" s="32" t="s">
        <v>4</v>
      </c>
      <c r="E125" s="32"/>
      <c r="F125" s="32" cm="1">
        <f t="array" aca="1" ref="F125" ca="1">IF(Table3[[#This Row],[Stage]]="Closed",0,IF(IFERROR(
  IF(
    COUNTIF(A$2:A$1997, A125) &gt; 1,
    MIN(IF(A$2:A$1997=A125, IF(B$2:B$1997&gt;B125, B$2:B$1997))) - B125,
    TODAY() - Table3[[#This Row],[Date of Update]]
  ),
  TODAY()-Table3[[#This Row],[Date of Update]]
)&lt;=0,
TODAY()-Table3[[#This Row],[Date of Update]],
IFERROR(
  IF(
    COUNTIF(A$2:A$1997, A125) &gt; 1,
    MIN(IF(A$2:A$1997=A125, IF(B$2:B$1997&gt;B125, B$2:B$1997))) - B125,
    TODAY() - Table3[[#This Row],[Date of Update]]
  ),
  TODAY()-Table3[[#This Row],[Date of Update]]
)))</f>
        <v>59</v>
      </c>
      <c r="G125" s="40" t="str">
        <f>IF(Table3[[#This Row],[Stage]]="Closed",Table3[[#This Row],[Date of Update]]-(_xlfn.MINIFS(Table3[Date of Update],Table3[Ref], Table3[[#This Row],[Ref]])),"")</f>
        <v/>
      </c>
    </row>
    <row r="126" spans="1:7" x14ac:dyDescent="0.25">
      <c r="A126" s="39" t="s">
        <v>1125</v>
      </c>
      <c r="B126" s="33">
        <v>44754</v>
      </c>
      <c r="C126" s="32" t="s">
        <v>23</v>
      </c>
      <c r="D126" s="32" t="s">
        <v>4</v>
      </c>
      <c r="E126" s="32"/>
      <c r="F126" s="32" cm="1">
        <f t="array" aca="1" ref="F126" ca="1">IF(Table3[[#This Row],[Stage]]="Closed",0,IF(IFERROR(
  IF(
    COUNTIF(A$2:A$1997, A126) &gt; 1,
    MIN(IF(A$2:A$1997=A126, IF(B$2:B$1997&gt;B126, B$2:B$1997))) - B126,
    TODAY() - Table3[[#This Row],[Date of Update]]
  ),
  TODAY()-Table3[[#This Row],[Date of Update]]
)&lt;=0,
TODAY()-Table3[[#This Row],[Date of Update]],
IFERROR(
  IF(
    COUNTIF(A$2:A$1997, A126) &gt; 1,
    MIN(IF(A$2:A$1997=A126, IF(B$2:B$1997&gt;B126, B$2:B$1997))) - B126,
    TODAY() - Table3[[#This Row],[Date of Update]]
  ),
  TODAY()-Table3[[#This Row],[Date of Update]]
)))</f>
        <v>981</v>
      </c>
      <c r="G126" s="40" t="str">
        <f>IF(Table3[[#This Row],[Stage]]="Closed",Table3[[#This Row],[Date of Update]]-(_xlfn.MINIFS(Table3[Date of Update],Table3[Ref], Table3[[#This Row],[Ref]])),"")</f>
        <v/>
      </c>
    </row>
    <row r="127" spans="1:7" x14ac:dyDescent="0.25">
      <c r="A127" s="39" t="s">
        <v>1125</v>
      </c>
      <c r="B127" s="33">
        <v>44754</v>
      </c>
      <c r="C127" s="32" t="s">
        <v>169</v>
      </c>
      <c r="D127" s="32" t="s">
        <v>4</v>
      </c>
      <c r="E127" s="32"/>
      <c r="F127" s="32" cm="1">
        <f t="array" aca="1" ref="F127" ca="1">IF(Table3[[#This Row],[Stage]]="Closed",0,IF(IFERROR(
  IF(
    COUNTIF(A$2:A$1997, A127) &gt; 1,
    MIN(IF(A$2:A$1997=A127, IF(B$2:B$1997&gt;B127, B$2:B$1997))) - B127,
    TODAY() - Table3[[#This Row],[Date of Update]]
  ),
  TODAY()-Table3[[#This Row],[Date of Update]]
)&lt;=0,
TODAY()-Table3[[#This Row],[Date of Update]],
IFERROR(
  IF(
    COUNTIF(A$2:A$1997, A127) &gt; 1,
    MIN(IF(A$2:A$1997=A127, IF(B$2:B$1997&gt;B127, B$2:B$1997))) - B127,
    TODAY() - Table3[[#This Row],[Date of Update]]
  ),
  TODAY()-Table3[[#This Row],[Date of Update]]
)))</f>
        <v>0</v>
      </c>
      <c r="G127" s="40">
        <f>IF(Table3[[#This Row],[Stage]]="Closed",Table3[[#This Row],[Date of Update]]-(_xlfn.MINIFS(Table3[Date of Update],Table3[Ref], Table3[[#This Row],[Ref]])),"")</f>
        <v>0</v>
      </c>
    </row>
    <row r="128" spans="1:7" x14ac:dyDescent="0.25">
      <c r="A128" s="39" t="s">
        <v>1525</v>
      </c>
      <c r="B128" s="33">
        <v>44754</v>
      </c>
      <c r="C128" s="32" t="s">
        <v>23</v>
      </c>
      <c r="D128" s="32" t="s">
        <v>4</v>
      </c>
      <c r="E128" s="32"/>
      <c r="F128" s="32" cm="1">
        <f t="array" aca="1" ref="F128" ca="1">IF(Table3[[#This Row],[Stage]]="Closed",0,IF(IFERROR(
  IF(
    COUNTIF(A$2:A$1997, A128) &gt; 1,
    MIN(IF(A$2:A$1997=A128, IF(B$2:B$1997&gt;B128, B$2:B$1997))) - B128,
    TODAY() - Table3[[#This Row],[Date of Update]]
  ),
  TODAY()-Table3[[#This Row],[Date of Update]]
)&lt;=0,
TODAY()-Table3[[#This Row],[Date of Update]],
IFERROR(
  IF(
    COUNTIF(A$2:A$1997, A128) &gt; 1,
    MIN(IF(A$2:A$1997=A128, IF(B$2:B$1997&gt;B128, B$2:B$1997))) - B128,
    TODAY() - Table3[[#This Row],[Date of Update]]
  ),
  TODAY()-Table3[[#This Row],[Date of Update]]
)))</f>
        <v>981</v>
      </c>
      <c r="G128" s="40" t="str">
        <f>IF(Table3[[#This Row],[Stage]]="Closed",Table3[[#This Row],[Date of Update]]-(_xlfn.MINIFS(Table3[Date of Update],Table3[Ref], Table3[[#This Row],[Ref]])),"")</f>
        <v/>
      </c>
    </row>
    <row r="129" spans="1:7" x14ac:dyDescent="0.25">
      <c r="A129" s="39" t="s">
        <v>1127</v>
      </c>
      <c r="B129" s="33">
        <v>44756</v>
      </c>
      <c r="C129" s="32" t="s">
        <v>169</v>
      </c>
      <c r="D129" s="32" t="s">
        <v>4</v>
      </c>
      <c r="E129" s="32"/>
      <c r="F129" s="32" cm="1">
        <f t="array" aca="1" ref="F129" ca="1">IF(Table3[[#This Row],[Stage]]="Closed",0,IF(IFERROR(
  IF(
    COUNTIF(A$2:A$1997, A129) &gt; 1,
    MIN(IF(A$2:A$1997=A129, IF(B$2:B$1997&gt;B129, B$2:B$1997))) - B129,
    TODAY() - Table3[[#This Row],[Date of Update]]
  ),
  TODAY()-Table3[[#This Row],[Date of Update]]
)&lt;=0,
TODAY()-Table3[[#This Row],[Date of Update]],
IFERROR(
  IF(
    COUNTIF(A$2:A$1997, A129) &gt; 1,
    MIN(IF(A$2:A$1997=A129, IF(B$2:B$1997&gt;B129, B$2:B$1997))) - B129,
    TODAY() - Table3[[#This Row],[Date of Update]]
  ),
  TODAY()-Table3[[#This Row],[Date of Update]]
)))</f>
        <v>0</v>
      </c>
      <c r="G129" s="40">
        <f>IF(Table3[[#This Row],[Stage]]="Closed",Table3[[#This Row],[Date of Update]]-(_xlfn.MINIFS(Table3[Date of Update],Table3[Ref], Table3[[#This Row],[Ref]])),"")</f>
        <v>0</v>
      </c>
    </row>
    <row r="130" spans="1:7" x14ac:dyDescent="0.25">
      <c r="A130" s="39" t="s">
        <v>1128</v>
      </c>
      <c r="B130" s="33">
        <v>44757</v>
      </c>
      <c r="C130" s="32" t="s">
        <v>23</v>
      </c>
      <c r="D130" s="32" t="s">
        <v>4</v>
      </c>
      <c r="E130" s="32"/>
      <c r="F130" s="32" cm="1">
        <f t="array" aca="1" ref="F130" ca="1">IF(Table3[[#This Row],[Stage]]="Closed",0,IF(IFERROR(
  IF(
    COUNTIF(A$2:A$1997, A130) &gt; 1,
    MIN(IF(A$2:A$1997=A130, IF(B$2:B$1997&gt;B130, B$2:B$1997))) - B130,
    TODAY() - Table3[[#This Row],[Date of Update]]
  ),
  TODAY()-Table3[[#This Row],[Date of Update]]
)&lt;=0,
TODAY()-Table3[[#This Row],[Date of Update]],
IFERROR(
  IF(
    COUNTIF(A$2:A$1997, A130) &gt; 1,
    MIN(IF(A$2:A$1997=A130, IF(B$2:B$1997&gt;B130, B$2:B$1997))) - B130,
    TODAY() - Table3[[#This Row],[Date of Update]]
  ),
  TODAY()-Table3[[#This Row],[Date of Update]]
)))</f>
        <v>978</v>
      </c>
      <c r="G130" s="40" t="str">
        <f>IF(Table3[[#This Row],[Stage]]="Closed",Table3[[#This Row],[Date of Update]]-(_xlfn.MINIFS(Table3[Date of Update],Table3[Ref], Table3[[#This Row],[Ref]])),"")</f>
        <v/>
      </c>
    </row>
    <row r="131" spans="1:7" x14ac:dyDescent="0.25">
      <c r="A131" s="39" t="s">
        <v>1128</v>
      </c>
      <c r="B131" s="33">
        <v>44757</v>
      </c>
      <c r="C131" s="32" t="s">
        <v>169</v>
      </c>
      <c r="D131" s="32" t="s">
        <v>4</v>
      </c>
      <c r="E131" s="32"/>
      <c r="F131" s="32" cm="1">
        <f t="array" aca="1" ref="F131" ca="1">IF(Table3[[#This Row],[Stage]]="Closed",0,IF(IFERROR(
  IF(
    COUNTIF(A$2:A$1997, A131) &gt; 1,
    MIN(IF(A$2:A$1997=A131, IF(B$2:B$1997&gt;B131, B$2:B$1997))) - B131,
    TODAY() - Table3[[#This Row],[Date of Update]]
  ),
  TODAY()-Table3[[#This Row],[Date of Update]]
)&lt;=0,
TODAY()-Table3[[#This Row],[Date of Update]],
IFERROR(
  IF(
    COUNTIF(A$2:A$1997, A131) &gt; 1,
    MIN(IF(A$2:A$1997=A131, IF(B$2:B$1997&gt;B131, B$2:B$1997))) - B131,
    TODAY() - Table3[[#This Row],[Date of Update]]
  ),
  TODAY()-Table3[[#This Row],[Date of Update]]
)))</f>
        <v>0</v>
      </c>
      <c r="G131" s="40">
        <f>IF(Table3[[#This Row],[Stage]]="Closed",Table3[[#This Row],[Date of Update]]-(_xlfn.MINIFS(Table3[Date of Update],Table3[Ref], Table3[[#This Row],[Ref]])),"")</f>
        <v>0</v>
      </c>
    </row>
    <row r="132" spans="1:7" x14ac:dyDescent="0.25">
      <c r="A132" s="39" t="s">
        <v>1127</v>
      </c>
      <c r="B132" s="33">
        <v>44759</v>
      </c>
      <c r="C132" s="32" t="s">
        <v>169</v>
      </c>
      <c r="D132" s="32" t="s">
        <v>4</v>
      </c>
      <c r="E132" s="32" t="s">
        <v>307</v>
      </c>
      <c r="F132" s="32" cm="1">
        <f t="array" aca="1" ref="F132" ca="1">IF(Table3[[#This Row],[Stage]]="Closed",0,IF(IFERROR(
  IF(
    COUNTIF(A$2:A$1997, A132) &gt; 1,
    MIN(IF(A$2:A$1997=A132, IF(B$2:B$1997&gt;B132, B$2:B$1997))) - B132,
    TODAY() - Table3[[#This Row],[Date of Update]]
  ),
  TODAY()-Table3[[#This Row],[Date of Update]]
)&lt;=0,
TODAY()-Table3[[#This Row],[Date of Update]],
IFERROR(
  IF(
    COUNTIF(A$2:A$1997, A132) &gt; 1,
    MIN(IF(A$2:A$1997=A132, IF(B$2:B$1997&gt;B132, B$2:B$1997))) - B132,
    TODAY() - Table3[[#This Row],[Date of Update]]
  ),
  TODAY()-Table3[[#This Row],[Date of Update]]
)))</f>
        <v>0</v>
      </c>
      <c r="G132" s="40">
        <f>IF(Table3[[#This Row],[Stage]]="Closed",Table3[[#This Row],[Date of Update]]-(_xlfn.MINIFS(Table3[Date of Update],Table3[Ref], Table3[[#This Row],[Ref]])),"")</f>
        <v>3</v>
      </c>
    </row>
    <row r="133" spans="1:7" x14ac:dyDescent="0.25">
      <c r="A133" s="39" t="s">
        <v>1129</v>
      </c>
      <c r="B133" s="33">
        <v>44759</v>
      </c>
      <c r="C133" s="32" t="s">
        <v>169</v>
      </c>
      <c r="D133" s="32" t="s">
        <v>4</v>
      </c>
      <c r="E133" s="32"/>
      <c r="F133" s="32" cm="1">
        <f t="array" aca="1" ref="F133" ca="1">IF(Table3[[#This Row],[Stage]]="Closed",0,IF(IFERROR(
  IF(
    COUNTIF(A$2:A$1997, A133) &gt; 1,
    MIN(IF(A$2:A$1997=A133, IF(B$2:B$1997&gt;B133, B$2:B$1997))) - B133,
    TODAY() - Table3[[#This Row],[Date of Update]]
  ),
  TODAY()-Table3[[#This Row],[Date of Update]]
)&lt;=0,
TODAY()-Table3[[#This Row],[Date of Update]],
IFERROR(
  IF(
    COUNTIF(A$2:A$1997, A133) &gt; 1,
    MIN(IF(A$2:A$1997=A133, IF(B$2:B$1997&gt;B133, B$2:B$1997))) - B133,
    TODAY() - Table3[[#This Row],[Date of Update]]
  ),
  TODAY()-Table3[[#This Row],[Date of Update]]
)))</f>
        <v>0</v>
      </c>
      <c r="G133" s="40">
        <f>IF(Table3[[#This Row],[Stage]]="Closed",Table3[[#This Row],[Date of Update]]-(_xlfn.MINIFS(Table3[Date of Update],Table3[Ref], Table3[[#This Row],[Ref]])),"")</f>
        <v>30</v>
      </c>
    </row>
    <row r="134" spans="1:7" x14ac:dyDescent="0.25">
      <c r="A134" s="39" t="s">
        <v>1267</v>
      </c>
      <c r="B134" s="33">
        <v>44760</v>
      </c>
      <c r="C134" s="32" t="s">
        <v>23</v>
      </c>
      <c r="D134" s="32" t="s">
        <v>4</v>
      </c>
      <c r="E134" s="32" t="s">
        <v>639</v>
      </c>
      <c r="F134" s="32" cm="1">
        <f t="array" aca="1" ref="F134" ca="1">IF(Table3[[#This Row],[Stage]]="Closed",0,IF(IFERROR(
  IF(
    COUNTIF(A$2:A$1997, A134) &gt; 1,
    MIN(IF(A$2:A$1997=A134, IF(B$2:B$1997&gt;B134, B$2:B$1997))) - B134,
    TODAY() - Table3[[#This Row],[Date of Update]]
  ),
  TODAY()-Table3[[#This Row],[Date of Update]]
)&lt;=0,
TODAY()-Table3[[#This Row],[Date of Update]],
IFERROR(
  IF(
    COUNTIF(A$2:A$1997, A134) &gt; 1,
    MIN(IF(A$2:A$1997=A134, IF(B$2:B$1997&gt;B134, B$2:B$1997))) - B134,
    TODAY() - Table3[[#This Row],[Date of Update]]
  ),
  TODAY()-Table3[[#This Row],[Date of Update]]
)))</f>
        <v>235</v>
      </c>
      <c r="G134" s="40" t="str">
        <f>IF(Table3[[#This Row],[Stage]]="Closed",Table3[[#This Row],[Date of Update]]-(_xlfn.MINIFS(Table3[Date of Update],Table3[Ref], Table3[[#This Row],[Ref]])),"")</f>
        <v/>
      </c>
    </row>
    <row r="135" spans="1:7" x14ac:dyDescent="0.25">
      <c r="A135" s="39" t="s">
        <v>1134</v>
      </c>
      <c r="B135" s="33">
        <v>44760</v>
      </c>
      <c r="C135" s="32" t="s">
        <v>23</v>
      </c>
      <c r="D135" s="32" t="s">
        <v>4</v>
      </c>
      <c r="E135" s="32" t="s">
        <v>255</v>
      </c>
      <c r="F135" s="32" cm="1">
        <f t="array" aca="1" ref="F135" ca="1">IF(Table3[[#This Row],[Stage]]="Closed",0,IF(IFERROR(
  IF(
    COUNTIF(A$2:A$1997, A135) &gt; 1,
    MIN(IF(A$2:A$1997=A135, IF(B$2:B$1997&gt;B135, B$2:B$1997))) - B135,
    TODAY() - Table3[[#This Row],[Date of Update]]
  ),
  TODAY()-Table3[[#This Row],[Date of Update]]
)&lt;=0,
TODAY()-Table3[[#This Row],[Date of Update]],
IFERROR(
  IF(
    COUNTIF(A$2:A$1997, A135) &gt; 1,
    MIN(IF(A$2:A$1997=A135, IF(B$2:B$1997&gt;B135, B$2:B$1997))) - B135,
    TODAY() - Table3[[#This Row],[Date of Update]]
  ),
  TODAY()-Table3[[#This Row],[Date of Update]]
)))</f>
        <v>30</v>
      </c>
      <c r="G135" s="40" t="str">
        <f>IF(Table3[[#This Row],[Stage]]="Closed",Table3[[#This Row],[Date of Update]]-(_xlfn.MINIFS(Table3[Date of Update],Table3[Ref], Table3[[#This Row],[Ref]])),"")</f>
        <v/>
      </c>
    </row>
    <row r="136" spans="1:7" x14ac:dyDescent="0.25">
      <c r="A136" s="39" t="s">
        <v>1130</v>
      </c>
      <c r="B136" s="33">
        <v>44762</v>
      </c>
      <c r="C136" s="32" t="s">
        <v>23</v>
      </c>
      <c r="D136" s="32" t="s">
        <v>4</v>
      </c>
      <c r="E136" s="32"/>
      <c r="F136" s="32" cm="1">
        <f t="array" aca="1" ref="F136" ca="1">IF(Table3[[#This Row],[Stage]]="Closed",0,IF(IFERROR(
  IF(
    COUNTIF(A$2:A$1997, A136) &gt; 1,
    MIN(IF(A$2:A$1997=A136, IF(B$2:B$1997&gt;B136, B$2:B$1997))) - B136,
    TODAY() - Table3[[#This Row],[Date of Update]]
  ),
  TODAY()-Table3[[#This Row],[Date of Update]]
)&lt;=0,
TODAY()-Table3[[#This Row],[Date of Update]],
IFERROR(
  IF(
    COUNTIF(A$2:A$1997, A136) &gt; 1,
    MIN(IF(A$2:A$1997=A136, IF(B$2:B$1997&gt;B136, B$2:B$1997))) - B136,
    TODAY() - Table3[[#This Row],[Date of Update]]
  ),
  TODAY()-Table3[[#This Row],[Date of Update]]
)))</f>
        <v>973</v>
      </c>
      <c r="G136" s="40" t="str">
        <f>IF(Table3[[#This Row],[Stage]]="Closed",Table3[[#This Row],[Date of Update]]-(_xlfn.MINIFS(Table3[Date of Update],Table3[Ref], Table3[[#This Row],[Ref]])),"")</f>
        <v/>
      </c>
    </row>
    <row r="137" spans="1:7" x14ac:dyDescent="0.25">
      <c r="A137" s="39" t="s">
        <v>1130</v>
      </c>
      <c r="B137" s="33">
        <v>44762</v>
      </c>
      <c r="C137" s="32" t="s">
        <v>169</v>
      </c>
      <c r="D137" s="32" t="s">
        <v>4</v>
      </c>
      <c r="E137" s="32"/>
      <c r="F137" s="32" cm="1">
        <f t="array" aca="1" ref="F137" ca="1">IF(Table3[[#This Row],[Stage]]="Closed",0,IF(IFERROR(
  IF(
    COUNTIF(A$2:A$1997, A137) &gt; 1,
    MIN(IF(A$2:A$1997=A137, IF(B$2:B$1997&gt;B137, B$2:B$1997))) - B137,
    TODAY() - Table3[[#This Row],[Date of Update]]
  ),
  TODAY()-Table3[[#This Row],[Date of Update]]
)&lt;=0,
TODAY()-Table3[[#This Row],[Date of Update]],
IFERROR(
  IF(
    COUNTIF(A$2:A$1997, A137) &gt; 1,
    MIN(IF(A$2:A$1997=A137, IF(B$2:B$1997&gt;B137, B$2:B$1997))) - B137,
    TODAY() - Table3[[#This Row],[Date of Update]]
  ),
  TODAY()-Table3[[#This Row],[Date of Update]]
)))</f>
        <v>0</v>
      </c>
      <c r="G137" s="40">
        <f>IF(Table3[[#This Row],[Stage]]="Closed",Table3[[#This Row],[Date of Update]]-(_xlfn.MINIFS(Table3[Date of Update],Table3[Ref], Table3[[#This Row],[Ref]])),"")</f>
        <v>0</v>
      </c>
    </row>
    <row r="138" spans="1:7" x14ac:dyDescent="0.25">
      <c r="A138" s="39" t="s">
        <v>1131</v>
      </c>
      <c r="B138" s="33">
        <v>44767</v>
      </c>
      <c r="C138" s="32" t="s">
        <v>169</v>
      </c>
      <c r="D138" s="32" t="s">
        <v>4</v>
      </c>
      <c r="E138" s="32"/>
      <c r="F138" s="32" cm="1">
        <f t="array" aca="1" ref="F138" ca="1">IF(Table3[[#This Row],[Stage]]="Closed",0,IF(IFERROR(
  IF(
    COUNTIF(A$2:A$1997, A138) &gt; 1,
    MIN(IF(A$2:A$1997=A138, IF(B$2:B$1997&gt;B138, B$2:B$1997))) - B138,
    TODAY() - Table3[[#This Row],[Date of Update]]
  ),
  TODAY()-Table3[[#This Row],[Date of Update]]
)&lt;=0,
TODAY()-Table3[[#This Row],[Date of Update]],
IFERROR(
  IF(
    COUNTIF(A$2:A$1997, A138) &gt; 1,
    MIN(IF(A$2:A$1997=A138, IF(B$2:B$1997&gt;B138, B$2:B$1997))) - B138,
    TODAY() - Table3[[#This Row],[Date of Update]]
  ),
  TODAY()-Table3[[#This Row],[Date of Update]]
)))</f>
        <v>0</v>
      </c>
      <c r="G138" s="40">
        <f>IF(Table3[[#This Row],[Stage]]="Closed",Table3[[#This Row],[Date of Update]]-(_xlfn.MINIFS(Table3[Date of Update],Table3[Ref], Table3[[#This Row],[Ref]])),"")</f>
        <v>49</v>
      </c>
    </row>
    <row r="139" spans="1:7" x14ac:dyDescent="0.25">
      <c r="A139" s="39" t="s">
        <v>1398</v>
      </c>
      <c r="B139" s="33">
        <v>44769</v>
      </c>
      <c r="C139" s="32" t="s">
        <v>23</v>
      </c>
      <c r="D139" s="32" t="s">
        <v>4</v>
      </c>
      <c r="E139" s="32" t="s">
        <v>412</v>
      </c>
      <c r="F139" s="32" cm="1">
        <f t="array" aca="1" ref="F139" ca="1">IF(Table3[[#This Row],[Stage]]="Closed",0,IF(IFERROR(
  IF(
    COUNTIF(A$2:A$1997, A139) &gt; 1,
    MIN(IF(A$2:A$1997=A139, IF(B$2:B$1997&gt;B139, B$2:B$1997))) - B139,
    TODAY() - Table3[[#This Row],[Date of Update]]
  ),
  TODAY()-Table3[[#This Row],[Date of Update]]
)&lt;=0,
TODAY()-Table3[[#This Row],[Date of Update]],
IFERROR(
  IF(
    COUNTIF(A$2:A$1997, A139) &gt; 1,
    MIN(IF(A$2:A$1997=A139, IF(B$2:B$1997&gt;B139, B$2:B$1997))) - B139,
    TODAY() - Table3[[#This Row],[Date of Update]]
  ),
  TODAY()-Table3[[#This Row],[Date of Update]]
)))</f>
        <v>477</v>
      </c>
      <c r="G139" s="40" t="str">
        <f>IF(Table3[[#This Row],[Stage]]="Closed",Table3[[#This Row],[Date of Update]]-(_xlfn.MINIFS(Table3[Date of Update],Table3[Ref], Table3[[#This Row],[Ref]])),"")</f>
        <v/>
      </c>
    </row>
    <row r="140" spans="1:7" x14ac:dyDescent="0.25">
      <c r="A140" s="39" t="s">
        <v>1264</v>
      </c>
      <c r="B140" s="33">
        <v>44769</v>
      </c>
      <c r="C140" s="32" t="s">
        <v>23</v>
      </c>
      <c r="D140" s="32" t="s">
        <v>4</v>
      </c>
      <c r="E140" s="32" t="s">
        <v>639</v>
      </c>
      <c r="F140" s="32" cm="1">
        <f t="array" aca="1" ref="F140" ca="1">IF(Table3[[#This Row],[Stage]]="Closed",0,IF(IFERROR(
  IF(
    COUNTIF(A$2:A$1997, A140) &gt; 1,
    MIN(IF(A$2:A$1997=A140, IF(B$2:B$1997&gt;B140, B$2:B$1997))) - B140,
    TODAY() - Table3[[#This Row],[Date of Update]]
  ),
  TODAY()-Table3[[#This Row],[Date of Update]]
)&lt;=0,
TODAY()-Table3[[#This Row],[Date of Update]],
IFERROR(
  IF(
    COUNTIF(A$2:A$1997, A140) &gt; 1,
    MIN(IF(A$2:A$1997=A140, IF(B$2:B$1997&gt;B140, B$2:B$1997))) - B140,
    TODAY() - Table3[[#This Row],[Date of Update]]
  ),
  TODAY()-Table3[[#This Row],[Date of Update]]
)))</f>
        <v>224</v>
      </c>
      <c r="G140" s="40" t="str">
        <f>IF(Table3[[#This Row],[Stage]]="Closed",Table3[[#This Row],[Date of Update]]-(_xlfn.MINIFS(Table3[Date of Update],Table3[Ref], Table3[[#This Row],[Ref]])),"")</f>
        <v/>
      </c>
    </row>
    <row r="141" spans="1:7" x14ac:dyDescent="0.25">
      <c r="A141" s="39" t="s">
        <v>1132</v>
      </c>
      <c r="B141" s="33">
        <v>44769</v>
      </c>
      <c r="C141" s="32" t="s">
        <v>169</v>
      </c>
      <c r="D141" s="32" t="s">
        <v>4</v>
      </c>
      <c r="E141" s="32"/>
      <c r="F141" s="32" cm="1">
        <f t="array" aca="1" ref="F141" ca="1">IF(Table3[[#This Row],[Stage]]="Closed",0,IF(IFERROR(
  IF(
    COUNTIF(A$2:A$1997, A141) &gt; 1,
    MIN(IF(A$2:A$1997=A141, IF(B$2:B$1997&gt;B141, B$2:B$1997))) - B141,
    TODAY() - Table3[[#This Row],[Date of Update]]
  ),
  TODAY()-Table3[[#This Row],[Date of Update]]
)&lt;=0,
TODAY()-Table3[[#This Row],[Date of Update]],
IFERROR(
  IF(
    COUNTIF(A$2:A$1997, A141) &gt; 1,
    MIN(IF(A$2:A$1997=A141, IF(B$2:B$1997&gt;B141, B$2:B$1997))) - B141,
    TODAY() - Table3[[#This Row],[Date of Update]]
  ),
  TODAY()-Table3[[#This Row],[Date of Update]]
)))</f>
        <v>0</v>
      </c>
      <c r="G141" s="40">
        <f>IF(Table3[[#This Row],[Stage]]="Closed",Table3[[#This Row],[Date of Update]]-(_xlfn.MINIFS(Table3[Date of Update],Table3[Ref], Table3[[#This Row],[Ref]])),"")</f>
        <v>30</v>
      </c>
    </row>
    <row r="142" spans="1:7" x14ac:dyDescent="0.25">
      <c r="A142" s="39" t="s">
        <v>1516</v>
      </c>
      <c r="B142" s="33">
        <v>44769</v>
      </c>
      <c r="C142" s="32" t="s">
        <v>23</v>
      </c>
      <c r="D142" s="32" t="s">
        <v>4</v>
      </c>
      <c r="E142" s="32" t="s">
        <v>453</v>
      </c>
      <c r="F142" s="32" cm="1">
        <f t="array" aca="1" ref="F142" ca="1">IF(Table3[[#This Row],[Stage]]="Closed",0,IF(IFERROR(
  IF(
    COUNTIF(A$2:A$1997, A142) &gt; 1,
    MIN(IF(A$2:A$1997=A142, IF(B$2:B$1997&gt;B142, B$2:B$1997))) - B142,
    TODAY() - Table3[[#This Row],[Date of Update]]
  ),
  TODAY()-Table3[[#This Row],[Date of Update]]
)&lt;=0,
TODAY()-Table3[[#This Row],[Date of Update]],
IFERROR(
  IF(
    COUNTIF(A$2:A$1997, A142) &gt; 1,
    MIN(IF(A$2:A$1997=A142, IF(B$2:B$1997&gt;B142, B$2:B$1997))) - B142,
    TODAY() - Table3[[#This Row],[Date of Update]]
  ),
  TODAY()-Table3[[#This Row],[Date of Update]]
)))</f>
        <v>218</v>
      </c>
      <c r="G142" s="40" t="str">
        <f>IF(Table3[[#This Row],[Stage]]="Closed",Table3[[#This Row],[Date of Update]]-(_xlfn.MINIFS(Table3[Date of Update],Table3[Ref], Table3[[#This Row],[Ref]])),"")</f>
        <v/>
      </c>
    </row>
    <row r="143" spans="1:7" x14ac:dyDescent="0.25">
      <c r="A143" s="39" t="s">
        <v>1221</v>
      </c>
      <c r="B143" s="33">
        <v>44769</v>
      </c>
      <c r="C143" s="32" t="s">
        <v>23</v>
      </c>
      <c r="D143" s="32" t="s">
        <v>4</v>
      </c>
      <c r="E143" s="32" t="s">
        <v>528</v>
      </c>
      <c r="F143" s="32" cm="1">
        <f t="array" aca="1" ref="F143" ca="1">IF(Table3[[#This Row],[Stage]]="Closed",0,IF(IFERROR(
  IF(
    COUNTIF(A$2:A$1997, A143) &gt; 1,
    MIN(IF(A$2:A$1997=A143, IF(B$2:B$1997&gt;B143, B$2:B$1997))) - B143,
    TODAY() - Table3[[#This Row],[Date of Update]]
  ),
  TODAY()-Table3[[#This Row],[Date of Update]]
)&lt;=0,
TODAY()-Table3[[#This Row],[Date of Update]],
IFERROR(
  IF(
    COUNTIF(A$2:A$1997, A143) &gt; 1,
    MIN(IF(A$2:A$1997=A143, IF(B$2:B$1997&gt;B143, B$2:B$1997))) - B143,
    TODAY() - Table3[[#This Row],[Date of Update]]
  ),
  TODAY()-Table3[[#This Row],[Date of Update]]
)))</f>
        <v>184</v>
      </c>
      <c r="G143" s="40" t="str">
        <f>IF(Table3[[#This Row],[Stage]]="Closed",Table3[[#This Row],[Date of Update]]-(_xlfn.MINIFS(Table3[Date of Update],Table3[Ref], Table3[[#This Row],[Ref]])),"")</f>
        <v/>
      </c>
    </row>
    <row r="144" spans="1:7" x14ac:dyDescent="0.25">
      <c r="A144" s="39" t="s">
        <v>1160</v>
      </c>
      <c r="B144" s="33">
        <v>44769</v>
      </c>
      <c r="C144" s="32" t="s">
        <v>23</v>
      </c>
      <c r="D144" s="32" t="s">
        <v>4</v>
      </c>
      <c r="E144" s="32" t="s">
        <v>373</v>
      </c>
      <c r="F144" s="32" cm="1">
        <f t="array" aca="1" ref="F144" ca="1">IF(Table3[[#This Row],[Stage]]="Closed",0,IF(IFERROR(
  IF(
    COUNTIF(A$2:A$1997, A144) &gt; 1,
    MIN(IF(A$2:A$1997=A144, IF(B$2:B$1997&gt;B144, B$2:B$1997))) - B144,
    TODAY() - Table3[[#This Row],[Date of Update]]
  ),
  TODAY()-Table3[[#This Row],[Date of Update]]
)&lt;=0,
TODAY()-Table3[[#This Row],[Date of Update]],
IFERROR(
  IF(
    COUNTIF(A$2:A$1997, A144) &gt; 1,
    MIN(IF(A$2:A$1997=A144, IF(B$2:B$1997&gt;B144, B$2:B$1997))) - B144,
    TODAY() - Table3[[#This Row],[Date of Update]]
  ),
  TODAY()-Table3[[#This Row],[Date of Update]]
)))</f>
        <v>47</v>
      </c>
      <c r="G144" s="40" t="str">
        <f>IF(Table3[[#This Row],[Stage]]="Closed",Table3[[#This Row],[Date of Update]]-(_xlfn.MINIFS(Table3[Date of Update],Table3[Ref], Table3[[#This Row],[Ref]])),"")</f>
        <v/>
      </c>
    </row>
    <row r="145" spans="1:7" x14ac:dyDescent="0.25">
      <c r="A145" s="39" t="s">
        <v>1534</v>
      </c>
      <c r="B145" s="33">
        <v>44769</v>
      </c>
      <c r="C145" s="32" t="s">
        <v>23</v>
      </c>
      <c r="D145" s="32" t="s">
        <v>4</v>
      </c>
      <c r="E145" s="32" t="s">
        <v>453</v>
      </c>
      <c r="F145" s="32" cm="1">
        <f t="array" aca="1" ref="F145" ca="1">IF(Table3[[#This Row],[Stage]]="Closed",0,IF(IFERROR(
  IF(
    COUNTIF(A$2:A$1997, A145) &gt; 1,
    MIN(IF(A$2:A$1997=A145, IF(B$2:B$1997&gt;B145, B$2:B$1997))) - B145,
    TODAY() - Table3[[#This Row],[Date of Update]]
  ),
  TODAY()-Table3[[#This Row],[Date of Update]]
)&lt;=0,
TODAY()-Table3[[#This Row],[Date of Update]],
IFERROR(
  IF(
    COUNTIF(A$2:A$1997, A145) &gt; 1,
    MIN(IF(A$2:A$1997=A145, IF(B$2:B$1997&gt;B145, B$2:B$1997))) - B145,
    TODAY() - Table3[[#This Row],[Date of Update]]
  ),
  TODAY()-Table3[[#This Row],[Date of Update]]
)))</f>
        <v>225</v>
      </c>
      <c r="G145" s="40" t="str">
        <f>IF(Table3[[#This Row],[Stage]]="Closed",Table3[[#This Row],[Date of Update]]-(_xlfn.MINIFS(Table3[Date of Update],Table3[Ref], Table3[[#This Row],[Ref]])),"")</f>
        <v/>
      </c>
    </row>
    <row r="146" spans="1:7" x14ac:dyDescent="0.25">
      <c r="A146" s="39" t="s">
        <v>1163</v>
      </c>
      <c r="B146" s="33">
        <v>44769</v>
      </c>
      <c r="C146" s="32" t="s">
        <v>23</v>
      </c>
      <c r="D146" s="32" t="s">
        <v>4</v>
      </c>
      <c r="E146" s="32"/>
      <c r="F146" s="32" cm="1">
        <f t="array" aca="1" ref="F146" ca="1">IF(Table3[[#This Row],[Stage]]="Closed",0,IF(IFERROR(
  IF(
    COUNTIF(A$2:A$1997, A146) &gt; 1,
    MIN(IF(A$2:A$1997=A146, IF(B$2:B$1997&gt;B146, B$2:B$1997))) - B146,
    TODAY() - Table3[[#This Row],[Date of Update]]
  ),
  TODAY()-Table3[[#This Row],[Date of Update]]
)&lt;=0,
TODAY()-Table3[[#This Row],[Date of Update]],
IFERROR(
  IF(
    COUNTIF(A$2:A$1997, A146) &gt; 1,
    MIN(IF(A$2:A$1997=A146, IF(B$2:B$1997&gt;B146, B$2:B$1997))) - B146,
    TODAY() - Table3[[#This Row],[Date of Update]]
  ),
  TODAY()-Table3[[#This Row],[Date of Update]]
)))</f>
        <v>49</v>
      </c>
      <c r="G146" s="40" t="str">
        <f>IF(Table3[[#This Row],[Stage]]="Closed",Table3[[#This Row],[Date of Update]]-(_xlfn.MINIFS(Table3[Date of Update],Table3[Ref], Table3[[#This Row],[Ref]])),"")</f>
        <v/>
      </c>
    </row>
    <row r="147" spans="1:7" x14ac:dyDescent="0.25">
      <c r="A147" s="39" t="s">
        <v>1136</v>
      </c>
      <c r="B147" s="33">
        <v>44770</v>
      </c>
      <c r="C147" s="32" t="s">
        <v>23</v>
      </c>
      <c r="D147" s="32" t="s">
        <v>4</v>
      </c>
      <c r="E147" s="32" t="s">
        <v>255</v>
      </c>
      <c r="F147" s="32" cm="1">
        <f t="array" aca="1" ref="F147" ca="1">IF(Table3[[#This Row],[Stage]]="Closed",0,IF(IFERROR(
  IF(
    COUNTIF(A$2:A$1997, A147) &gt; 1,
    MIN(IF(A$2:A$1997=A147, IF(B$2:B$1997&gt;B147, B$2:B$1997))) - B147,
    TODAY() - Table3[[#This Row],[Date of Update]]
  ),
  TODAY()-Table3[[#This Row],[Date of Update]]
)&lt;=0,
TODAY()-Table3[[#This Row],[Date of Update]],
IFERROR(
  IF(
    COUNTIF(A$2:A$1997, A147) &gt; 1,
    MIN(IF(A$2:A$1997=A147, IF(B$2:B$1997&gt;B147, B$2:B$1997))) - B147,
    TODAY() - Table3[[#This Row],[Date of Update]]
  ),
  TODAY()-Table3[[#This Row],[Date of Update]]
)))</f>
        <v>30</v>
      </c>
      <c r="G147" s="40" t="str">
        <f>IF(Table3[[#This Row],[Stage]]="Closed",Table3[[#This Row],[Date of Update]]-(_xlfn.MINIFS(Table3[Date of Update],Table3[Ref], Table3[[#This Row],[Ref]])),"")</f>
        <v/>
      </c>
    </row>
    <row r="148" spans="1:7" x14ac:dyDescent="0.25">
      <c r="A148" s="39" t="s">
        <v>1502</v>
      </c>
      <c r="B148" s="33">
        <v>44770</v>
      </c>
      <c r="C148" s="32" t="s">
        <v>23</v>
      </c>
      <c r="D148" s="32" t="s">
        <v>4</v>
      </c>
      <c r="E148" s="32" t="s">
        <v>255</v>
      </c>
      <c r="F148" s="32" cm="1">
        <f t="array" aca="1" ref="F148" ca="1">IF(Table3[[#This Row],[Stage]]="Closed",0,IF(IFERROR(
  IF(
    COUNTIF(A$2:A$1997, A148) &gt; 1,
    MIN(IF(A$2:A$1997=A148, IF(B$2:B$1997&gt;B148, B$2:B$1997))) - B148,
    TODAY() - Table3[[#This Row],[Date of Update]]
  ),
  TODAY()-Table3[[#This Row],[Date of Update]]
)&lt;=0,
TODAY()-Table3[[#This Row],[Date of Update]],
IFERROR(
  IF(
    COUNTIF(A$2:A$1997, A148) &gt; 1,
    MIN(IF(A$2:A$1997=A148, IF(B$2:B$1997&gt;B148, B$2:B$1997))) - B148,
    TODAY() - Table3[[#This Row],[Date of Update]]
  ),
  TODAY()-Table3[[#This Row],[Date of Update]]
)))</f>
        <v>30</v>
      </c>
      <c r="G148" s="40" t="str">
        <f>IF(Table3[[#This Row],[Stage]]="Closed",Table3[[#This Row],[Date of Update]]-(_xlfn.MINIFS(Table3[Date of Update],Table3[Ref], Table3[[#This Row],[Ref]])),"")</f>
        <v/>
      </c>
    </row>
    <row r="149" spans="1:7" x14ac:dyDescent="0.25">
      <c r="A149" s="39" t="s">
        <v>1137</v>
      </c>
      <c r="B149" s="33">
        <v>44770</v>
      </c>
      <c r="C149" s="32" t="s">
        <v>23</v>
      </c>
      <c r="D149" s="32" t="s">
        <v>4</v>
      </c>
      <c r="E149" s="32" t="s">
        <v>255</v>
      </c>
      <c r="F149" s="32" cm="1">
        <f t="array" aca="1" ref="F149" ca="1">IF(Table3[[#This Row],[Stage]]="Closed",0,IF(IFERROR(
  IF(
    COUNTIF(A$2:A$1997, A149) &gt; 1,
    MIN(IF(A$2:A$1997=A149, IF(B$2:B$1997&gt;B149, B$2:B$1997))) - B149,
    TODAY() - Table3[[#This Row],[Date of Update]]
  ),
  TODAY()-Table3[[#This Row],[Date of Update]]
)&lt;=0,
TODAY()-Table3[[#This Row],[Date of Update]],
IFERROR(
  IF(
    COUNTIF(A$2:A$1997, A149) &gt; 1,
    MIN(IF(A$2:A$1997=A149, IF(B$2:B$1997&gt;B149, B$2:B$1997))) - B149,
    TODAY() - Table3[[#This Row],[Date of Update]]
  ),
  TODAY()-Table3[[#This Row],[Date of Update]]
)))</f>
        <v>30</v>
      </c>
      <c r="G149" s="40" t="str">
        <f>IF(Table3[[#This Row],[Stage]]="Closed",Table3[[#This Row],[Date of Update]]-(_xlfn.MINIFS(Table3[Date of Update],Table3[Ref], Table3[[#This Row],[Ref]])),"")</f>
        <v/>
      </c>
    </row>
    <row r="150" spans="1:7" x14ac:dyDescent="0.25">
      <c r="A150" s="39" t="s">
        <v>1503</v>
      </c>
      <c r="B150" s="33">
        <v>44770</v>
      </c>
      <c r="C150" s="32" t="s">
        <v>23</v>
      </c>
      <c r="D150" s="32" t="s">
        <v>4</v>
      </c>
      <c r="E150" s="32" t="s">
        <v>255</v>
      </c>
      <c r="F150" s="32" cm="1">
        <f t="array" aca="1" ref="F150" ca="1">IF(Table3[[#This Row],[Stage]]="Closed",0,IF(IFERROR(
  IF(
    COUNTIF(A$2:A$1997, A150) &gt; 1,
    MIN(IF(A$2:A$1997=A150, IF(B$2:B$1997&gt;B150, B$2:B$1997))) - B150,
    TODAY() - Table3[[#This Row],[Date of Update]]
  ),
  TODAY()-Table3[[#This Row],[Date of Update]]
)&lt;=0,
TODAY()-Table3[[#This Row],[Date of Update]],
IFERROR(
  IF(
    COUNTIF(A$2:A$1997, A150) &gt; 1,
    MIN(IF(A$2:A$1997=A150, IF(B$2:B$1997&gt;B150, B$2:B$1997))) - B150,
    TODAY() - Table3[[#This Row],[Date of Update]]
  ),
  TODAY()-Table3[[#This Row],[Date of Update]]
)))</f>
        <v>30</v>
      </c>
      <c r="G150" s="40" t="str">
        <f>IF(Table3[[#This Row],[Stage]]="Closed",Table3[[#This Row],[Date of Update]]-(_xlfn.MINIFS(Table3[Date of Update],Table3[Ref], Table3[[#This Row],[Ref]])),"")</f>
        <v/>
      </c>
    </row>
    <row r="151" spans="1:7" x14ac:dyDescent="0.25">
      <c r="A151" s="39" t="s">
        <v>1138</v>
      </c>
      <c r="B151" s="33">
        <v>44770</v>
      </c>
      <c r="C151" s="32" t="s">
        <v>23</v>
      </c>
      <c r="D151" s="32" t="s">
        <v>4</v>
      </c>
      <c r="E151" s="32" t="s">
        <v>255</v>
      </c>
      <c r="F151" s="32" cm="1">
        <f t="array" aca="1" ref="F151" ca="1">IF(Table3[[#This Row],[Stage]]="Closed",0,IF(IFERROR(
  IF(
    COUNTIF(A$2:A$1997, A151) &gt; 1,
    MIN(IF(A$2:A$1997=A151, IF(B$2:B$1997&gt;B151, B$2:B$1997))) - B151,
    TODAY() - Table3[[#This Row],[Date of Update]]
  ),
  TODAY()-Table3[[#This Row],[Date of Update]]
)&lt;=0,
TODAY()-Table3[[#This Row],[Date of Update]],
IFERROR(
  IF(
    COUNTIF(A$2:A$1997, A151) &gt; 1,
    MIN(IF(A$2:A$1997=A151, IF(B$2:B$1997&gt;B151, B$2:B$1997))) - B151,
    TODAY() - Table3[[#This Row],[Date of Update]]
  ),
  TODAY()-Table3[[#This Row],[Date of Update]]
)))</f>
        <v>30</v>
      </c>
      <c r="G151" s="40" t="str">
        <f>IF(Table3[[#This Row],[Stage]]="Closed",Table3[[#This Row],[Date of Update]]-(_xlfn.MINIFS(Table3[Date of Update],Table3[Ref], Table3[[#This Row],[Ref]])),"")</f>
        <v/>
      </c>
    </row>
    <row r="152" spans="1:7" x14ac:dyDescent="0.25">
      <c r="A152" s="39" t="s">
        <v>1139</v>
      </c>
      <c r="B152" s="33">
        <v>44770</v>
      </c>
      <c r="C152" s="32" t="s">
        <v>23</v>
      </c>
      <c r="D152" s="32" t="s">
        <v>4</v>
      </c>
      <c r="E152" s="32" t="s">
        <v>255</v>
      </c>
      <c r="F152" s="32" cm="1">
        <f t="array" aca="1" ref="F152" ca="1">IF(Table3[[#This Row],[Stage]]="Closed",0,IF(IFERROR(
  IF(
    COUNTIF(A$2:A$1997, A152) &gt; 1,
    MIN(IF(A$2:A$1997=A152, IF(B$2:B$1997&gt;B152, B$2:B$1997))) - B152,
    TODAY() - Table3[[#This Row],[Date of Update]]
  ),
  TODAY()-Table3[[#This Row],[Date of Update]]
)&lt;=0,
TODAY()-Table3[[#This Row],[Date of Update]],
IFERROR(
  IF(
    COUNTIF(A$2:A$1997, A152) &gt; 1,
    MIN(IF(A$2:A$1997=A152, IF(B$2:B$1997&gt;B152, B$2:B$1997))) - B152,
    TODAY() - Table3[[#This Row],[Date of Update]]
  ),
  TODAY()-Table3[[#This Row],[Date of Update]]
)))</f>
        <v>30</v>
      </c>
      <c r="G152" s="40" t="str">
        <f>IF(Table3[[#This Row],[Stage]]="Closed",Table3[[#This Row],[Date of Update]]-(_xlfn.MINIFS(Table3[Date of Update],Table3[Ref], Table3[[#This Row],[Ref]])),"")</f>
        <v/>
      </c>
    </row>
    <row r="153" spans="1:7" x14ac:dyDescent="0.25">
      <c r="A153" s="39" t="s">
        <v>1140</v>
      </c>
      <c r="B153" s="33">
        <v>44774</v>
      </c>
      <c r="C153" s="32" t="s">
        <v>23</v>
      </c>
      <c r="D153" s="32" t="s">
        <v>4</v>
      </c>
      <c r="E153" s="32" t="s">
        <v>255</v>
      </c>
      <c r="F153" s="32" cm="1">
        <f t="array" aca="1" ref="F153" ca="1">IF(Table3[[#This Row],[Stage]]="Closed",0,IF(IFERROR(
  IF(
    COUNTIF(A$2:A$1997, A153) &gt; 1,
    MIN(IF(A$2:A$1997=A153, IF(B$2:B$1997&gt;B153, B$2:B$1997))) - B153,
    TODAY() - Table3[[#This Row],[Date of Update]]
  ),
  TODAY()-Table3[[#This Row],[Date of Update]]
)&lt;=0,
TODAY()-Table3[[#This Row],[Date of Update]],
IFERROR(
  IF(
    COUNTIF(A$2:A$1997, A153) &gt; 1,
    MIN(IF(A$2:A$1997=A153, IF(B$2:B$1997&gt;B153, B$2:B$1997))) - B153,
    TODAY() - Table3[[#This Row],[Date of Update]]
  ),
  TODAY()-Table3[[#This Row],[Date of Update]]
)))</f>
        <v>30</v>
      </c>
      <c r="G153" s="40" t="str">
        <f>IF(Table3[[#This Row],[Stage]]="Closed",Table3[[#This Row],[Date of Update]]-(_xlfn.MINIFS(Table3[Date of Update],Table3[Ref], Table3[[#This Row],[Ref]])),"")</f>
        <v/>
      </c>
    </row>
    <row r="154" spans="1:7" x14ac:dyDescent="0.25">
      <c r="A154" s="39" t="s">
        <v>1141</v>
      </c>
      <c r="B154" s="33">
        <v>44774</v>
      </c>
      <c r="C154" s="32" t="s">
        <v>23</v>
      </c>
      <c r="D154" s="32" t="s">
        <v>4</v>
      </c>
      <c r="E154" s="32" t="s">
        <v>255</v>
      </c>
      <c r="F154" s="32" cm="1">
        <f t="array" aca="1" ref="F154" ca="1">IF(Table3[[#This Row],[Stage]]="Closed",0,IF(IFERROR(
  IF(
    COUNTIF(A$2:A$1997, A154) &gt; 1,
    MIN(IF(A$2:A$1997=A154, IF(B$2:B$1997&gt;B154, B$2:B$1997))) - B154,
    TODAY() - Table3[[#This Row],[Date of Update]]
  ),
  TODAY()-Table3[[#This Row],[Date of Update]]
)&lt;=0,
TODAY()-Table3[[#This Row],[Date of Update]],
IFERROR(
  IF(
    COUNTIF(A$2:A$1997, A154) &gt; 1,
    MIN(IF(A$2:A$1997=A154, IF(B$2:B$1997&gt;B154, B$2:B$1997))) - B154,
    TODAY() - Table3[[#This Row],[Date of Update]]
  ),
  TODAY()-Table3[[#This Row],[Date of Update]]
)))</f>
        <v>30</v>
      </c>
      <c r="G154" s="40" t="str">
        <f>IF(Table3[[#This Row],[Stage]]="Closed",Table3[[#This Row],[Date of Update]]-(_xlfn.MINIFS(Table3[Date of Update],Table3[Ref], Table3[[#This Row],[Ref]])),"")</f>
        <v/>
      </c>
    </row>
    <row r="155" spans="1:7" x14ac:dyDescent="0.25">
      <c r="A155" s="39" t="s">
        <v>1142</v>
      </c>
      <c r="B155" s="33">
        <v>44774</v>
      </c>
      <c r="C155" s="32" t="s">
        <v>23</v>
      </c>
      <c r="D155" s="32" t="s">
        <v>4</v>
      </c>
      <c r="E155" s="32" t="s">
        <v>255</v>
      </c>
      <c r="F155" s="32" cm="1">
        <f t="array" aca="1" ref="F155" ca="1">IF(Table3[[#This Row],[Stage]]="Closed",0,IF(IFERROR(
  IF(
    COUNTIF(A$2:A$1997, A155) &gt; 1,
    MIN(IF(A$2:A$1997=A155, IF(B$2:B$1997&gt;B155, B$2:B$1997))) - B155,
    TODAY() - Table3[[#This Row],[Date of Update]]
  ),
  TODAY()-Table3[[#This Row],[Date of Update]]
)&lt;=0,
TODAY()-Table3[[#This Row],[Date of Update]],
IFERROR(
  IF(
    COUNTIF(A$2:A$1997, A155) &gt; 1,
    MIN(IF(A$2:A$1997=A155, IF(B$2:B$1997&gt;B155, B$2:B$1997))) - B155,
    TODAY() - Table3[[#This Row],[Date of Update]]
  ),
  TODAY()-Table3[[#This Row],[Date of Update]]
)))</f>
        <v>30</v>
      </c>
      <c r="G155" s="40" t="str">
        <f>IF(Table3[[#This Row],[Stage]]="Closed",Table3[[#This Row],[Date of Update]]-(_xlfn.MINIFS(Table3[Date of Update],Table3[Ref], Table3[[#This Row],[Ref]])),"")</f>
        <v/>
      </c>
    </row>
    <row r="156" spans="1:7" x14ac:dyDescent="0.25">
      <c r="A156" s="39" t="s">
        <v>1143</v>
      </c>
      <c r="B156" s="33">
        <v>44774</v>
      </c>
      <c r="C156" s="32" t="s">
        <v>23</v>
      </c>
      <c r="D156" s="32" t="s">
        <v>4</v>
      </c>
      <c r="E156" s="32" t="s">
        <v>255</v>
      </c>
      <c r="F156" s="32" cm="1">
        <f t="array" aca="1" ref="F156" ca="1">IF(Table3[[#This Row],[Stage]]="Closed",0,IF(IFERROR(
  IF(
    COUNTIF(A$2:A$1997, A156) &gt; 1,
    MIN(IF(A$2:A$1997=A156, IF(B$2:B$1997&gt;B156, B$2:B$1997))) - B156,
    TODAY() - Table3[[#This Row],[Date of Update]]
  ),
  TODAY()-Table3[[#This Row],[Date of Update]]
)&lt;=0,
TODAY()-Table3[[#This Row],[Date of Update]],
IFERROR(
  IF(
    COUNTIF(A$2:A$1997, A156) &gt; 1,
    MIN(IF(A$2:A$1997=A156, IF(B$2:B$1997&gt;B156, B$2:B$1997))) - B156,
    TODAY() - Table3[[#This Row],[Date of Update]]
  ),
  TODAY()-Table3[[#This Row],[Date of Update]]
)))</f>
        <v>30</v>
      </c>
      <c r="G156" s="40" t="str">
        <f>IF(Table3[[#This Row],[Stage]]="Closed",Table3[[#This Row],[Date of Update]]-(_xlfn.MINIFS(Table3[Date of Update],Table3[Ref], Table3[[#This Row],[Ref]])),"")</f>
        <v/>
      </c>
    </row>
    <row r="157" spans="1:7" x14ac:dyDescent="0.25">
      <c r="A157" s="39" t="s">
        <v>1144</v>
      </c>
      <c r="B157" s="33">
        <v>44774</v>
      </c>
      <c r="C157" s="32" t="s">
        <v>23</v>
      </c>
      <c r="D157" s="32" t="s">
        <v>4</v>
      </c>
      <c r="E157" s="32" t="s">
        <v>255</v>
      </c>
      <c r="F157" s="32" cm="1">
        <f t="array" aca="1" ref="F157" ca="1">IF(Table3[[#This Row],[Stage]]="Closed",0,IF(IFERROR(
  IF(
    COUNTIF(A$2:A$1997, A157) &gt; 1,
    MIN(IF(A$2:A$1997=A157, IF(B$2:B$1997&gt;B157, B$2:B$1997))) - B157,
    TODAY() - Table3[[#This Row],[Date of Update]]
  ),
  TODAY()-Table3[[#This Row],[Date of Update]]
)&lt;=0,
TODAY()-Table3[[#This Row],[Date of Update]],
IFERROR(
  IF(
    COUNTIF(A$2:A$1997, A157) &gt; 1,
    MIN(IF(A$2:A$1997=A157, IF(B$2:B$1997&gt;B157, B$2:B$1997))) - B157,
    TODAY() - Table3[[#This Row],[Date of Update]]
  ),
  TODAY()-Table3[[#This Row],[Date of Update]]
)))</f>
        <v>30</v>
      </c>
      <c r="G157" s="40" t="str">
        <f>IF(Table3[[#This Row],[Stage]]="Closed",Table3[[#This Row],[Date of Update]]-(_xlfn.MINIFS(Table3[Date of Update],Table3[Ref], Table3[[#This Row],[Ref]])),"")</f>
        <v/>
      </c>
    </row>
    <row r="158" spans="1:7" x14ac:dyDescent="0.25">
      <c r="A158" s="39" t="s">
        <v>1145</v>
      </c>
      <c r="B158" s="33">
        <v>44775</v>
      </c>
      <c r="C158" s="32" t="s">
        <v>23</v>
      </c>
      <c r="D158" s="32" t="s">
        <v>4</v>
      </c>
      <c r="E158" s="32" t="s">
        <v>255</v>
      </c>
      <c r="F158" s="32" cm="1">
        <f t="array" aca="1" ref="F158" ca="1">IF(Table3[[#This Row],[Stage]]="Closed",0,IF(IFERROR(
  IF(
    COUNTIF(A$2:A$1997, A158) &gt; 1,
    MIN(IF(A$2:A$1997=A158, IF(B$2:B$1997&gt;B158, B$2:B$1997))) - B158,
    TODAY() - Table3[[#This Row],[Date of Update]]
  ),
  TODAY()-Table3[[#This Row],[Date of Update]]
)&lt;=0,
TODAY()-Table3[[#This Row],[Date of Update]],
IFERROR(
  IF(
    COUNTIF(A$2:A$1997, A158) &gt; 1,
    MIN(IF(A$2:A$1997=A158, IF(B$2:B$1997&gt;B158, B$2:B$1997))) - B158,
    TODAY() - Table3[[#This Row],[Date of Update]]
  ),
  TODAY()-Table3[[#This Row],[Date of Update]]
)))</f>
        <v>30</v>
      </c>
      <c r="G158" s="40" t="str">
        <f>IF(Table3[[#This Row],[Stage]]="Closed",Table3[[#This Row],[Date of Update]]-(_xlfn.MINIFS(Table3[Date of Update],Table3[Ref], Table3[[#This Row],[Ref]])),"")</f>
        <v/>
      </c>
    </row>
    <row r="159" spans="1:7" x14ac:dyDescent="0.25">
      <c r="A159" s="39" t="s">
        <v>1147</v>
      </c>
      <c r="B159" s="33">
        <v>44776</v>
      </c>
      <c r="C159" s="32" t="s">
        <v>23</v>
      </c>
      <c r="D159" s="32" t="s">
        <v>4</v>
      </c>
      <c r="E159" s="32" t="s">
        <v>255</v>
      </c>
      <c r="F159" s="32" cm="1">
        <f t="array" aca="1" ref="F159" ca="1">IF(Table3[[#This Row],[Stage]]="Closed",0,IF(IFERROR(
  IF(
    COUNTIF(A$2:A$1997, A159) &gt; 1,
    MIN(IF(A$2:A$1997=A159, IF(B$2:B$1997&gt;B159, B$2:B$1997))) - B159,
    TODAY() - Table3[[#This Row],[Date of Update]]
  ),
  TODAY()-Table3[[#This Row],[Date of Update]]
)&lt;=0,
TODAY()-Table3[[#This Row],[Date of Update]],
IFERROR(
  IF(
    COUNTIF(A$2:A$1997, A159) &gt; 1,
    MIN(IF(A$2:A$1997=A159, IF(B$2:B$1997&gt;B159, B$2:B$1997))) - B159,
    TODAY() - Table3[[#This Row],[Date of Update]]
  ),
  TODAY()-Table3[[#This Row],[Date of Update]]
)))</f>
        <v>30</v>
      </c>
      <c r="G159" s="40" t="str">
        <f>IF(Table3[[#This Row],[Stage]]="Closed",Table3[[#This Row],[Date of Update]]-(_xlfn.MINIFS(Table3[Date of Update],Table3[Ref], Table3[[#This Row],[Ref]])),"")</f>
        <v/>
      </c>
    </row>
    <row r="160" spans="1:7" x14ac:dyDescent="0.25">
      <c r="A160" s="39" t="s">
        <v>1135</v>
      </c>
      <c r="B160" s="33">
        <v>44776</v>
      </c>
      <c r="C160" s="32" t="s">
        <v>23</v>
      </c>
      <c r="D160" s="32" t="s">
        <v>4</v>
      </c>
      <c r="E160" s="32"/>
      <c r="F160" s="32" cm="1">
        <f t="array" aca="1" ref="F160" ca="1">IF(Table3[[#This Row],[Stage]]="Closed",0,IF(IFERROR(
  IF(
    COUNTIF(A$2:A$1997, A160) &gt; 1,
    MIN(IF(A$2:A$1997=A160, IF(B$2:B$1997&gt;B160, B$2:B$1997))) - B160,
    TODAY() - Table3[[#This Row],[Date of Update]]
  ),
  TODAY()-Table3[[#This Row],[Date of Update]]
)&lt;=0,
TODAY()-Table3[[#This Row],[Date of Update]],
IFERROR(
  IF(
    COUNTIF(A$2:A$1997, A160) &gt; 1,
    MIN(IF(A$2:A$1997=A160, IF(B$2:B$1997&gt;B160, B$2:B$1997))) - B160,
    TODAY() - Table3[[#This Row],[Date of Update]]
  ),
  TODAY()-Table3[[#This Row],[Date of Update]]
)))</f>
        <v>22</v>
      </c>
      <c r="G160" s="40" t="str">
        <f>IF(Table3[[#This Row],[Stage]]="Closed",Table3[[#This Row],[Date of Update]]-(_xlfn.MINIFS(Table3[Date of Update],Table3[Ref], Table3[[#This Row],[Ref]])),"")</f>
        <v/>
      </c>
    </row>
    <row r="161" spans="1:7" x14ac:dyDescent="0.25">
      <c r="A161" s="39" t="s">
        <v>1529</v>
      </c>
      <c r="B161" s="33">
        <v>44776</v>
      </c>
      <c r="C161" s="32" t="s">
        <v>23</v>
      </c>
      <c r="D161" s="32" t="s">
        <v>4</v>
      </c>
      <c r="E161" s="32" t="s">
        <v>255</v>
      </c>
      <c r="F161" s="32" cm="1">
        <f t="array" aca="1" ref="F161" ca="1">IF(Table3[[#This Row],[Stage]]="Closed",0,IF(IFERROR(
  IF(
    COUNTIF(A$2:A$1997, A161) &gt; 1,
    MIN(IF(A$2:A$1997=A161, IF(B$2:B$1997&gt;B161, B$2:B$1997))) - B161,
    TODAY() - Table3[[#This Row],[Date of Update]]
  ),
  TODAY()-Table3[[#This Row],[Date of Update]]
)&lt;=0,
TODAY()-Table3[[#This Row],[Date of Update]],
IFERROR(
  IF(
    COUNTIF(A$2:A$1997, A161) &gt; 1,
    MIN(IF(A$2:A$1997=A161, IF(B$2:B$1997&gt;B161, B$2:B$1997))) - B161,
    TODAY() - Table3[[#This Row],[Date of Update]]
  ),
  TODAY()-Table3[[#This Row],[Date of Update]]
)))</f>
        <v>30</v>
      </c>
      <c r="G161" s="40" t="str">
        <f>IF(Table3[[#This Row],[Stage]]="Closed",Table3[[#This Row],[Date of Update]]-(_xlfn.MINIFS(Table3[Date of Update],Table3[Ref], Table3[[#This Row],[Ref]])),"")</f>
        <v/>
      </c>
    </row>
    <row r="162" spans="1:7" x14ac:dyDescent="0.25">
      <c r="A162" s="39" t="s">
        <v>1166</v>
      </c>
      <c r="B162" s="33">
        <v>44777</v>
      </c>
      <c r="C162" s="32" t="s">
        <v>23</v>
      </c>
      <c r="D162" s="32" t="s">
        <v>4</v>
      </c>
      <c r="E162" s="32"/>
      <c r="F162" s="32" cm="1">
        <f t="array" aca="1" ref="F162" ca="1">IF(Table3[[#This Row],[Stage]]="Closed",0,IF(IFERROR(
  IF(
    COUNTIF(A$2:A$1997, A162) &gt; 1,
    MIN(IF(A$2:A$1997=A162, IF(B$2:B$1997&gt;B162, B$2:B$1997))) - B162,
    TODAY() - Table3[[#This Row],[Date of Update]]
  ),
  TODAY()-Table3[[#This Row],[Date of Update]]
)&lt;=0,
TODAY()-Table3[[#This Row],[Date of Update]],
IFERROR(
  IF(
    COUNTIF(A$2:A$1997, A162) &gt; 1,
    MIN(IF(A$2:A$1997=A162, IF(B$2:B$1997&gt;B162, B$2:B$1997))) - B162,
    TODAY() - Table3[[#This Row],[Date of Update]]
  ),
  TODAY()-Table3[[#This Row],[Date of Update]]
)))</f>
        <v>68</v>
      </c>
      <c r="G162" s="40" t="str">
        <f>IF(Table3[[#This Row],[Stage]]="Closed",Table3[[#This Row],[Date of Update]]-(_xlfn.MINIFS(Table3[Date of Update],Table3[Ref], Table3[[#This Row],[Ref]])),"")</f>
        <v/>
      </c>
    </row>
    <row r="163" spans="1:7" x14ac:dyDescent="0.25">
      <c r="A163" s="39" t="s">
        <v>1148</v>
      </c>
      <c r="B163" s="33">
        <v>44777</v>
      </c>
      <c r="C163" s="32" t="s">
        <v>23</v>
      </c>
      <c r="D163" s="32" t="s">
        <v>4</v>
      </c>
      <c r="E163" s="32" t="s">
        <v>255</v>
      </c>
      <c r="F163" s="32" cm="1">
        <f t="array" aca="1" ref="F163" ca="1">IF(Table3[[#This Row],[Stage]]="Closed",0,IF(IFERROR(
  IF(
    COUNTIF(A$2:A$1997, A163) &gt; 1,
    MIN(IF(A$2:A$1997=A163, IF(B$2:B$1997&gt;B163, B$2:B$1997))) - B163,
    TODAY() - Table3[[#This Row],[Date of Update]]
  ),
  TODAY()-Table3[[#This Row],[Date of Update]]
)&lt;=0,
TODAY()-Table3[[#This Row],[Date of Update]],
IFERROR(
  IF(
    COUNTIF(A$2:A$1997, A163) &gt; 1,
    MIN(IF(A$2:A$1997=A163, IF(B$2:B$1997&gt;B163, B$2:B$1997))) - B163,
    TODAY() - Table3[[#This Row],[Date of Update]]
  ),
  TODAY()-Table3[[#This Row],[Date of Update]]
)))</f>
        <v>30</v>
      </c>
      <c r="G163" s="40" t="str">
        <f>IF(Table3[[#This Row],[Stage]]="Closed",Table3[[#This Row],[Date of Update]]-(_xlfn.MINIFS(Table3[Date of Update],Table3[Ref], Table3[[#This Row],[Ref]])),"")</f>
        <v/>
      </c>
    </row>
    <row r="164" spans="1:7" x14ac:dyDescent="0.25">
      <c r="A164" s="39" t="s">
        <v>1298</v>
      </c>
      <c r="B164" s="33">
        <v>44781</v>
      </c>
      <c r="C164" s="32" t="s">
        <v>23</v>
      </c>
      <c r="D164" s="32" t="s">
        <v>4</v>
      </c>
      <c r="E164" s="32" t="s">
        <v>453</v>
      </c>
      <c r="F164" s="32" cm="1">
        <f t="array" aca="1" ref="F164" ca="1">IF(Table3[[#This Row],[Stage]]="Closed",0,IF(IFERROR(
  IF(
    COUNTIF(A$2:A$1997, A164) &gt; 1,
    MIN(IF(A$2:A$1997=A164, IF(B$2:B$1997&gt;B164, B$2:B$1997))) - B164,
    TODAY() - Table3[[#This Row],[Date of Update]]
  ),
  TODAY()-Table3[[#This Row],[Date of Update]]
)&lt;=0,
TODAY()-Table3[[#This Row],[Date of Update]],
IFERROR(
  IF(
    COUNTIF(A$2:A$1997, A164) &gt; 1,
    MIN(IF(A$2:A$1997=A164, IF(B$2:B$1997&gt;B164, B$2:B$1997))) - B164,
    TODAY() - Table3[[#This Row],[Date of Update]]
  ),
  TODAY()-Table3[[#This Row],[Date of Update]]
)))</f>
        <v>267</v>
      </c>
      <c r="G164" s="40" t="str">
        <f>IF(Table3[[#This Row],[Stage]]="Closed",Table3[[#This Row],[Date of Update]]-(_xlfn.MINIFS(Table3[Date of Update],Table3[Ref], Table3[[#This Row],[Ref]])),"")</f>
        <v/>
      </c>
    </row>
    <row r="165" spans="1:7" x14ac:dyDescent="0.25">
      <c r="A165" s="39" t="s">
        <v>1182</v>
      </c>
      <c r="B165" s="33">
        <v>44782</v>
      </c>
      <c r="C165" s="32" t="s">
        <v>23</v>
      </c>
      <c r="D165" s="32" t="s">
        <v>4</v>
      </c>
      <c r="E165" s="32" t="s">
        <v>432</v>
      </c>
      <c r="F165" s="32" cm="1">
        <f t="array" aca="1" ref="F165" ca="1">IF(Table3[[#This Row],[Stage]]="Closed",0,IF(IFERROR(
  IF(
    COUNTIF(A$2:A$1997, A165) &gt; 1,
    MIN(IF(A$2:A$1997=A165, IF(B$2:B$1997&gt;B165, B$2:B$1997))) - B165,
    TODAY() - Table3[[#This Row],[Date of Update]]
  ),
  TODAY()-Table3[[#This Row],[Date of Update]]
)&lt;=0,
TODAY()-Table3[[#This Row],[Date of Update]],
IFERROR(
  IF(
    COUNTIF(A$2:A$1997, A165) &gt; 1,
    MIN(IF(A$2:A$1997=A165, IF(B$2:B$1997&gt;B165, B$2:B$1997))) - B165,
    TODAY() - Table3[[#This Row],[Date of Update]]
  ),
  TODAY()-Table3[[#This Row],[Date of Update]]
)))</f>
        <v>132</v>
      </c>
      <c r="G165" s="40" t="str">
        <f>IF(Table3[[#This Row],[Stage]]="Closed",Table3[[#This Row],[Date of Update]]-(_xlfn.MINIFS(Table3[Date of Update],Table3[Ref], Table3[[#This Row],[Ref]])),"")</f>
        <v/>
      </c>
    </row>
    <row r="166" spans="1:7" x14ac:dyDescent="0.25">
      <c r="A166" s="39" t="s">
        <v>1181</v>
      </c>
      <c r="B166" s="33">
        <v>44782</v>
      </c>
      <c r="C166" s="32" t="s">
        <v>23</v>
      </c>
      <c r="D166" s="32" t="s">
        <v>4</v>
      </c>
      <c r="E166" s="32" t="s">
        <v>428</v>
      </c>
      <c r="F166" s="32" cm="1">
        <f t="array" aca="1" ref="F166" ca="1">IF(Table3[[#This Row],[Stage]]="Closed",0,IF(IFERROR(
  IF(
    COUNTIF(A$2:A$1997, A166) &gt; 1,
    MIN(IF(A$2:A$1997=A166, IF(B$2:B$1997&gt;B166, B$2:B$1997))) - B166,
    TODAY() - Table3[[#This Row],[Date of Update]]
  ),
  TODAY()-Table3[[#This Row],[Date of Update]]
)&lt;=0,
TODAY()-Table3[[#This Row],[Date of Update]],
IFERROR(
  IF(
    COUNTIF(A$2:A$1997, A166) &gt; 1,
    MIN(IF(A$2:A$1997=A166, IF(B$2:B$1997&gt;B166, B$2:B$1997))) - B166,
    TODAY() - Table3[[#This Row],[Date of Update]]
  ),
  TODAY()-Table3[[#This Row],[Date of Update]]
)))</f>
        <v>132</v>
      </c>
      <c r="G166" s="40" t="str">
        <f>IF(Table3[[#This Row],[Stage]]="Closed",Table3[[#This Row],[Date of Update]]-(_xlfn.MINIFS(Table3[Date of Update],Table3[Ref], Table3[[#This Row],[Ref]])),"")</f>
        <v/>
      </c>
    </row>
    <row r="167" spans="1:7" x14ac:dyDescent="0.25">
      <c r="A167" s="39" t="s">
        <v>1281</v>
      </c>
      <c r="B167" s="33">
        <v>44782</v>
      </c>
      <c r="C167" s="32" t="s">
        <v>23</v>
      </c>
      <c r="D167" s="32" t="s">
        <v>4</v>
      </c>
      <c r="E167" s="32"/>
      <c r="F167" s="32" cm="1">
        <f t="array" aca="1" ref="F167" ca="1">IF(Table3[[#This Row],[Stage]]="Closed",0,IF(IFERROR(
  IF(
    COUNTIF(A$2:A$1997, A167) &gt; 1,
    MIN(IF(A$2:A$1997=A167, IF(B$2:B$1997&gt;B167, B$2:B$1997))) - B167,
    TODAY() - Table3[[#This Row],[Date of Update]]
  ),
  TODAY()-Table3[[#This Row],[Date of Update]]
)&lt;=0,
TODAY()-Table3[[#This Row],[Date of Update]],
IFERROR(
  IF(
    COUNTIF(A$2:A$1997, A167) &gt; 1,
    MIN(IF(A$2:A$1997=A167, IF(B$2:B$1997&gt;B167, B$2:B$1997))) - B167,
    TODAY() - Table3[[#This Row],[Date of Update]]
  ),
  TODAY()-Table3[[#This Row],[Date of Update]]
)))</f>
        <v>254</v>
      </c>
      <c r="G167" s="40" t="str">
        <f>IF(Table3[[#This Row],[Stage]]="Closed",Table3[[#This Row],[Date of Update]]-(_xlfn.MINIFS(Table3[Date of Update],Table3[Ref], Table3[[#This Row],[Ref]])),"")</f>
        <v/>
      </c>
    </row>
    <row r="168" spans="1:7" x14ac:dyDescent="0.25">
      <c r="A168" s="39" t="s">
        <v>1151</v>
      </c>
      <c r="B168" s="33">
        <v>44782</v>
      </c>
      <c r="C168" s="32" t="s">
        <v>23</v>
      </c>
      <c r="D168" s="32" t="s">
        <v>4</v>
      </c>
      <c r="E168" s="32" t="s">
        <v>356</v>
      </c>
      <c r="F168" s="32" cm="1">
        <f t="array" aca="1" ref="F168" ca="1">IF(Table3[[#This Row],[Stage]]="Closed",0,IF(IFERROR(
  IF(
    COUNTIF(A$2:A$1997, A168) &gt; 1,
    MIN(IF(A$2:A$1997=A168, IF(B$2:B$1997&gt;B168, B$2:B$1997))) - B168,
    TODAY() - Table3[[#This Row],[Date of Update]]
  ),
  TODAY()-Table3[[#This Row],[Date of Update]]
)&lt;=0,
TODAY()-Table3[[#This Row],[Date of Update]],
IFERROR(
  IF(
    COUNTIF(A$2:A$1997, A168) &gt; 1,
    MIN(IF(A$2:A$1997=A168, IF(B$2:B$1997&gt;B168, B$2:B$1997))) - B168,
    TODAY() - Table3[[#This Row],[Date of Update]]
  ),
  TODAY()-Table3[[#This Row],[Date of Update]]
)))</f>
        <v>29</v>
      </c>
      <c r="G168" s="40" t="str">
        <f>IF(Table3[[#This Row],[Stage]]="Closed",Table3[[#This Row],[Date of Update]]-(_xlfn.MINIFS(Table3[Date of Update],Table3[Ref], Table3[[#This Row],[Ref]])),"")</f>
        <v/>
      </c>
    </row>
    <row r="169" spans="1:7" x14ac:dyDescent="0.25">
      <c r="A169" s="39" t="s">
        <v>1133</v>
      </c>
      <c r="B169" s="33">
        <v>44782</v>
      </c>
      <c r="C169" s="32" t="s">
        <v>169</v>
      </c>
      <c r="D169" s="32" t="s">
        <v>4</v>
      </c>
      <c r="E169" s="32"/>
      <c r="F169" s="32" cm="1">
        <f t="array" aca="1" ref="F169" ca="1">IF(Table3[[#This Row],[Stage]]="Closed",0,IF(IFERROR(
  IF(
    COUNTIF(A$2:A$1997, A169) &gt; 1,
    MIN(IF(A$2:A$1997=A169, IF(B$2:B$1997&gt;B169, B$2:B$1997))) - B169,
    TODAY() - Table3[[#This Row],[Date of Update]]
  ),
  TODAY()-Table3[[#This Row],[Date of Update]]
)&lt;=0,
TODAY()-Table3[[#This Row],[Date of Update]],
IFERROR(
  IF(
    COUNTIF(A$2:A$1997, A169) &gt; 1,
    MIN(IF(A$2:A$1997=A169, IF(B$2:B$1997&gt;B169, B$2:B$1997))) - B169,
    TODAY() - Table3[[#This Row],[Date of Update]]
  ),
  TODAY()-Table3[[#This Row],[Date of Update]]
)))</f>
        <v>0</v>
      </c>
      <c r="G169" s="40">
        <f>IF(Table3[[#This Row],[Stage]]="Closed",Table3[[#This Row],[Date of Update]]-(_xlfn.MINIFS(Table3[Date of Update],Table3[Ref], Table3[[#This Row],[Ref]])),"")</f>
        <v>36</v>
      </c>
    </row>
    <row r="170" spans="1:7" x14ac:dyDescent="0.25">
      <c r="A170" s="39" t="s">
        <v>1152</v>
      </c>
      <c r="B170" s="33">
        <v>44784</v>
      </c>
      <c r="C170" s="32" t="s">
        <v>23</v>
      </c>
      <c r="D170" s="32" t="s">
        <v>4</v>
      </c>
      <c r="E170" s="32"/>
      <c r="F170" s="32" cm="1">
        <f t="array" aca="1" ref="F170" ca="1">IF(Table3[[#This Row],[Stage]]="Closed",0,IF(IFERROR(
  IF(
    COUNTIF(A$2:A$1997, A170) &gt; 1,
    MIN(IF(A$2:A$1997=A170, IF(B$2:B$1997&gt;B170, B$2:B$1997))) - B170,
    TODAY() - Table3[[#This Row],[Date of Update]]
  ),
  TODAY()-Table3[[#This Row],[Date of Update]]
)&lt;=0,
TODAY()-Table3[[#This Row],[Date of Update]],
IFERROR(
  IF(
    COUNTIF(A$2:A$1997, A170) &gt; 1,
    MIN(IF(A$2:A$1997=A170, IF(B$2:B$1997&gt;B170, B$2:B$1997))) - B170,
    TODAY() - Table3[[#This Row],[Date of Update]]
  ),
  TODAY()-Table3[[#This Row],[Date of Update]]
)))</f>
        <v>30</v>
      </c>
      <c r="G170" s="40" t="str">
        <f>IF(Table3[[#This Row],[Stage]]="Closed",Table3[[#This Row],[Date of Update]]-(_xlfn.MINIFS(Table3[Date of Update],Table3[Ref], Table3[[#This Row],[Ref]])),"")</f>
        <v/>
      </c>
    </row>
    <row r="171" spans="1:7" x14ac:dyDescent="0.25">
      <c r="A171" s="39" t="s">
        <v>1183</v>
      </c>
      <c r="B171" s="33">
        <v>44784</v>
      </c>
      <c r="C171" s="32" t="s">
        <v>23</v>
      </c>
      <c r="D171" s="32" t="s">
        <v>4</v>
      </c>
      <c r="E171" s="32" t="s">
        <v>437</v>
      </c>
      <c r="F171" s="32" cm="1">
        <f t="array" aca="1" ref="F171" ca="1">IF(Table3[[#This Row],[Stage]]="Closed",0,IF(IFERROR(
  IF(
    COUNTIF(A$2:A$1997, A171) &gt; 1,
    MIN(IF(A$2:A$1997=A171, IF(B$2:B$1997&gt;B171, B$2:B$1997))) - B171,
    TODAY() - Table3[[#This Row],[Date of Update]]
  ),
  TODAY()-Table3[[#This Row],[Date of Update]]
)&lt;=0,
TODAY()-Table3[[#This Row],[Date of Update]],
IFERROR(
  IF(
    COUNTIF(A$2:A$1997, A171) &gt; 1,
    MIN(IF(A$2:A$1997=A171, IF(B$2:B$1997&gt;B171, B$2:B$1997))) - B171,
    TODAY() - Table3[[#This Row],[Date of Update]]
  ),
  TODAY()-Table3[[#This Row],[Date of Update]]
)))</f>
        <v>130</v>
      </c>
      <c r="G171" s="40" t="str">
        <f>IF(Table3[[#This Row],[Stage]]="Closed",Table3[[#This Row],[Date of Update]]-(_xlfn.MINIFS(Table3[Date of Update],Table3[Ref], Table3[[#This Row],[Ref]])),"")</f>
        <v/>
      </c>
    </row>
    <row r="172" spans="1:7" x14ac:dyDescent="0.25">
      <c r="A172" s="39" t="s">
        <v>1165</v>
      </c>
      <c r="B172" s="33">
        <v>44788</v>
      </c>
      <c r="C172" s="32" t="s">
        <v>23</v>
      </c>
      <c r="D172" s="32" t="s">
        <v>4</v>
      </c>
      <c r="E172" s="32" t="s">
        <v>382</v>
      </c>
      <c r="F172" s="32" cm="1">
        <f t="array" aca="1" ref="F172" ca="1">IF(Table3[[#This Row],[Stage]]="Closed",0,IF(IFERROR(
  IF(
    COUNTIF(A$2:A$1997, A172) &gt; 1,
    MIN(IF(A$2:A$1997=A172, IF(B$2:B$1997&gt;B172, B$2:B$1997))) - B172,
    TODAY() - Table3[[#This Row],[Date of Update]]
  ),
  TODAY()-Table3[[#This Row],[Date of Update]]
)&lt;=0,
TODAY()-Table3[[#This Row],[Date of Update]],
IFERROR(
  IF(
    COUNTIF(A$2:A$1997, A172) &gt; 1,
    MIN(IF(A$2:A$1997=A172, IF(B$2:B$1997&gt;B172, B$2:B$1997))) - B172,
    TODAY() - Table3[[#This Row],[Date of Update]]
  ),
  TODAY()-Table3[[#This Row],[Date of Update]]
)))</f>
        <v>30</v>
      </c>
      <c r="G172" s="40" t="str">
        <f>IF(Table3[[#This Row],[Stage]]="Closed",Table3[[#This Row],[Date of Update]]-(_xlfn.MINIFS(Table3[Date of Update],Table3[Ref], Table3[[#This Row],[Ref]])),"")</f>
        <v/>
      </c>
    </row>
    <row r="173" spans="1:7" x14ac:dyDescent="0.25">
      <c r="A173" s="39" t="s">
        <v>1164</v>
      </c>
      <c r="B173" s="33">
        <v>44788</v>
      </c>
      <c r="C173" s="32" t="s">
        <v>23</v>
      </c>
      <c r="D173" s="32" t="s">
        <v>4</v>
      </c>
      <c r="E173" s="32" t="s">
        <v>380</v>
      </c>
      <c r="F173" s="32" cm="1">
        <f t="array" aca="1" ref="F173" ca="1">IF(Table3[[#This Row],[Stage]]="Closed",0,IF(IFERROR(
  IF(
    COUNTIF(A$2:A$1997, A173) &gt; 1,
    MIN(IF(A$2:A$1997=A173, IF(B$2:B$1997&gt;B173, B$2:B$1997))) - B173,
    TODAY() - Table3[[#This Row],[Date of Update]]
  ),
  TODAY()-Table3[[#This Row],[Date of Update]]
)&lt;=0,
TODAY()-Table3[[#This Row],[Date of Update]],
IFERROR(
  IF(
    COUNTIF(A$2:A$1997, A173) &gt; 1,
    MIN(IF(A$2:A$1997=A173, IF(B$2:B$1997&gt;B173, B$2:B$1997))) - B173,
    TODAY() - Table3[[#This Row],[Date of Update]]
  ),
  TODAY()-Table3[[#This Row],[Date of Update]]
)))</f>
        <v>30</v>
      </c>
      <c r="G173" s="40" t="str">
        <f>IF(Table3[[#This Row],[Stage]]="Closed",Table3[[#This Row],[Date of Update]]-(_xlfn.MINIFS(Table3[Date of Update],Table3[Ref], Table3[[#This Row],[Ref]])),"")</f>
        <v/>
      </c>
    </row>
    <row r="174" spans="1:7" x14ac:dyDescent="0.25">
      <c r="A174" s="39" t="s">
        <v>1167</v>
      </c>
      <c r="B174" s="33">
        <v>44789</v>
      </c>
      <c r="C174" s="32" t="s">
        <v>23</v>
      </c>
      <c r="D174" s="32" t="s">
        <v>4</v>
      </c>
      <c r="E174" s="32" t="s">
        <v>255</v>
      </c>
      <c r="F174" s="32" cm="1">
        <f t="array" aca="1" ref="F174" ca="1">IF(Table3[[#This Row],[Stage]]="Closed",0,IF(IFERROR(
  IF(
    COUNTIF(A$2:A$1997, A174) &gt; 1,
    MIN(IF(A$2:A$1997=A174, IF(B$2:B$1997&gt;B174, B$2:B$1997))) - B174,
    TODAY() - Table3[[#This Row],[Date of Update]]
  ),
  TODAY()-Table3[[#This Row],[Date of Update]]
)&lt;=0,
TODAY()-Table3[[#This Row],[Date of Update]],
IFERROR(
  IF(
    COUNTIF(A$2:A$1997, A174) &gt; 1,
    MIN(IF(A$2:A$1997=A174, IF(B$2:B$1997&gt;B174, B$2:B$1997))) - B174,
    TODAY() - Table3[[#This Row],[Date of Update]]
  ),
  TODAY()-Table3[[#This Row],[Date of Update]]
)))</f>
        <v>31</v>
      </c>
      <c r="G174" s="40" t="str">
        <f>IF(Table3[[#This Row],[Stage]]="Closed",Table3[[#This Row],[Date of Update]]-(_xlfn.MINIFS(Table3[Date of Update],Table3[Ref], Table3[[#This Row],[Ref]])),"")</f>
        <v/>
      </c>
    </row>
    <row r="175" spans="1:7" x14ac:dyDescent="0.25">
      <c r="A175" s="39" t="s">
        <v>1134</v>
      </c>
      <c r="B175" s="33">
        <v>44790</v>
      </c>
      <c r="C175" s="32" t="s">
        <v>169</v>
      </c>
      <c r="D175" s="32" t="s">
        <v>4</v>
      </c>
      <c r="E175" s="32" t="s">
        <v>255</v>
      </c>
      <c r="F175" s="32" cm="1">
        <f t="array" aca="1" ref="F175" ca="1">IF(Table3[[#This Row],[Stage]]="Closed",0,IF(IFERROR(
  IF(
    COUNTIF(A$2:A$1997, A175) &gt; 1,
    MIN(IF(A$2:A$1997=A175, IF(B$2:B$1997&gt;B175, B$2:B$1997))) - B175,
    TODAY() - Table3[[#This Row],[Date of Update]]
  ),
  TODAY()-Table3[[#This Row],[Date of Update]]
)&lt;=0,
TODAY()-Table3[[#This Row],[Date of Update]],
IFERROR(
  IF(
    COUNTIF(A$2:A$1997, A175) &gt; 1,
    MIN(IF(A$2:A$1997=A175, IF(B$2:B$1997&gt;B175, B$2:B$1997))) - B175,
    TODAY() - Table3[[#This Row],[Date of Update]]
  ),
  TODAY()-Table3[[#This Row],[Date of Update]]
)))</f>
        <v>0</v>
      </c>
      <c r="G175" s="40">
        <f>IF(Table3[[#This Row],[Stage]]="Closed",Table3[[#This Row],[Date of Update]]-(_xlfn.MINIFS(Table3[Date of Update],Table3[Ref], Table3[[#This Row],[Ref]])),"")</f>
        <v>30</v>
      </c>
    </row>
    <row r="176" spans="1:7" x14ac:dyDescent="0.25">
      <c r="A176" s="39" t="s">
        <v>1135</v>
      </c>
      <c r="B176" s="33">
        <v>44798</v>
      </c>
      <c r="C176" s="32" t="s">
        <v>169</v>
      </c>
      <c r="D176" s="32" t="s">
        <v>4</v>
      </c>
      <c r="E176" s="32"/>
      <c r="F176" s="32" cm="1">
        <f t="array" aca="1" ref="F176" ca="1">IF(Table3[[#This Row],[Stage]]="Closed",0,IF(IFERROR(
  IF(
    COUNTIF(A$2:A$1997, A176) &gt; 1,
    MIN(IF(A$2:A$1997=A176, IF(B$2:B$1997&gt;B176, B$2:B$1997))) - B176,
    TODAY() - Table3[[#This Row],[Date of Update]]
  ),
  TODAY()-Table3[[#This Row],[Date of Update]]
)&lt;=0,
TODAY()-Table3[[#This Row],[Date of Update]],
IFERROR(
  IF(
    COUNTIF(A$2:A$1997, A176) &gt; 1,
    MIN(IF(A$2:A$1997=A176, IF(B$2:B$1997&gt;B176, B$2:B$1997))) - B176,
    TODAY() - Table3[[#This Row],[Date of Update]]
  ),
  TODAY()-Table3[[#This Row],[Date of Update]]
)))</f>
        <v>0</v>
      </c>
      <c r="G176" s="40">
        <f>IF(Table3[[#This Row],[Stage]]="Closed",Table3[[#This Row],[Date of Update]]-(_xlfn.MINIFS(Table3[Date of Update],Table3[Ref], Table3[[#This Row],[Ref]])),"")</f>
        <v>22</v>
      </c>
    </row>
    <row r="177" spans="1:7" x14ac:dyDescent="0.25">
      <c r="A177" s="39" t="s">
        <v>1136</v>
      </c>
      <c r="B177" s="33">
        <v>44800</v>
      </c>
      <c r="C177" s="32" t="s">
        <v>169</v>
      </c>
      <c r="D177" s="32" t="s">
        <v>4</v>
      </c>
      <c r="E177" s="32" t="s">
        <v>255</v>
      </c>
      <c r="F177" s="32" cm="1">
        <f t="array" aca="1" ref="F177" ca="1">IF(Table3[[#This Row],[Stage]]="Closed",0,IF(IFERROR(
  IF(
    COUNTIF(A$2:A$1997, A177) &gt; 1,
    MIN(IF(A$2:A$1997=A177, IF(B$2:B$1997&gt;B177, B$2:B$1997))) - B177,
    TODAY() - Table3[[#This Row],[Date of Update]]
  ),
  TODAY()-Table3[[#This Row],[Date of Update]]
)&lt;=0,
TODAY()-Table3[[#This Row],[Date of Update]],
IFERROR(
  IF(
    COUNTIF(A$2:A$1997, A177) &gt; 1,
    MIN(IF(A$2:A$1997=A177, IF(B$2:B$1997&gt;B177, B$2:B$1997))) - B177,
    TODAY() - Table3[[#This Row],[Date of Update]]
  ),
  TODAY()-Table3[[#This Row],[Date of Update]]
)))</f>
        <v>0</v>
      </c>
      <c r="G177" s="40">
        <f>IF(Table3[[#This Row],[Stage]]="Closed",Table3[[#This Row],[Date of Update]]-(_xlfn.MINIFS(Table3[Date of Update],Table3[Ref], Table3[[#This Row],[Ref]])),"")</f>
        <v>30</v>
      </c>
    </row>
    <row r="178" spans="1:7" x14ac:dyDescent="0.25">
      <c r="A178" s="39" t="s">
        <v>1502</v>
      </c>
      <c r="B178" s="33">
        <v>44800</v>
      </c>
      <c r="C178" s="32" t="s">
        <v>169</v>
      </c>
      <c r="D178" s="32" t="s">
        <v>4</v>
      </c>
      <c r="E178" s="32" t="s">
        <v>255</v>
      </c>
      <c r="F178" s="32" cm="1">
        <f t="array" aca="1" ref="F178" ca="1">IF(Table3[[#This Row],[Stage]]="Closed",0,IF(IFERROR(
  IF(
    COUNTIF(A$2:A$1997, A178) &gt; 1,
    MIN(IF(A$2:A$1997=A178, IF(B$2:B$1997&gt;B178, B$2:B$1997))) - B178,
    TODAY() - Table3[[#This Row],[Date of Update]]
  ),
  TODAY()-Table3[[#This Row],[Date of Update]]
)&lt;=0,
TODAY()-Table3[[#This Row],[Date of Update]],
IFERROR(
  IF(
    COUNTIF(A$2:A$1997, A178) &gt; 1,
    MIN(IF(A$2:A$1997=A178, IF(B$2:B$1997&gt;B178, B$2:B$1997))) - B178,
    TODAY() - Table3[[#This Row],[Date of Update]]
  ),
  TODAY()-Table3[[#This Row],[Date of Update]]
)))</f>
        <v>0</v>
      </c>
      <c r="G178" s="40">
        <f>IF(Table3[[#This Row],[Stage]]="Closed",Table3[[#This Row],[Date of Update]]-(_xlfn.MINIFS(Table3[Date of Update],Table3[Ref], Table3[[#This Row],[Ref]])),"")</f>
        <v>30</v>
      </c>
    </row>
    <row r="179" spans="1:7" x14ac:dyDescent="0.25">
      <c r="A179" s="39" t="s">
        <v>1137</v>
      </c>
      <c r="B179" s="33">
        <v>44800</v>
      </c>
      <c r="C179" s="32" t="s">
        <v>169</v>
      </c>
      <c r="D179" s="32" t="s">
        <v>4</v>
      </c>
      <c r="E179" s="32" t="s">
        <v>255</v>
      </c>
      <c r="F179" s="32" cm="1">
        <f t="array" aca="1" ref="F179" ca="1">IF(Table3[[#This Row],[Stage]]="Closed",0,IF(IFERROR(
  IF(
    COUNTIF(A$2:A$1997, A179) &gt; 1,
    MIN(IF(A$2:A$1997=A179, IF(B$2:B$1997&gt;B179, B$2:B$1997))) - B179,
    TODAY() - Table3[[#This Row],[Date of Update]]
  ),
  TODAY()-Table3[[#This Row],[Date of Update]]
)&lt;=0,
TODAY()-Table3[[#This Row],[Date of Update]],
IFERROR(
  IF(
    COUNTIF(A$2:A$1997, A179) &gt; 1,
    MIN(IF(A$2:A$1997=A179, IF(B$2:B$1997&gt;B179, B$2:B$1997))) - B179,
    TODAY() - Table3[[#This Row],[Date of Update]]
  ),
  TODAY()-Table3[[#This Row],[Date of Update]]
)))</f>
        <v>0</v>
      </c>
      <c r="G179" s="40">
        <f>IF(Table3[[#This Row],[Stage]]="Closed",Table3[[#This Row],[Date of Update]]-(_xlfn.MINIFS(Table3[Date of Update],Table3[Ref], Table3[[#This Row],[Ref]])),"")</f>
        <v>30</v>
      </c>
    </row>
    <row r="180" spans="1:7" x14ac:dyDescent="0.25">
      <c r="A180" s="39" t="s">
        <v>1503</v>
      </c>
      <c r="B180" s="33">
        <v>44800</v>
      </c>
      <c r="C180" s="32" t="s">
        <v>169</v>
      </c>
      <c r="D180" s="32" t="s">
        <v>4</v>
      </c>
      <c r="E180" s="32" t="s">
        <v>255</v>
      </c>
      <c r="F180" s="32" cm="1">
        <f t="array" aca="1" ref="F180" ca="1">IF(Table3[[#This Row],[Stage]]="Closed",0,IF(IFERROR(
  IF(
    COUNTIF(A$2:A$1997, A180) &gt; 1,
    MIN(IF(A$2:A$1997=A180, IF(B$2:B$1997&gt;B180, B$2:B$1997))) - B180,
    TODAY() - Table3[[#This Row],[Date of Update]]
  ),
  TODAY()-Table3[[#This Row],[Date of Update]]
)&lt;=0,
TODAY()-Table3[[#This Row],[Date of Update]],
IFERROR(
  IF(
    COUNTIF(A$2:A$1997, A180) &gt; 1,
    MIN(IF(A$2:A$1997=A180, IF(B$2:B$1997&gt;B180, B$2:B$1997))) - B180,
    TODAY() - Table3[[#This Row],[Date of Update]]
  ),
  TODAY()-Table3[[#This Row],[Date of Update]]
)))</f>
        <v>0</v>
      </c>
      <c r="G180" s="40">
        <f>IF(Table3[[#This Row],[Stage]]="Closed",Table3[[#This Row],[Date of Update]]-(_xlfn.MINIFS(Table3[Date of Update],Table3[Ref], Table3[[#This Row],[Ref]])),"")</f>
        <v>30</v>
      </c>
    </row>
    <row r="181" spans="1:7" x14ac:dyDescent="0.25">
      <c r="A181" s="39" t="s">
        <v>1138</v>
      </c>
      <c r="B181" s="33">
        <v>44800</v>
      </c>
      <c r="C181" s="32" t="s">
        <v>169</v>
      </c>
      <c r="D181" s="32" t="s">
        <v>4</v>
      </c>
      <c r="E181" s="32" t="s">
        <v>255</v>
      </c>
      <c r="F181" s="32" cm="1">
        <f t="array" aca="1" ref="F181" ca="1">IF(Table3[[#This Row],[Stage]]="Closed",0,IF(IFERROR(
  IF(
    COUNTIF(A$2:A$1997, A181) &gt; 1,
    MIN(IF(A$2:A$1997=A181, IF(B$2:B$1997&gt;B181, B$2:B$1997))) - B181,
    TODAY() - Table3[[#This Row],[Date of Update]]
  ),
  TODAY()-Table3[[#This Row],[Date of Update]]
)&lt;=0,
TODAY()-Table3[[#This Row],[Date of Update]],
IFERROR(
  IF(
    COUNTIF(A$2:A$1997, A181) &gt; 1,
    MIN(IF(A$2:A$1997=A181, IF(B$2:B$1997&gt;B181, B$2:B$1997))) - B181,
    TODAY() - Table3[[#This Row],[Date of Update]]
  ),
  TODAY()-Table3[[#This Row],[Date of Update]]
)))</f>
        <v>0</v>
      </c>
      <c r="G181" s="40">
        <f>IF(Table3[[#This Row],[Stage]]="Closed",Table3[[#This Row],[Date of Update]]-(_xlfn.MINIFS(Table3[Date of Update],Table3[Ref], Table3[[#This Row],[Ref]])),"")</f>
        <v>30</v>
      </c>
    </row>
    <row r="182" spans="1:7" x14ac:dyDescent="0.25">
      <c r="A182" s="39" t="s">
        <v>1139</v>
      </c>
      <c r="B182" s="33">
        <v>44800</v>
      </c>
      <c r="C182" s="32" t="s">
        <v>169</v>
      </c>
      <c r="D182" s="32" t="s">
        <v>4</v>
      </c>
      <c r="E182" s="32" t="s">
        <v>255</v>
      </c>
      <c r="F182" s="32" cm="1">
        <f t="array" aca="1" ref="F182" ca="1">IF(Table3[[#This Row],[Stage]]="Closed",0,IF(IFERROR(
  IF(
    COUNTIF(A$2:A$1997, A182) &gt; 1,
    MIN(IF(A$2:A$1997=A182, IF(B$2:B$1997&gt;B182, B$2:B$1997))) - B182,
    TODAY() - Table3[[#This Row],[Date of Update]]
  ),
  TODAY()-Table3[[#This Row],[Date of Update]]
)&lt;=0,
TODAY()-Table3[[#This Row],[Date of Update]],
IFERROR(
  IF(
    COUNTIF(A$2:A$1997, A182) &gt; 1,
    MIN(IF(A$2:A$1997=A182, IF(B$2:B$1997&gt;B182, B$2:B$1997))) - B182,
    TODAY() - Table3[[#This Row],[Date of Update]]
  ),
  TODAY()-Table3[[#This Row],[Date of Update]]
)))</f>
        <v>0</v>
      </c>
      <c r="G182" s="40">
        <f>IF(Table3[[#This Row],[Stage]]="Closed",Table3[[#This Row],[Date of Update]]-(_xlfn.MINIFS(Table3[Date of Update],Table3[Ref], Table3[[#This Row],[Ref]])),"")</f>
        <v>30</v>
      </c>
    </row>
    <row r="183" spans="1:7" x14ac:dyDescent="0.25">
      <c r="A183" s="39" t="s">
        <v>1140</v>
      </c>
      <c r="B183" s="33">
        <v>44804</v>
      </c>
      <c r="C183" s="32" t="s">
        <v>169</v>
      </c>
      <c r="D183" s="32" t="s">
        <v>4</v>
      </c>
      <c r="E183" s="32" t="s">
        <v>255</v>
      </c>
      <c r="F183" s="32" cm="1">
        <f t="array" aca="1" ref="F183" ca="1">IF(Table3[[#This Row],[Stage]]="Closed",0,IF(IFERROR(
  IF(
    COUNTIF(A$2:A$1997, A183) &gt; 1,
    MIN(IF(A$2:A$1997=A183, IF(B$2:B$1997&gt;B183, B$2:B$1997))) - B183,
    TODAY() - Table3[[#This Row],[Date of Update]]
  ),
  TODAY()-Table3[[#This Row],[Date of Update]]
)&lt;=0,
TODAY()-Table3[[#This Row],[Date of Update]],
IFERROR(
  IF(
    COUNTIF(A$2:A$1997, A183) &gt; 1,
    MIN(IF(A$2:A$1997=A183, IF(B$2:B$1997&gt;B183, B$2:B$1997))) - B183,
    TODAY() - Table3[[#This Row],[Date of Update]]
  ),
  TODAY()-Table3[[#This Row],[Date of Update]]
)))</f>
        <v>0</v>
      </c>
      <c r="G183" s="40">
        <f>IF(Table3[[#This Row],[Stage]]="Closed",Table3[[#This Row],[Date of Update]]-(_xlfn.MINIFS(Table3[Date of Update],Table3[Ref], Table3[[#This Row],[Ref]])),"")</f>
        <v>30</v>
      </c>
    </row>
    <row r="184" spans="1:7" x14ac:dyDescent="0.25">
      <c r="A184" s="39" t="s">
        <v>1141</v>
      </c>
      <c r="B184" s="33">
        <v>44804</v>
      </c>
      <c r="C184" s="32" t="s">
        <v>169</v>
      </c>
      <c r="D184" s="32" t="s">
        <v>4</v>
      </c>
      <c r="E184" s="32" t="s">
        <v>255</v>
      </c>
      <c r="F184" s="32" cm="1">
        <f t="array" aca="1" ref="F184" ca="1">IF(Table3[[#This Row],[Stage]]="Closed",0,IF(IFERROR(
  IF(
    COUNTIF(A$2:A$1997, A184) &gt; 1,
    MIN(IF(A$2:A$1997=A184, IF(B$2:B$1997&gt;B184, B$2:B$1997))) - B184,
    TODAY() - Table3[[#This Row],[Date of Update]]
  ),
  TODAY()-Table3[[#This Row],[Date of Update]]
)&lt;=0,
TODAY()-Table3[[#This Row],[Date of Update]],
IFERROR(
  IF(
    COUNTIF(A$2:A$1997, A184) &gt; 1,
    MIN(IF(A$2:A$1997=A184, IF(B$2:B$1997&gt;B184, B$2:B$1997))) - B184,
    TODAY() - Table3[[#This Row],[Date of Update]]
  ),
  TODAY()-Table3[[#This Row],[Date of Update]]
)))</f>
        <v>0</v>
      </c>
      <c r="G184" s="40">
        <f>IF(Table3[[#This Row],[Stage]]="Closed",Table3[[#This Row],[Date of Update]]-(_xlfn.MINIFS(Table3[Date of Update],Table3[Ref], Table3[[#This Row],[Ref]])),"")</f>
        <v>30</v>
      </c>
    </row>
    <row r="185" spans="1:7" x14ac:dyDescent="0.25">
      <c r="A185" s="39" t="s">
        <v>1142</v>
      </c>
      <c r="B185" s="33">
        <v>44804</v>
      </c>
      <c r="C185" s="32" t="s">
        <v>169</v>
      </c>
      <c r="D185" s="32" t="s">
        <v>4</v>
      </c>
      <c r="E185" s="32" t="s">
        <v>255</v>
      </c>
      <c r="F185" s="32" cm="1">
        <f t="array" aca="1" ref="F185" ca="1">IF(Table3[[#This Row],[Stage]]="Closed",0,IF(IFERROR(
  IF(
    COUNTIF(A$2:A$1997, A185) &gt; 1,
    MIN(IF(A$2:A$1997=A185, IF(B$2:B$1997&gt;B185, B$2:B$1997))) - B185,
    TODAY() - Table3[[#This Row],[Date of Update]]
  ),
  TODAY()-Table3[[#This Row],[Date of Update]]
)&lt;=0,
TODAY()-Table3[[#This Row],[Date of Update]],
IFERROR(
  IF(
    COUNTIF(A$2:A$1997, A185) &gt; 1,
    MIN(IF(A$2:A$1997=A185, IF(B$2:B$1997&gt;B185, B$2:B$1997))) - B185,
    TODAY() - Table3[[#This Row],[Date of Update]]
  ),
  TODAY()-Table3[[#This Row],[Date of Update]]
)))</f>
        <v>0</v>
      </c>
      <c r="G185" s="40">
        <f>IF(Table3[[#This Row],[Stage]]="Closed",Table3[[#This Row],[Date of Update]]-(_xlfn.MINIFS(Table3[Date of Update],Table3[Ref], Table3[[#This Row],[Ref]])),"")</f>
        <v>30</v>
      </c>
    </row>
    <row r="186" spans="1:7" x14ac:dyDescent="0.25">
      <c r="A186" s="39" t="s">
        <v>1143</v>
      </c>
      <c r="B186" s="33">
        <v>44804</v>
      </c>
      <c r="C186" s="32" t="s">
        <v>169</v>
      </c>
      <c r="D186" s="32" t="s">
        <v>4</v>
      </c>
      <c r="E186" s="32" t="s">
        <v>255</v>
      </c>
      <c r="F186" s="32" cm="1">
        <f t="array" aca="1" ref="F186" ca="1">IF(Table3[[#This Row],[Stage]]="Closed",0,IF(IFERROR(
  IF(
    COUNTIF(A$2:A$1997, A186) &gt; 1,
    MIN(IF(A$2:A$1997=A186, IF(B$2:B$1997&gt;B186, B$2:B$1997))) - B186,
    TODAY() - Table3[[#This Row],[Date of Update]]
  ),
  TODAY()-Table3[[#This Row],[Date of Update]]
)&lt;=0,
TODAY()-Table3[[#This Row],[Date of Update]],
IFERROR(
  IF(
    COUNTIF(A$2:A$1997, A186) &gt; 1,
    MIN(IF(A$2:A$1997=A186, IF(B$2:B$1997&gt;B186, B$2:B$1997))) - B186,
    TODAY() - Table3[[#This Row],[Date of Update]]
  ),
  TODAY()-Table3[[#This Row],[Date of Update]]
)))</f>
        <v>0</v>
      </c>
      <c r="G186" s="40">
        <f>IF(Table3[[#This Row],[Stage]]="Closed",Table3[[#This Row],[Date of Update]]-(_xlfn.MINIFS(Table3[Date of Update],Table3[Ref], Table3[[#This Row],[Ref]])),"")</f>
        <v>30</v>
      </c>
    </row>
    <row r="187" spans="1:7" x14ac:dyDescent="0.25">
      <c r="A187" s="39" t="s">
        <v>1144</v>
      </c>
      <c r="B187" s="33">
        <v>44804</v>
      </c>
      <c r="C187" s="32" t="s">
        <v>169</v>
      </c>
      <c r="D187" s="32" t="s">
        <v>4</v>
      </c>
      <c r="E187" s="32" t="s">
        <v>255</v>
      </c>
      <c r="F187" s="32" cm="1">
        <f t="array" aca="1" ref="F187" ca="1">IF(Table3[[#This Row],[Stage]]="Closed",0,IF(IFERROR(
  IF(
    COUNTIF(A$2:A$1997, A187) &gt; 1,
    MIN(IF(A$2:A$1997=A187, IF(B$2:B$1997&gt;B187, B$2:B$1997))) - B187,
    TODAY() - Table3[[#This Row],[Date of Update]]
  ),
  TODAY()-Table3[[#This Row],[Date of Update]]
)&lt;=0,
TODAY()-Table3[[#This Row],[Date of Update]],
IFERROR(
  IF(
    COUNTIF(A$2:A$1997, A187) &gt; 1,
    MIN(IF(A$2:A$1997=A187, IF(B$2:B$1997&gt;B187, B$2:B$1997))) - B187,
    TODAY() - Table3[[#This Row],[Date of Update]]
  ),
  TODAY()-Table3[[#This Row],[Date of Update]]
)))</f>
        <v>0</v>
      </c>
      <c r="G187" s="40">
        <f>IF(Table3[[#This Row],[Stage]]="Closed",Table3[[#This Row],[Date of Update]]-(_xlfn.MINIFS(Table3[Date of Update],Table3[Ref], Table3[[#This Row],[Ref]])),"")</f>
        <v>30</v>
      </c>
    </row>
    <row r="188" spans="1:7" x14ac:dyDescent="0.25">
      <c r="A188" s="39" t="s">
        <v>1145</v>
      </c>
      <c r="B188" s="33">
        <v>44805</v>
      </c>
      <c r="C188" s="32" t="s">
        <v>169</v>
      </c>
      <c r="D188" s="32" t="s">
        <v>4</v>
      </c>
      <c r="E188" s="32" t="s">
        <v>255</v>
      </c>
      <c r="F188" s="32" cm="1">
        <f t="array" aca="1" ref="F188" ca="1">IF(Table3[[#This Row],[Stage]]="Closed",0,IF(IFERROR(
  IF(
    COUNTIF(A$2:A$1997, A188) &gt; 1,
    MIN(IF(A$2:A$1997=A188, IF(B$2:B$1997&gt;B188, B$2:B$1997))) - B188,
    TODAY() - Table3[[#This Row],[Date of Update]]
  ),
  TODAY()-Table3[[#This Row],[Date of Update]]
)&lt;=0,
TODAY()-Table3[[#This Row],[Date of Update]],
IFERROR(
  IF(
    COUNTIF(A$2:A$1997, A188) &gt; 1,
    MIN(IF(A$2:A$1997=A188, IF(B$2:B$1997&gt;B188, B$2:B$1997))) - B188,
    TODAY() - Table3[[#This Row],[Date of Update]]
  ),
  TODAY()-Table3[[#This Row],[Date of Update]]
)))</f>
        <v>0</v>
      </c>
      <c r="G188" s="40">
        <f>IF(Table3[[#This Row],[Stage]]="Closed",Table3[[#This Row],[Date of Update]]-(_xlfn.MINIFS(Table3[Date of Update],Table3[Ref], Table3[[#This Row],[Ref]])),"")</f>
        <v>30</v>
      </c>
    </row>
    <row r="189" spans="1:7" x14ac:dyDescent="0.25">
      <c r="A189" s="39" t="s">
        <v>1146</v>
      </c>
      <c r="B189" s="33">
        <v>44806</v>
      </c>
      <c r="C189" s="32" t="s">
        <v>169</v>
      </c>
      <c r="D189" s="32" t="s">
        <v>4</v>
      </c>
      <c r="E189" s="32"/>
      <c r="F189" s="32" cm="1">
        <f t="array" aca="1" ref="F189" ca="1">IF(Table3[[#This Row],[Stage]]="Closed",0,IF(IFERROR(
  IF(
    COUNTIF(A$2:A$1997, A189) &gt; 1,
    MIN(IF(A$2:A$1997=A189, IF(B$2:B$1997&gt;B189, B$2:B$1997))) - B189,
    TODAY() - Table3[[#This Row],[Date of Update]]
  ),
  TODAY()-Table3[[#This Row],[Date of Update]]
)&lt;=0,
TODAY()-Table3[[#This Row],[Date of Update]],
IFERROR(
  IF(
    COUNTIF(A$2:A$1997, A189) &gt; 1,
    MIN(IF(A$2:A$1997=A189, IF(B$2:B$1997&gt;B189, B$2:B$1997))) - B189,
    TODAY() - Table3[[#This Row],[Date of Update]]
  ),
  TODAY()-Table3[[#This Row],[Date of Update]]
)))</f>
        <v>0</v>
      </c>
      <c r="G189" s="40">
        <f>IF(Table3[[#This Row],[Stage]]="Closed",Table3[[#This Row],[Date of Update]]-(_xlfn.MINIFS(Table3[Date of Update],Table3[Ref], Table3[[#This Row],[Ref]])),"")</f>
        <v>95</v>
      </c>
    </row>
    <row r="190" spans="1:7" x14ac:dyDescent="0.25">
      <c r="A190" s="39" t="s">
        <v>1147</v>
      </c>
      <c r="B190" s="33">
        <v>44806</v>
      </c>
      <c r="C190" s="32" t="s">
        <v>169</v>
      </c>
      <c r="D190" s="32" t="s">
        <v>4</v>
      </c>
      <c r="E190" s="32" t="s">
        <v>255</v>
      </c>
      <c r="F190" s="32" cm="1">
        <f t="array" aca="1" ref="F190" ca="1">IF(Table3[[#This Row],[Stage]]="Closed",0,IF(IFERROR(
  IF(
    COUNTIF(A$2:A$1997, A190) &gt; 1,
    MIN(IF(A$2:A$1997=A190, IF(B$2:B$1997&gt;B190, B$2:B$1997))) - B190,
    TODAY() - Table3[[#This Row],[Date of Update]]
  ),
  TODAY()-Table3[[#This Row],[Date of Update]]
)&lt;=0,
TODAY()-Table3[[#This Row],[Date of Update]],
IFERROR(
  IF(
    COUNTIF(A$2:A$1997, A190) &gt; 1,
    MIN(IF(A$2:A$1997=A190, IF(B$2:B$1997&gt;B190, B$2:B$1997))) - B190,
    TODAY() - Table3[[#This Row],[Date of Update]]
  ),
  TODAY()-Table3[[#This Row],[Date of Update]]
)))</f>
        <v>0</v>
      </c>
      <c r="G190" s="40">
        <f>IF(Table3[[#This Row],[Stage]]="Closed",Table3[[#This Row],[Date of Update]]-(_xlfn.MINIFS(Table3[Date of Update],Table3[Ref], Table3[[#This Row],[Ref]])),"")</f>
        <v>30</v>
      </c>
    </row>
    <row r="191" spans="1:7" x14ac:dyDescent="0.25">
      <c r="A191" s="39" t="s">
        <v>1529</v>
      </c>
      <c r="B191" s="33">
        <v>44806</v>
      </c>
      <c r="C191" s="32" t="s">
        <v>169</v>
      </c>
      <c r="D191" s="32" t="s">
        <v>4</v>
      </c>
      <c r="E191" s="32" t="s">
        <v>255</v>
      </c>
      <c r="F191" s="32" cm="1">
        <f t="array" aca="1" ref="F191" ca="1">IF(Table3[[#This Row],[Stage]]="Closed",0,IF(IFERROR(
  IF(
    COUNTIF(A$2:A$1997, A191) &gt; 1,
    MIN(IF(A$2:A$1997=A191, IF(B$2:B$1997&gt;B191, B$2:B$1997))) - B191,
    TODAY() - Table3[[#This Row],[Date of Update]]
  ),
  TODAY()-Table3[[#This Row],[Date of Update]]
)&lt;=0,
TODAY()-Table3[[#This Row],[Date of Update]],
IFERROR(
  IF(
    COUNTIF(A$2:A$1997, A191) &gt; 1,
    MIN(IF(A$2:A$1997=A191, IF(B$2:B$1997&gt;B191, B$2:B$1997))) - B191,
    TODAY() - Table3[[#This Row],[Date of Update]]
  ),
  TODAY()-Table3[[#This Row],[Date of Update]]
)))</f>
        <v>0</v>
      </c>
      <c r="G191" s="40">
        <f>IF(Table3[[#This Row],[Stage]]="Closed",Table3[[#This Row],[Date of Update]]-(_xlfn.MINIFS(Table3[Date of Update],Table3[Ref], Table3[[#This Row],[Ref]])),"")</f>
        <v>30</v>
      </c>
    </row>
    <row r="192" spans="1:7" x14ac:dyDescent="0.25">
      <c r="A192" s="39" t="s">
        <v>1148</v>
      </c>
      <c r="B192" s="33">
        <v>44807</v>
      </c>
      <c r="C192" s="32" t="s">
        <v>169</v>
      </c>
      <c r="D192" s="32" t="s">
        <v>4</v>
      </c>
      <c r="E192" s="32" t="s">
        <v>255</v>
      </c>
      <c r="F192" s="32" cm="1">
        <f t="array" aca="1" ref="F192" ca="1">IF(Table3[[#This Row],[Stage]]="Closed",0,IF(IFERROR(
  IF(
    COUNTIF(A$2:A$1997, A192) &gt; 1,
    MIN(IF(A$2:A$1997=A192, IF(B$2:B$1997&gt;B192, B$2:B$1997))) - B192,
    TODAY() - Table3[[#This Row],[Date of Update]]
  ),
  TODAY()-Table3[[#This Row],[Date of Update]]
)&lt;=0,
TODAY()-Table3[[#This Row],[Date of Update]],
IFERROR(
  IF(
    COUNTIF(A$2:A$1997, A192) &gt; 1,
    MIN(IF(A$2:A$1997=A192, IF(B$2:B$1997&gt;B192, B$2:B$1997))) - B192,
    TODAY() - Table3[[#This Row],[Date of Update]]
  ),
  TODAY()-Table3[[#This Row],[Date of Update]]
)))</f>
        <v>0</v>
      </c>
      <c r="G192" s="40">
        <f>IF(Table3[[#This Row],[Stage]]="Closed",Table3[[#This Row],[Date of Update]]-(_xlfn.MINIFS(Table3[Date of Update],Table3[Ref], Table3[[#This Row],[Ref]])),"")</f>
        <v>30</v>
      </c>
    </row>
    <row r="193" spans="1:7" x14ac:dyDescent="0.25">
      <c r="A193" s="39" t="s">
        <v>1149</v>
      </c>
      <c r="B193" s="33">
        <v>44809</v>
      </c>
      <c r="C193" s="32" t="s">
        <v>169</v>
      </c>
      <c r="D193" s="32" t="s">
        <v>4</v>
      </c>
      <c r="E193" s="32"/>
      <c r="F193" s="32" cm="1">
        <f t="array" aca="1" ref="F193" ca="1">IF(Table3[[#This Row],[Stage]]="Closed",0,IF(IFERROR(
  IF(
    COUNTIF(A$2:A$1997, A193) &gt; 1,
    MIN(IF(A$2:A$1997=A193, IF(B$2:B$1997&gt;B193, B$2:B$1997))) - B193,
    TODAY() - Table3[[#This Row],[Date of Update]]
  ),
  TODAY()-Table3[[#This Row],[Date of Update]]
)&lt;=0,
TODAY()-Table3[[#This Row],[Date of Update]],
IFERROR(
  IF(
    COUNTIF(A$2:A$1997, A193) &gt; 1,
    MIN(IF(A$2:A$1997=A193, IF(B$2:B$1997&gt;B193, B$2:B$1997))) - B193,
    TODAY() - Table3[[#This Row],[Date of Update]]
  ),
  TODAY()-Table3[[#This Row],[Date of Update]]
)))</f>
        <v>0</v>
      </c>
      <c r="G193" s="40">
        <f>IF(Table3[[#This Row],[Stage]]="Closed",Table3[[#This Row],[Date of Update]]-(_xlfn.MINIFS(Table3[Date of Update],Table3[Ref], Table3[[#This Row],[Ref]])),"")</f>
        <v>59</v>
      </c>
    </row>
    <row r="194" spans="1:7" x14ac:dyDescent="0.25">
      <c r="A194" s="39" t="s">
        <v>1150</v>
      </c>
      <c r="B194" s="33">
        <v>44811</v>
      </c>
      <c r="C194" s="32" t="s">
        <v>169</v>
      </c>
      <c r="D194" s="32" t="s">
        <v>4</v>
      </c>
      <c r="E194" s="32" t="s">
        <v>352</v>
      </c>
      <c r="F194" s="32" cm="1">
        <f t="array" aca="1" ref="F194" ca="1">IF(Table3[[#This Row],[Stage]]="Closed",0,IF(IFERROR(
  IF(
    COUNTIF(A$2:A$1997, A194) &gt; 1,
    MIN(IF(A$2:A$1997=A194, IF(B$2:B$1997&gt;B194, B$2:B$1997))) - B194,
    TODAY() - Table3[[#This Row],[Date of Update]]
  ),
  TODAY()-Table3[[#This Row],[Date of Update]]
)&lt;=0,
TODAY()-Table3[[#This Row],[Date of Update]],
IFERROR(
  IF(
    COUNTIF(A$2:A$1997, A194) &gt; 1,
    MIN(IF(A$2:A$1997=A194, IF(B$2:B$1997&gt;B194, B$2:B$1997))) - B194,
    TODAY() - Table3[[#This Row],[Date of Update]]
  ),
  TODAY()-Table3[[#This Row],[Date of Update]]
)))</f>
        <v>0</v>
      </c>
      <c r="G194" s="40">
        <f>IF(Table3[[#This Row],[Stage]]="Closed",Table3[[#This Row],[Date of Update]]-(_xlfn.MINIFS(Table3[Date of Update],Table3[Ref], Table3[[#This Row],[Ref]])),"")</f>
        <v>71</v>
      </c>
    </row>
    <row r="195" spans="1:7" x14ac:dyDescent="0.25">
      <c r="A195" s="39" t="s">
        <v>1151</v>
      </c>
      <c r="B195" s="33">
        <v>44811</v>
      </c>
      <c r="C195" s="32" t="s">
        <v>169</v>
      </c>
      <c r="D195" s="32" t="s">
        <v>4</v>
      </c>
      <c r="E195" s="32" t="s">
        <v>356</v>
      </c>
      <c r="F195" s="32" cm="1">
        <f t="array" aca="1" ref="F195" ca="1">IF(Table3[[#This Row],[Stage]]="Closed",0,IF(IFERROR(
  IF(
    COUNTIF(A$2:A$1997, A195) &gt; 1,
    MIN(IF(A$2:A$1997=A195, IF(B$2:B$1997&gt;B195, B$2:B$1997))) - B195,
    TODAY() - Table3[[#This Row],[Date of Update]]
  ),
  TODAY()-Table3[[#This Row],[Date of Update]]
)&lt;=0,
TODAY()-Table3[[#This Row],[Date of Update]],
IFERROR(
  IF(
    COUNTIF(A$2:A$1997, A195) &gt; 1,
    MIN(IF(A$2:A$1997=A195, IF(B$2:B$1997&gt;B195, B$2:B$1997))) - B195,
    TODAY() - Table3[[#This Row],[Date of Update]]
  ),
  TODAY()-Table3[[#This Row],[Date of Update]]
)))</f>
        <v>0</v>
      </c>
      <c r="G195" s="40">
        <f>IF(Table3[[#This Row],[Stage]]="Closed",Table3[[#This Row],[Date of Update]]-(_xlfn.MINIFS(Table3[Date of Update],Table3[Ref], Table3[[#This Row],[Ref]])),"")</f>
        <v>29</v>
      </c>
    </row>
    <row r="196" spans="1:7" x14ac:dyDescent="0.25">
      <c r="A196" s="39" t="s">
        <v>1530</v>
      </c>
      <c r="B196" s="33">
        <v>44813</v>
      </c>
      <c r="C196" s="32" t="s">
        <v>23</v>
      </c>
      <c r="D196" s="32" t="s">
        <v>4</v>
      </c>
      <c r="E196" s="32" t="s">
        <v>387</v>
      </c>
      <c r="F196" s="32" cm="1">
        <f t="array" aca="1" ref="F196" ca="1">IF(Table3[[#This Row],[Stage]]="Closed",0,IF(IFERROR(
  IF(
    COUNTIF(A$2:A$1997, A196) &gt; 1,
    MIN(IF(A$2:A$1997=A196, IF(B$2:B$1997&gt;B196, B$2:B$1997))) - B196,
    TODAY() - Table3[[#This Row],[Date of Update]]
  ),
  TODAY()-Table3[[#This Row],[Date of Update]]
)&lt;=0,
TODAY()-Table3[[#This Row],[Date of Update]],
IFERROR(
  IF(
    COUNTIF(A$2:A$1997, A196) &gt; 1,
    MIN(IF(A$2:A$1997=A196, IF(B$2:B$1997&gt;B196, B$2:B$1997))) - B196,
    TODAY() - Table3[[#This Row],[Date of Update]]
  ),
  TODAY()-Table3[[#This Row],[Date of Update]]
)))</f>
        <v>175</v>
      </c>
      <c r="G196" s="40" t="str">
        <f>IF(Table3[[#This Row],[Stage]]="Closed",Table3[[#This Row],[Date of Update]]-(_xlfn.MINIFS(Table3[Date of Update],Table3[Ref], Table3[[#This Row],[Ref]])),"")</f>
        <v/>
      </c>
    </row>
    <row r="197" spans="1:7" x14ac:dyDescent="0.25">
      <c r="A197" s="39" t="s">
        <v>1531</v>
      </c>
      <c r="B197" s="33">
        <v>44813</v>
      </c>
      <c r="C197" s="32" t="s">
        <v>23</v>
      </c>
      <c r="D197" s="32" t="s">
        <v>4</v>
      </c>
      <c r="E197" s="32" t="s">
        <v>387</v>
      </c>
      <c r="F197" s="32" cm="1">
        <f t="array" aca="1" ref="F197" ca="1">IF(Table3[[#This Row],[Stage]]="Closed",0,IF(IFERROR(
  IF(
    COUNTIF(A$2:A$1997, A197) &gt; 1,
    MIN(IF(A$2:A$1997=A197, IF(B$2:B$1997&gt;B197, B$2:B$1997))) - B197,
    TODAY() - Table3[[#This Row],[Date of Update]]
  ),
  TODAY()-Table3[[#This Row],[Date of Update]]
)&lt;=0,
TODAY()-Table3[[#This Row],[Date of Update]],
IFERROR(
  IF(
    COUNTIF(A$2:A$1997, A197) &gt; 1,
    MIN(IF(A$2:A$1997=A197, IF(B$2:B$1997&gt;B197, B$2:B$1997))) - B197,
    TODAY() - Table3[[#This Row],[Date of Update]]
  ),
  TODAY()-Table3[[#This Row],[Date of Update]]
)))</f>
        <v>175</v>
      </c>
      <c r="G197" s="40" t="str">
        <f>IF(Table3[[#This Row],[Stage]]="Closed",Table3[[#This Row],[Date of Update]]-(_xlfn.MINIFS(Table3[Date of Update],Table3[Ref], Table3[[#This Row],[Ref]])),"")</f>
        <v/>
      </c>
    </row>
    <row r="198" spans="1:7" x14ac:dyDescent="0.25">
      <c r="A198" s="39" t="s">
        <v>1152</v>
      </c>
      <c r="B198" s="33">
        <v>44814</v>
      </c>
      <c r="C198" s="32" t="s">
        <v>169</v>
      </c>
      <c r="D198" s="32" t="s">
        <v>4</v>
      </c>
      <c r="E198" s="32"/>
      <c r="F198" s="32" cm="1">
        <f t="array" aca="1" ref="F198" ca="1">IF(Table3[[#This Row],[Stage]]="Closed",0,IF(IFERROR(
  IF(
    COUNTIF(A$2:A$1997, A198) &gt; 1,
    MIN(IF(A$2:A$1997=A198, IF(B$2:B$1997&gt;B198, B$2:B$1997))) - B198,
    TODAY() - Table3[[#This Row],[Date of Update]]
  ),
  TODAY()-Table3[[#This Row],[Date of Update]]
)&lt;=0,
TODAY()-Table3[[#This Row],[Date of Update]],
IFERROR(
  IF(
    COUNTIF(A$2:A$1997, A198) &gt; 1,
    MIN(IF(A$2:A$1997=A198, IF(B$2:B$1997&gt;B198, B$2:B$1997))) - B198,
    TODAY() - Table3[[#This Row],[Date of Update]]
  ),
  TODAY()-Table3[[#This Row],[Date of Update]]
)))</f>
        <v>0</v>
      </c>
      <c r="G198" s="40">
        <f>IF(Table3[[#This Row],[Stage]]="Closed",Table3[[#This Row],[Date of Update]]-(_xlfn.MINIFS(Table3[Date of Update],Table3[Ref], Table3[[#This Row],[Ref]])),"")</f>
        <v>30</v>
      </c>
    </row>
    <row r="199" spans="1:7" x14ac:dyDescent="0.25">
      <c r="A199" s="39" t="s">
        <v>1158</v>
      </c>
      <c r="B199" s="33">
        <v>44816</v>
      </c>
      <c r="C199" s="32" t="s">
        <v>169</v>
      </c>
      <c r="D199" s="32" t="s">
        <v>4</v>
      </c>
      <c r="E199" s="32" t="s">
        <v>362</v>
      </c>
      <c r="F199" s="32" cm="1">
        <f t="array" aca="1" ref="F199" ca="1">IF(Table3[[#This Row],[Stage]]="Closed",0,IF(IFERROR(
  IF(
    COUNTIF(A$2:A$1997, A199) &gt; 1,
    MIN(IF(A$2:A$1997=A199, IF(B$2:B$1997&gt;B199, B$2:B$1997))) - B199,
    TODAY() - Table3[[#This Row],[Date of Update]]
  ),
  TODAY()-Table3[[#This Row],[Date of Update]]
)&lt;=0,
TODAY()-Table3[[#This Row],[Date of Update]],
IFERROR(
  IF(
    COUNTIF(A$2:A$1997, A199) &gt; 1,
    MIN(IF(A$2:A$1997=A199, IF(B$2:B$1997&gt;B199, B$2:B$1997))) - B199,
    TODAY() - Table3[[#This Row],[Date of Update]]
  ),
  TODAY()-Table3[[#This Row],[Date of Update]]
)))</f>
        <v>0</v>
      </c>
      <c r="G199" s="40">
        <f>IF(Table3[[#This Row],[Stage]]="Closed",Table3[[#This Row],[Date of Update]]-(_xlfn.MINIFS(Table3[Date of Update],Table3[Ref], Table3[[#This Row],[Ref]])),"")</f>
        <v>76</v>
      </c>
    </row>
    <row r="200" spans="1:7" x14ac:dyDescent="0.25">
      <c r="A200" s="39" t="s">
        <v>1490</v>
      </c>
      <c r="B200" s="33">
        <v>44816</v>
      </c>
      <c r="C200" s="32" t="s">
        <v>169</v>
      </c>
      <c r="D200" s="32" t="s">
        <v>4</v>
      </c>
      <c r="E200" s="32" t="s">
        <v>362</v>
      </c>
      <c r="F200" s="32" cm="1">
        <f t="array" aca="1" ref="F200" ca="1">IF(Table3[[#This Row],[Stage]]="Closed",0,IF(IFERROR(
  IF(
    COUNTIF(A$2:A$1997, A200) &gt; 1,
    MIN(IF(A$2:A$1997=A200, IF(B$2:B$1997&gt;B200, B$2:B$1997))) - B200,
    TODAY() - Table3[[#This Row],[Date of Update]]
  ),
  TODAY()-Table3[[#This Row],[Date of Update]]
)&lt;=0,
TODAY()-Table3[[#This Row],[Date of Update]],
IFERROR(
  IF(
    COUNTIF(A$2:A$1997, A200) &gt; 1,
    MIN(IF(A$2:A$1997=A200, IF(B$2:B$1997&gt;B200, B$2:B$1997))) - B200,
    TODAY() - Table3[[#This Row],[Date of Update]]
  ),
  TODAY()-Table3[[#This Row],[Date of Update]]
)))</f>
        <v>0</v>
      </c>
      <c r="G200" s="40">
        <f>IF(Table3[[#This Row],[Stage]]="Closed",Table3[[#This Row],[Date of Update]]-(_xlfn.MINIFS(Table3[Date of Update],Table3[Ref], Table3[[#This Row],[Ref]])),"")</f>
        <v>110</v>
      </c>
    </row>
    <row r="201" spans="1:7" x14ac:dyDescent="0.25">
      <c r="A201" s="39" t="s">
        <v>1172</v>
      </c>
      <c r="B201" s="33">
        <v>44816</v>
      </c>
      <c r="C201" s="32" t="s">
        <v>23</v>
      </c>
      <c r="D201" s="32" t="s">
        <v>4</v>
      </c>
      <c r="E201" s="32" t="s">
        <v>398</v>
      </c>
      <c r="F201" s="32" cm="1">
        <f t="array" aca="1" ref="F201" ca="1">IF(Table3[[#This Row],[Stage]]="Closed",0,IF(IFERROR(
  IF(
    COUNTIF(A$2:A$1997, A201) &gt; 1,
    MIN(IF(A$2:A$1997=A201, IF(B$2:B$1997&gt;B201, B$2:B$1997))) - B201,
    TODAY() - Table3[[#This Row],[Date of Update]]
  ),
  TODAY()-Table3[[#This Row],[Date of Update]]
)&lt;=0,
TODAY()-Table3[[#This Row],[Date of Update]],
IFERROR(
  IF(
    COUNTIF(A$2:A$1997, A201) &gt; 1,
    MIN(IF(A$2:A$1997=A201, IF(B$2:B$1997&gt;B201, B$2:B$1997))) - B201,
    TODAY() - Table3[[#This Row],[Date of Update]]
  ),
  TODAY()-Table3[[#This Row],[Date of Update]]
)))</f>
        <v>172</v>
      </c>
      <c r="G201" s="40" t="str">
        <f>IF(Table3[[#This Row],[Stage]]="Closed",Table3[[#This Row],[Date of Update]]-(_xlfn.MINIFS(Table3[Date of Update],Table3[Ref], Table3[[#This Row],[Ref]])),"")</f>
        <v/>
      </c>
    </row>
    <row r="202" spans="1:7" x14ac:dyDescent="0.25">
      <c r="A202" s="39" t="s">
        <v>1156</v>
      </c>
      <c r="B202" s="33">
        <v>44816</v>
      </c>
      <c r="C202" s="32" t="s">
        <v>169</v>
      </c>
      <c r="D202" s="32" t="s">
        <v>4</v>
      </c>
      <c r="E202" s="32" t="s">
        <v>362</v>
      </c>
      <c r="F202" s="32" cm="1">
        <f t="array" aca="1" ref="F202" ca="1">IF(Table3[[#This Row],[Stage]]="Closed",0,IF(IFERROR(
  IF(
    COUNTIF(A$2:A$1997, A202) &gt; 1,
    MIN(IF(A$2:A$1997=A202, IF(B$2:B$1997&gt;B202, B$2:B$1997))) - B202,
    TODAY() - Table3[[#This Row],[Date of Update]]
  ),
  TODAY()-Table3[[#This Row],[Date of Update]]
)&lt;=0,
TODAY()-Table3[[#This Row],[Date of Update]],
IFERROR(
  IF(
    COUNTIF(A$2:A$1997, A202) &gt; 1,
    MIN(IF(A$2:A$1997=A202, IF(B$2:B$1997&gt;B202, B$2:B$1997))) - B202,
    TODAY() - Table3[[#This Row],[Date of Update]]
  ),
  TODAY()-Table3[[#This Row],[Date of Update]]
)))</f>
        <v>0</v>
      </c>
      <c r="G202" s="40">
        <f>IF(Table3[[#This Row],[Stage]]="Closed",Table3[[#This Row],[Date of Update]]-(_xlfn.MINIFS(Table3[Date of Update],Table3[Ref], Table3[[#This Row],[Ref]])),"")</f>
        <v>96</v>
      </c>
    </row>
    <row r="203" spans="1:7" x14ac:dyDescent="0.25">
      <c r="A203" s="39" t="s">
        <v>1154</v>
      </c>
      <c r="B203" s="33">
        <v>44816</v>
      </c>
      <c r="C203" s="32" t="s">
        <v>169</v>
      </c>
      <c r="D203" s="32" t="s">
        <v>4</v>
      </c>
      <c r="E203" s="32" t="s">
        <v>362</v>
      </c>
      <c r="F203" s="32" cm="1">
        <f t="array" aca="1" ref="F203" ca="1">IF(Table3[[#This Row],[Stage]]="Closed",0,IF(IFERROR(
  IF(
    COUNTIF(A$2:A$1997, A203) &gt; 1,
    MIN(IF(A$2:A$1997=A203, IF(B$2:B$1997&gt;B203, B$2:B$1997))) - B203,
    TODAY() - Table3[[#This Row],[Date of Update]]
  ),
  TODAY()-Table3[[#This Row],[Date of Update]]
)&lt;=0,
TODAY()-Table3[[#This Row],[Date of Update]],
IFERROR(
  IF(
    COUNTIF(A$2:A$1997, A203) &gt; 1,
    MIN(IF(A$2:A$1997=A203, IF(B$2:B$1997&gt;B203, B$2:B$1997))) - B203,
    TODAY() - Table3[[#This Row],[Date of Update]]
  ),
  TODAY()-Table3[[#This Row],[Date of Update]]
)))</f>
        <v>0</v>
      </c>
      <c r="G203" s="40">
        <f>IF(Table3[[#This Row],[Stage]]="Closed",Table3[[#This Row],[Date of Update]]-(_xlfn.MINIFS(Table3[Date of Update],Table3[Ref], Table3[[#This Row],[Ref]])),"")</f>
        <v>123</v>
      </c>
    </row>
    <row r="204" spans="1:7" x14ac:dyDescent="0.25">
      <c r="A204" s="39" t="s">
        <v>1153</v>
      </c>
      <c r="B204" s="33">
        <v>44816</v>
      </c>
      <c r="C204" s="32" t="s">
        <v>169</v>
      </c>
      <c r="D204" s="32" t="s">
        <v>4</v>
      </c>
      <c r="E204" s="32" t="s">
        <v>362</v>
      </c>
      <c r="F204" s="32" cm="1">
        <f t="array" aca="1" ref="F204" ca="1">IF(Table3[[#This Row],[Stage]]="Closed",0,IF(IFERROR(
  IF(
    COUNTIF(A$2:A$1997, A204) &gt; 1,
    MIN(IF(A$2:A$1997=A204, IF(B$2:B$1997&gt;B204, B$2:B$1997))) - B204,
    TODAY() - Table3[[#This Row],[Date of Update]]
  ),
  TODAY()-Table3[[#This Row],[Date of Update]]
)&lt;=0,
TODAY()-Table3[[#This Row],[Date of Update]],
IFERROR(
  IF(
    COUNTIF(A$2:A$1997, A204) &gt; 1,
    MIN(IF(A$2:A$1997=A204, IF(B$2:B$1997&gt;B204, B$2:B$1997))) - B204,
    TODAY() - Table3[[#This Row],[Date of Update]]
  ),
  TODAY()-Table3[[#This Row],[Date of Update]]
)))</f>
        <v>0</v>
      </c>
      <c r="G204" s="40">
        <f>IF(Table3[[#This Row],[Stage]]="Closed",Table3[[#This Row],[Date of Update]]-(_xlfn.MINIFS(Table3[Date of Update],Table3[Ref], Table3[[#This Row],[Ref]])),"")</f>
        <v>126</v>
      </c>
    </row>
    <row r="205" spans="1:7" x14ac:dyDescent="0.25">
      <c r="A205" s="39" t="s">
        <v>1155</v>
      </c>
      <c r="B205" s="33">
        <v>44816</v>
      </c>
      <c r="C205" s="32" t="s">
        <v>169</v>
      </c>
      <c r="D205" s="32" t="s">
        <v>4</v>
      </c>
      <c r="E205" s="32" t="s">
        <v>362</v>
      </c>
      <c r="F205" s="32" cm="1">
        <f t="array" aca="1" ref="F205" ca="1">IF(Table3[[#This Row],[Stage]]="Closed",0,IF(IFERROR(
  IF(
    COUNTIF(A$2:A$1997, A205) &gt; 1,
    MIN(IF(A$2:A$1997=A205, IF(B$2:B$1997&gt;B205, B$2:B$1997))) - B205,
    TODAY() - Table3[[#This Row],[Date of Update]]
  ),
  TODAY()-Table3[[#This Row],[Date of Update]]
)&lt;=0,
TODAY()-Table3[[#This Row],[Date of Update]],
IFERROR(
  IF(
    COUNTIF(A$2:A$1997, A205) &gt; 1,
    MIN(IF(A$2:A$1997=A205, IF(B$2:B$1997&gt;B205, B$2:B$1997))) - B205,
    TODAY() - Table3[[#This Row],[Date of Update]]
  ),
  TODAY()-Table3[[#This Row],[Date of Update]]
)))</f>
        <v>0</v>
      </c>
      <c r="G205" s="40">
        <f>IF(Table3[[#This Row],[Stage]]="Closed",Table3[[#This Row],[Date of Update]]-(_xlfn.MINIFS(Table3[Date of Update],Table3[Ref], Table3[[#This Row],[Ref]])),"")</f>
        <v>110</v>
      </c>
    </row>
    <row r="206" spans="1:7" x14ac:dyDescent="0.25">
      <c r="A206" s="39" t="s">
        <v>1159</v>
      </c>
      <c r="B206" s="33">
        <v>44816</v>
      </c>
      <c r="C206" s="32" t="s">
        <v>169</v>
      </c>
      <c r="D206" s="32" t="s">
        <v>4</v>
      </c>
      <c r="E206" s="32" t="s">
        <v>362</v>
      </c>
      <c r="F206" s="32" cm="1">
        <f t="array" aca="1" ref="F206" ca="1">IF(Table3[[#This Row],[Stage]]="Closed",0,IF(IFERROR(
  IF(
    COUNTIF(A$2:A$1997, A206) &gt; 1,
    MIN(IF(A$2:A$1997=A206, IF(B$2:B$1997&gt;B206, B$2:B$1997))) - B206,
    TODAY() - Table3[[#This Row],[Date of Update]]
  ),
  TODAY()-Table3[[#This Row],[Date of Update]]
)&lt;=0,
TODAY()-Table3[[#This Row],[Date of Update]],
IFERROR(
  IF(
    COUNTIF(A$2:A$1997, A206) &gt; 1,
    MIN(IF(A$2:A$1997=A206, IF(B$2:B$1997&gt;B206, B$2:B$1997))) - B206,
    TODAY() - Table3[[#This Row],[Date of Update]]
  ),
  TODAY()-Table3[[#This Row],[Date of Update]]
)))</f>
        <v>0</v>
      </c>
      <c r="G206" s="40">
        <f>IF(Table3[[#This Row],[Stage]]="Closed",Table3[[#This Row],[Date of Update]]-(_xlfn.MINIFS(Table3[Date of Update],Table3[Ref], Table3[[#This Row],[Ref]])),"")</f>
        <v>69</v>
      </c>
    </row>
    <row r="207" spans="1:7" x14ac:dyDescent="0.25">
      <c r="A207" s="39" t="s">
        <v>1160</v>
      </c>
      <c r="B207" s="33">
        <v>44816</v>
      </c>
      <c r="C207" s="32" t="s">
        <v>169</v>
      </c>
      <c r="D207" s="32" t="s">
        <v>4</v>
      </c>
      <c r="E207" s="32" t="s">
        <v>373</v>
      </c>
      <c r="F207" s="32" cm="1">
        <f t="array" aca="1" ref="F207" ca="1">IF(Table3[[#This Row],[Stage]]="Closed",0,IF(IFERROR(
  IF(
    COUNTIF(A$2:A$1997, A207) &gt; 1,
    MIN(IF(A$2:A$1997=A207, IF(B$2:B$1997&gt;B207, B$2:B$1997))) - B207,
    TODAY() - Table3[[#This Row],[Date of Update]]
  ),
  TODAY()-Table3[[#This Row],[Date of Update]]
)&lt;=0,
TODAY()-Table3[[#This Row],[Date of Update]],
IFERROR(
  IF(
    COUNTIF(A$2:A$1997, A207) &gt; 1,
    MIN(IF(A$2:A$1997=A207, IF(B$2:B$1997&gt;B207, B$2:B$1997))) - B207,
    TODAY() - Table3[[#This Row],[Date of Update]]
  ),
  TODAY()-Table3[[#This Row],[Date of Update]]
)))</f>
        <v>0</v>
      </c>
      <c r="G207" s="40">
        <f>IF(Table3[[#This Row],[Stage]]="Closed",Table3[[#This Row],[Date of Update]]-(_xlfn.MINIFS(Table3[Date of Update],Table3[Ref], Table3[[#This Row],[Ref]])),"")</f>
        <v>47</v>
      </c>
    </row>
    <row r="208" spans="1:7" x14ac:dyDescent="0.25">
      <c r="A208" s="39" t="s">
        <v>1157</v>
      </c>
      <c r="B208" s="33">
        <v>44816</v>
      </c>
      <c r="C208" s="32" t="s">
        <v>169</v>
      </c>
      <c r="D208" s="32" t="s">
        <v>4</v>
      </c>
      <c r="E208" s="32" t="s">
        <v>362</v>
      </c>
      <c r="F208" s="32" cm="1">
        <f t="array" aca="1" ref="F208" ca="1">IF(Table3[[#This Row],[Stage]]="Closed",0,IF(IFERROR(
  IF(
    COUNTIF(A$2:A$1997, A208) &gt; 1,
    MIN(IF(A$2:A$1997=A208, IF(B$2:B$1997&gt;B208, B$2:B$1997))) - B208,
    TODAY() - Table3[[#This Row],[Date of Update]]
  ),
  TODAY()-Table3[[#This Row],[Date of Update]]
)&lt;=0,
TODAY()-Table3[[#This Row],[Date of Update]],
IFERROR(
  IF(
    COUNTIF(A$2:A$1997, A208) &gt; 1,
    MIN(IF(A$2:A$1997=A208, IF(B$2:B$1997&gt;B208, B$2:B$1997))) - B208,
    TODAY() - Table3[[#This Row],[Date of Update]]
  ),
  TODAY()-Table3[[#This Row],[Date of Update]]
)))</f>
        <v>0</v>
      </c>
      <c r="G208" s="40">
        <f>IF(Table3[[#This Row],[Stage]]="Closed",Table3[[#This Row],[Date of Update]]-(_xlfn.MINIFS(Table3[Date of Update],Table3[Ref], Table3[[#This Row],[Ref]])),"")</f>
        <v>87</v>
      </c>
    </row>
    <row r="209" spans="1:7" x14ac:dyDescent="0.25">
      <c r="A209" s="39" t="s">
        <v>1175</v>
      </c>
      <c r="B209" s="33">
        <v>44817</v>
      </c>
      <c r="C209" s="32" t="s">
        <v>23</v>
      </c>
      <c r="D209" s="32" t="s">
        <v>4</v>
      </c>
      <c r="E209" s="32" t="s">
        <v>406</v>
      </c>
      <c r="F209" s="32" cm="1">
        <f t="array" aca="1" ref="F209" ca="1">IF(Table3[[#This Row],[Stage]]="Closed",0,IF(IFERROR(
  IF(
    COUNTIF(A$2:A$1997, A209) &gt; 1,
    MIN(IF(A$2:A$1997=A209, IF(B$2:B$1997&gt;B209, B$2:B$1997))) - B209,
    TODAY() - Table3[[#This Row],[Date of Update]]
  ),
  TODAY()-Table3[[#This Row],[Date of Update]]
)&lt;=0,
TODAY()-Table3[[#This Row],[Date of Update]],
IFERROR(
  IF(
    COUNTIF(A$2:A$1997, A209) &gt; 1,
    MIN(IF(A$2:A$1997=A209, IF(B$2:B$1997&gt;B209, B$2:B$1997))) - B209,
    TODAY() - Table3[[#This Row],[Date of Update]]
  ),
  TODAY()-Table3[[#This Row],[Date of Update]]
)))</f>
        <v>171</v>
      </c>
      <c r="G209" s="40" t="str">
        <f>IF(Table3[[#This Row],[Stage]]="Closed",Table3[[#This Row],[Date of Update]]-(_xlfn.MINIFS(Table3[Date of Update],Table3[Ref], Table3[[#This Row],[Ref]])),"")</f>
        <v/>
      </c>
    </row>
    <row r="210" spans="1:7" x14ac:dyDescent="0.25">
      <c r="A210" s="39" t="s">
        <v>1165</v>
      </c>
      <c r="B210" s="33">
        <v>44818</v>
      </c>
      <c r="C210" s="32" t="s">
        <v>169</v>
      </c>
      <c r="D210" s="32" t="s">
        <v>4</v>
      </c>
      <c r="E210" s="32" t="s">
        <v>382</v>
      </c>
      <c r="F210" s="32" cm="1">
        <f t="array" aca="1" ref="F210" ca="1">IF(Table3[[#This Row],[Stage]]="Closed",0,IF(IFERROR(
  IF(
    COUNTIF(A$2:A$1997, A210) &gt; 1,
    MIN(IF(A$2:A$1997=A210, IF(B$2:B$1997&gt;B210, B$2:B$1997))) - B210,
    TODAY() - Table3[[#This Row],[Date of Update]]
  ),
  TODAY()-Table3[[#This Row],[Date of Update]]
)&lt;=0,
TODAY()-Table3[[#This Row],[Date of Update]],
IFERROR(
  IF(
    COUNTIF(A$2:A$1997, A210) &gt; 1,
    MIN(IF(A$2:A$1997=A210, IF(B$2:B$1997&gt;B210, B$2:B$1997))) - B210,
    TODAY() - Table3[[#This Row],[Date of Update]]
  ),
  TODAY()-Table3[[#This Row],[Date of Update]]
)))</f>
        <v>0</v>
      </c>
      <c r="G210" s="40">
        <f>IF(Table3[[#This Row],[Stage]]="Closed",Table3[[#This Row],[Date of Update]]-(_xlfn.MINIFS(Table3[Date of Update],Table3[Ref], Table3[[#This Row],[Ref]])),"")</f>
        <v>30</v>
      </c>
    </row>
    <row r="211" spans="1:7" x14ac:dyDescent="0.25">
      <c r="A211" s="39" t="s">
        <v>1162</v>
      </c>
      <c r="B211" s="33">
        <v>44818</v>
      </c>
      <c r="C211" s="32" t="s">
        <v>169</v>
      </c>
      <c r="D211" s="32" t="s">
        <v>4</v>
      </c>
      <c r="E211" s="32" t="s">
        <v>377</v>
      </c>
      <c r="F211" s="32" cm="1">
        <f t="array" aca="1" ref="F211" ca="1">IF(Table3[[#This Row],[Stage]]="Closed",0,IF(IFERROR(
  IF(
    COUNTIF(A$2:A$1997, A211) &gt; 1,
    MIN(IF(A$2:A$1997=A211, IF(B$2:B$1997&gt;B211, B$2:B$1997))) - B211,
    TODAY() - Table3[[#This Row],[Date of Update]]
  ),
  TODAY()-Table3[[#This Row],[Date of Update]]
)&lt;=0,
TODAY()-Table3[[#This Row],[Date of Update]],
IFERROR(
  IF(
    COUNTIF(A$2:A$1997, A211) &gt; 1,
    MIN(IF(A$2:A$1997=A211, IF(B$2:B$1997&gt;B211, B$2:B$1997))) - B211,
    TODAY() - Table3[[#This Row],[Date of Update]]
  ),
  TODAY()-Table3[[#This Row],[Date of Update]]
)))</f>
        <v>0</v>
      </c>
      <c r="G211" s="40">
        <f>IF(Table3[[#This Row],[Stage]]="Closed",Table3[[#This Row],[Date of Update]]-(_xlfn.MINIFS(Table3[Date of Update],Table3[Ref], Table3[[#This Row],[Ref]])),"")</f>
        <v>98</v>
      </c>
    </row>
    <row r="212" spans="1:7" x14ac:dyDescent="0.25">
      <c r="A212" s="39" t="s">
        <v>1161</v>
      </c>
      <c r="B212" s="33">
        <v>44818</v>
      </c>
      <c r="C212" s="32" t="s">
        <v>169</v>
      </c>
      <c r="D212" s="32" t="s">
        <v>4</v>
      </c>
      <c r="E212" s="32"/>
      <c r="F212" s="32" cm="1">
        <f t="array" aca="1" ref="F212" ca="1">IF(Table3[[#This Row],[Stage]]="Closed",0,IF(IFERROR(
  IF(
    COUNTIF(A$2:A$1997, A212) &gt; 1,
    MIN(IF(A$2:A$1997=A212, IF(B$2:B$1997&gt;B212, B$2:B$1997))) - B212,
    TODAY() - Table3[[#This Row],[Date of Update]]
  ),
  TODAY()-Table3[[#This Row],[Date of Update]]
)&lt;=0,
TODAY()-Table3[[#This Row],[Date of Update]],
IFERROR(
  IF(
    COUNTIF(A$2:A$1997, A212) &gt; 1,
    MIN(IF(A$2:A$1997=A212, IF(B$2:B$1997&gt;B212, B$2:B$1997))) - B212,
    TODAY() - Table3[[#This Row],[Date of Update]]
  ),
  TODAY()-Table3[[#This Row],[Date of Update]]
)))</f>
        <v>0</v>
      </c>
      <c r="G212" s="40">
        <f>IF(Table3[[#This Row],[Stage]]="Closed",Table3[[#This Row],[Date of Update]]-(_xlfn.MINIFS(Table3[Date of Update],Table3[Ref], Table3[[#This Row],[Ref]])),"")</f>
        <v>98</v>
      </c>
    </row>
    <row r="213" spans="1:7" x14ac:dyDescent="0.25">
      <c r="A213" s="39" t="s">
        <v>1164</v>
      </c>
      <c r="B213" s="33">
        <v>44818</v>
      </c>
      <c r="C213" s="32" t="s">
        <v>169</v>
      </c>
      <c r="D213" s="32" t="s">
        <v>4</v>
      </c>
      <c r="E213" s="32" t="s">
        <v>380</v>
      </c>
      <c r="F213" s="32" cm="1">
        <f t="array" aca="1" ref="F213" ca="1">IF(Table3[[#This Row],[Stage]]="Closed",0,IF(IFERROR(
  IF(
    COUNTIF(A$2:A$1997, A213) &gt; 1,
    MIN(IF(A$2:A$1997=A213, IF(B$2:B$1997&gt;B213, B$2:B$1997))) - B213,
    TODAY() - Table3[[#This Row],[Date of Update]]
  ),
  TODAY()-Table3[[#This Row],[Date of Update]]
)&lt;=0,
TODAY()-Table3[[#This Row],[Date of Update]],
IFERROR(
  IF(
    COUNTIF(A$2:A$1997, A213) &gt; 1,
    MIN(IF(A$2:A$1997=A213, IF(B$2:B$1997&gt;B213, B$2:B$1997))) - B213,
    TODAY() - Table3[[#This Row],[Date of Update]]
  ),
  TODAY()-Table3[[#This Row],[Date of Update]]
)))</f>
        <v>0</v>
      </c>
      <c r="G213" s="40">
        <f>IF(Table3[[#This Row],[Stage]]="Closed",Table3[[#This Row],[Date of Update]]-(_xlfn.MINIFS(Table3[Date of Update],Table3[Ref], Table3[[#This Row],[Ref]])),"")</f>
        <v>30</v>
      </c>
    </row>
    <row r="214" spans="1:7" x14ac:dyDescent="0.25">
      <c r="A214" s="39" t="s">
        <v>1163</v>
      </c>
      <c r="B214" s="33">
        <v>44818</v>
      </c>
      <c r="C214" s="32" t="s">
        <v>169</v>
      </c>
      <c r="D214" s="32" t="s">
        <v>4</v>
      </c>
      <c r="E214" s="32"/>
      <c r="F214" s="32" cm="1">
        <f t="array" aca="1" ref="F214" ca="1">IF(Table3[[#This Row],[Stage]]="Closed",0,IF(IFERROR(
  IF(
    COUNTIF(A$2:A$1997, A214) &gt; 1,
    MIN(IF(A$2:A$1997=A214, IF(B$2:B$1997&gt;B214, B$2:B$1997))) - B214,
    TODAY() - Table3[[#This Row],[Date of Update]]
  ),
  TODAY()-Table3[[#This Row],[Date of Update]]
)&lt;=0,
TODAY()-Table3[[#This Row],[Date of Update]],
IFERROR(
  IF(
    COUNTIF(A$2:A$1997, A214) &gt; 1,
    MIN(IF(A$2:A$1997=A214, IF(B$2:B$1997&gt;B214, B$2:B$1997))) - B214,
    TODAY() - Table3[[#This Row],[Date of Update]]
  ),
  TODAY()-Table3[[#This Row],[Date of Update]]
)))</f>
        <v>0</v>
      </c>
      <c r="G214" s="40">
        <f>IF(Table3[[#This Row],[Stage]]="Closed",Table3[[#This Row],[Date of Update]]-(_xlfn.MINIFS(Table3[Date of Update],Table3[Ref], Table3[[#This Row],[Ref]])),"")</f>
        <v>49</v>
      </c>
    </row>
    <row r="215" spans="1:7" x14ac:dyDescent="0.25">
      <c r="A215" s="39" t="s">
        <v>1532</v>
      </c>
      <c r="B215" s="33">
        <v>44819</v>
      </c>
      <c r="C215" s="32" t="s">
        <v>23</v>
      </c>
      <c r="D215" s="32" t="s">
        <v>4</v>
      </c>
      <c r="E215" s="32" t="s">
        <v>409</v>
      </c>
      <c r="F215" s="32" cm="1">
        <f t="array" aca="1" ref="F215" ca="1">IF(Table3[[#This Row],[Stage]]="Closed",0,IF(IFERROR(
  IF(
    COUNTIF(A$2:A$1997, A215) &gt; 1,
    MIN(IF(A$2:A$1997=A215, IF(B$2:B$1997&gt;B215, B$2:B$1997))) - B215,
    TODAY() - Table3[[#This Row],[Date of Update]]
  ),
  TODAY()-Table3[[#This Row],[Date of Update]]
)&lt;=0,
TODAY()-Table3[[#This Row],[Date of Update]],
IFERROR(
  IF(
    COUNTIF(A$2:A$1997, A215) &gt; 1,
    MIN(IF(A$2:A$1997=A215, IF(B$2:B$1997&gt;B215, B$2:B$1997))) - B215,
    TODAY() - Table3[[#This Row],[Date of Update]]
  ),
  TODAY()-Table3[[#This Row],[Date of Update]]
)))</f>
        <v>169</v>
      </c>
      <c r="G215" s="40" t="str">
        <f>IF(Table3[[#This Row],[Stage]]="Closed",Table3[[#This Row],[Date of Update]]-(_xlfn.MINIFS(Table3[Date of Update],Table3[Ref], Table3[[#This Row],[Ref]])),"")</f>
        <v/>
      </c>
    </row>
    <row r="216" spans="1:7" x14ac:dyDescent="0.25">
      <c r="A216" s="39" t="s">
        <v>1184</v>
      </c>
      <c r="B216" s="33">
        <v>44820</v>
      </c>
      <c r="C216" s="32" t="s">
        <v>23</v>
      </c>
      <c r="D216" s="32" t="s">
        <v>4</v>
      </c>
      <c r="E216" s="32" t="s">
        <v>439</v>
      </c>
      <c r="F216" s="32" cm="1">
        <f t="array" aca="1" ref="F216" ca="1">IF(Table3[[#This Row],[Stage]]="Closed",0,IF(IFERROR(
  IF(
    COUNTIF(A$2:A$1997, A216) &gt; 1,
    MIN(IF(A$2:A$1997=A216, IF(B$2:B$1997&gt;B216, B$2:B$1997))) - B216,
    TODAY() - Table3[[#This Row],[Date of Update]]
  ),
  TODAY()-Table3[[#This Row],[Date of Update]]
)&lt;=0,
TODAY()-Table3[[#This Row],[Date of Update]],
IFERROR(
  IF(
    COUNTIF(A$2:A$1997, A216) &gt; 1,
    MIN(IF(A$2:A$1997=A216, IF(B$2:B$1997&gt;B216, B$2:B$1997))) - B216,
    TODAY() - Table3[[#This Row],[Date of Update]]
  ),
  TODAY()-Table3[[#This Row],[Date of Update]]
)))</f>
        <v>94</v>
      </c>
      <c r="G216" s="40" t="str">
        <f>IF(Table3[[#This Row],[Stage]]="Closed",Table3[[#This Row],[Date of Update]]-(_xlfn.MINIFS(Table3[Date of Update],Table3[Ref], Table3[[#This Row],[Ref]])),"")</f>
        <v/>
      </c>
    </row>
    <row r="217" spans="1:7" x14ac:dyDescent="0.25">
      <c r="A217" s="39" t="s">
        <v>1167</v>
      </c>
      <c r="B217" s="33">
        <v>44820</v>
      </c>
      <c r="C217" s="32" t="s">
        <v>169</v>
      </c>
      <c r="D217" s="32" t="s">
        <v>4</v>
      </c>
      <c r="E217" s="32" t="s">
        <v>255</v>
      </c>
      <c r="F217" s="32" cm="1">
        <f t="array" aca="1" ref="F217" ca="1">IF(Table3[[#This Row],[Stage]]="Closed",0,IF(IFERROR(
  IF(
    COUNTIF(A$2:A$1997, A217) &gt; 1,
    MIN(IF(A$2:A$1997=A217, IF(B$2:B$1997&gt;B217, B$2:B$1997))) - B217,
    TODAY() - Table3[[#This Row],[Date of Update]]
  ),
  TODAY()-Table3[[#This Row],[Date of Update]]
)&lt;=0,
TODAY()-Table3[[#This Row],[Date of Update]],
IFERROR(
  IF(
    COUNTIF(A$2:A$1997, A217) &gt; 1,
    MIN(IF(A$2:A$1997=A217, IF(B$2:B$1997&gt;B217, B$2:B$1997))) - B217,
    TODAY() - Table3[[#This Row],[Date of Update]]
  ),
  TODAY()-Table3[[#This Row],[Date of Update]]
)))</f>
        <v>0</v>
      </c>
      <c r="G217" s="40">
        <f>IF(Table3[[#This Row],[Stage]]="Closed",Table3[[#This Row],[Date of Update]]-(_xlfn.MINIFS(Table3[Date of Update],Table3[Ref], Table3[[#This Row],[Ref]])),"")</f>
        <v>31</v>
      </c>
    </row>
    <row r="218" spans="1:7" x14ac:dyDescent="0.25">
      <c r="A218" s="39" t="s">
        <v>1196</v>
      </c>
      <c r="B218" s="33">
        <v>44824</v>
      </c>
      <c r="C218" s="32" t="s">
        <v>23</v>
      </c>
      <c r="D218" s="32" t="s">
        <v>4</v>
      </c>
      <c r="E218" s="32" t="s">
        <v>463</v>
      </c>
      <c r="F218" s="32" cm="1">
        <f t="array" aca="1" ref="F218" ca="1">IF(Table3[[#This Row],[Stage]]="Closed",0,IF(IFERROR(
  IF(
    COUNTIF(A$2:A$1997, A218) &gt; 1,
    MIN(IF(A$2:A$1997=A218, IF(B$2:B$1997&gt;B218, B$2:B$1997))) - B218,
    TODAY() - Table3[[#This Row],[Date of Update]]
  ),
  TODAY()-Table3[[#This Row],[Date of Update]]
)&lt;=0,
TODAY()-Table3[[#This Row],[Date of Update]],
IFERROR(
  IF(
    COUNTIF(A$2:A$1997, A218) &gt; 1,
    MIN(IF(A$2:A$1997=A218, IF(B$2:B$1997&gt;B218, B$2:B$1997))) - B218,
    TODAY() - Table3[[#This Row],[Date of Update]]
  ),
  TODAY()-Table3[[#This Row],[Date of Update]]
)))</f>
        <v>106</v>
      </c>
      <c r="G218" s="40" t="str">
        <f>IF(Table3[[#This Row],[Stage]]="Closed",Table3[[#This Row],[Date of Update]]-(_xlfn.MINIFS(Table3[Date of Update],Table3[Ref], Table3[[#This Row],[Ref]])),"")</f>
        <v/>
      </c>
    </row>
    <row r="219" spans="1:7" x14ac:dyDescent="0.25">
      <c r="A219" s="39" t="s">
        <v>1168</v>
      </c>
      <c r="B219" s="33">
        <v>44826</v>
      </c>
      <c r="C219" s="32" t="s">
        <v>23</v>
      </c>
      <c r="D219" s="32" t="s">
        <v>4</v>
      </c>
      <c r="E219" s="32" t="s">
        <v>386</v>
      </c>
      <c r="F219" s="32" cm="1">
        <f t="array" aca="1" ref="F219" ca="1">IF(Table3[[#This Row],[Stage]]="Closed",0,IF(IFERROR(
  IF(
    COUNTIF(A$2:A$1997, A219) &gt; 1,
    MIN(IF(A$2:A$1997=A219, IF(B$2:B$1997&gt;B219, B$2:B$1997))) - B219,
    TODAY() - Table3[[#This Row],[Date of Update]]
  ),
  TODAY()-Table3[[#This Row],[Date of Update]]
)&lt;=0,
TODAY()-Table3[[#This Row],[Date of Update]],
IFERROR(
  IF(
    COUNTIF(A$2:A$1997, A219) &gt; 1,
    MIN(IF(A$2:A$1997=A219, IF(B$2:B$1997&gt;B219, B$2:B$1997))) - B219,
    TODAY() - Table3[[#This Row],[Date of Update]]
  ),
  TODAY()-Table3[[#This Row],[Date of Update]]
)))</f>
        <v>30</v>
      </c>
      <c r="G219" s="40" t="str">
        <f>IF(Table3[[#This Row],[Stage]]="Closed",Table3[[#This Row],[Date of Update]]-(_xlfn.MINIFS(Table3[Date of Update],Table3[Ref], Table3[[#This Row],[Ref]])),"")</f>
        <v/>
      </c>
    </row>
    <row r="220" spans="1:7" x14ac:dyDescent="0.25">
      <c r="A220" s="39" t="s">
        <v>1265</v>
      </c>
      <c r="B220" s="33">
        <v>44826</v>
      </c>
      <c r="C220" s="32" t="s">
        <v>23</v>
      </c>
      <c r="D220" s="32" t="s">
        <v>4</v>
      </c>
      <c r="E220" s="32" t="s">
        <v>639</v>
      </c>
      <c r="F220" s="32" cm="1">
        <f t="array" aca="1" ref="F220" ca="1">IF(Table3[[#This Row],[Stage]]="Closed",0,IF(IFERROR(
  IF(
    COUNTIF(A$2:A$1997, A220) &gt; 1,
    MIN(IF(A$2:A$1997=A220, IF(B$2:B$1997&gt;B220, B$2:B$1997))) - B220,
    TODAY() - Table3[[#This Row],[Date of Update]]
  ),
  TODAY()-Table3[[#This Row],[Date of Update]]
)&lt;=0,
TODAY()-Table3[[#This Row],[Date of Update]],
IFERROR(
  IF(
    COUNTIF(A$2:A$1997, A220) &gt; 1,
    MIN(IF(A$2:A$1997=A220, IF(B$2:B$1997&gt;B220, B$2:B$1997))) - B220,
    TODAY() - Table3[[#This Row],[Date of Update]]
  ),
  TODAY()-Table3[[#This Row],[Date of Update]]
)))</f>
        <v>167</v>
      </c>
      <c r="G220" s="40" t="str">
        <f>IF(Table3[[#This Row],[Stage]]="Closed",Table3[[#This Row],[Date of Update]]-(_xlfn.MINIFS(Table3[Date of Update],Table3[Ref], Table3[[#This Row],[Ref]])),"")</f>
        <v/>
      </c>
    </row>
    <row r="221" spans="1:7" x14ac:dyDescent="0.25">
      <c r="A221" s="39" t="s">
        <v>1521</v>
      </c>
      <c r="B221" s="33">
        <v>44833</v>
      </c>
      <c r="C221" s="32" t="s">
        <v>23</v>
      </c>
      <c r="D221" s="32" t="s">
        <v>4</v>
      </c>
      <c r="E221" s="32" t="s">
        <v>453</v>
      </c>
      <c r="F221" s="32" cm="1">
        <f t="array" aca="1" ref="F221" ca="1">IF(Table3[[#This Row],[Stage]]="Closed",0,IF(IFERROR(
  IF(
    COUNTIF(A$2:A$1997, A221) &gt; 1,
    MIN(IF(A$2:A$1997=A221, IF(B$2:B$1997&gt;B221, B$2:B$1997))) - B221,
    TODAY() - Table3[[#This Row],[Date of Update]]
  ),
  TODAY()-Table3[[#This Row],[Date of Update]]
)&lt;=0,
TODAY()-Table3[[#This Row],[Date of Update]],
IFERROR(
  IF(
    COUNTIF(A$2:A$1997, A221) &gt; 1,
    MIN(IF(A$2:A$1997=A221, IF(B$2:B$1997&gt;B221, B$2:B$1997))) - B221,
    TODAY() - Table3[[#This Row],[Date of Update]]
  ),
  TODAY()-Table3[[#This Row],[Date of Update]]
)))</f>
        <v>161</v>
      </c>
      <c r="G221" s="40" t="str">
        <f>IF(Table3[[#This Row],[Stage]]="Closed",Table3[[#This Row],[Date of Update]]-(_xlfn.MINIFS(Table3[Date of Update],Table3[Ref], Table3[[#This Row],[Ref]])),"")</f>
        <v/>
      </c>
    </row>
    <row r="222" spans="1:7" x14ac:dyDescent="0.25">
      <c r="A222" s="39" t="s">
        <v>1187</v>
      </c>
      <c r="B222" s="33">
        <v>44838</v>
      </c>
      <c r="C222" s="32" t="s">
        <v>23</v>
      </c>
      <c r="D222" s="32" t="s">
        <v>4</v>
      </c>
      <c r="E222" s="32" t="s">
        <v>443</v>
      </c>
      <c r="F222" s="32" cm="1">
        <f t="array" aca="1" ref="F222" ca="1">IF(Table3[[#This Row],[Stage]]="Closed",0,IF(IFERROR(
  IF(
    COUNTIF(A$2:A$1997, A222) &gt; 1,
    MIN(IF(A$2:A$1997=A222, IF(B$2:B$1997&gt;B222, B$2:B$1997))) - B222,
    TODAY() - Table3[[#This Row],[Date of Update]]
  ),
  TODAY()-Table3[[#This Row],[Date of Update]]
)&lt;=0,
TODAY()-Table3[[#This Row],[Date of Update]],
IFERROR(
  IF(
    COUNTIF(A$2:A$1997, A222) &gt; 1,
    MIN(IF(A$2:A$1997=A222, IF(B$2:B$1997&gt;B222, B$2:B$1997))) - B222,
    TODAY() - Table3[[#This Row],[Date of Update]]
  ),
  TODAY()-Table3[[#This Row],[Date of Update]]
)))</f>
        <v>45</v>
      </c>
      <c r="G222" s="40" t="str">
        <f>IF(Table3[[#This Row],[Stage]]="Closed",Table3[[#This Row],[Date of Update]]-(_xlfn.MINIFS(Table3[Date of Update],Table3[Ref], Table3[[#This Row],[Ref]])),"")</f>
        <v/>
      </c>
    </row>
    <row r="223" spans="1:7" x14ac:dyDescent="0.25">
      <c r="A223" s="39" t="s">
        <v>1204</v>
      </c>
      <c r="B223" s="33">
        <v>44839</v>
      </c>
      <c r="C223" s="32" t="s">
        <v>23</v>
      </c>
      <c r="D223" s="32" t="s">
        <v>4</v>
      </c>
      <c r="E223" s="32" t="s">
        <v>477</v>
      </c>
      <c r="F223" s="32" cm="1">
        <f t="array" aca="1" ref="F223" ca="1">IF(Table3[[#This Row],[Stage]]="Closed",0,IF(IFERROR(
  IF(
    COUNTIF(A$2:A$1997, A223) &gt; 1,
    MIN(IF(A$2:A$1997=A223, IF(B$2:B$1997&gt;B223, B$2:B$1997))) - B223,
    TODAY() - Table3[[#This Row],[Date of Update]]
  ),
  TODAY()-Table3[[#This Row],[Date of Update]]
)&lt;=0,
TODAY()-Table3[[#This Row],[Date of Update]],
IFERROR(
  IF(
    COUNTIF(A$2:A$1997, A223) &gt; 1,
    MIN(IF(A$2:A$1997=A223, IF(B$2:B$1997&gt;B223, B$2:B$1997))) - B223,
    TODAY() - Table3[[#This Row],[Date of Update]]
  ),
  TODAY()-Table3[[#This Row],[Date of Update]]
)))</f>
        <v>230</v>
      </c>
      <c r="G223" s="40" t="str">
        <f>IF(Table3[[#This Row],[Stage]]="Closed",Table3[[#This Row],[Date of Update]]-(_xlfn.MINIFS(Table3[Date of Update],Table3[Ref], Table3[[#This Row],[Ref]])),"")</f>
        <v/>
      </c>
    </row>
    <row r="224" spans="1:7" x14ac:dyDescent="0.25">
      <c r="A224" s="39" t="s">
        <v>1205</v>
      </c>
      <c r="B224" s="33">
        <v>44844</v>
      </c>
      <c r="C224" s="32" t="s">
        <v>23</v>
      </c>
      <c r="D224" s="32" t="s">
        <v>4</v>
      </c>
      <c r="E224" s="32" t="s">
        <v>481</v>
      </c>
      <c r="F224" s="32" cm="1">
        <f t="array" aca="1" ref="F224" ca="1">IF(Table3[[#This Row],[Stage]]="Closed",0,IF(IFERROR(
  IF(
    COUNTIF(A$2:A$1997, A224) &gt; 1,
    MIN(IF(A$2:A$1997=A224, IF(B$2:B$1997&gt;B224, B$2:B$1997))) - B224,
    TODAY() - Table3[[#This Row],[Date of Update]]
  ),
  TODAY()-Table3[[#This Row],[Date of Update]]
)&lt;=0,
TODAY()-Table3[[#This Row],[Date of Update]],
IFERROR(
  IF(
    COUNTIF(A$2:A$1997, A224) &gt; 1,
    MIN(IF(A$2:A$1997=A224, IF(B$2:B$1997&gt;B224, B$2:B$1997))) - B224,
    TODAY() - Table3[[#This Row],[Date of Update]]
  ),
  TODAY()-Table3[[#This Row],[Date of Update]]
)))</f>
        <v>21</v>
      </c>
      <c r="G224" s="40" t="str">
        <f>IF(Table3[[#This Row],[Stage]]="Closed",Table3[[#This Row],[Date of Update]]-(_xlfn.MINIFS(Table3[Date of Update],Table3[Ref], Table3[[#This Row],[Ref]])),"")</f>
        <v/>
      </c>
    </row>
    <row r="225" spans="1:7" x14ac:dyDescent="0.25">
      <c r="A225" s="39" t="s">
        <v>1166</v>
      </c>
      <c r="B225" s="33">
        <v>44845</v>
      </c>
      <c r="C225" s="32" t="s">
        <v>169</v>
      </c>
      <c r="D225" s="32" t="s">
        <v>4</v>
      </c>
      <c r="E225" s="32"/>
      <c r="F225" s="32" cm="1">
        <f t="array" aca="1" ref="F225" ca="1">IF(Table3[[#This Row],[Stage]]="Closed",0,IF(IFERROR(
  IF(
    COUNTIF(A$2:A$1997, A225) &gt; 1,
    MIN(IF(A$2:A$1997=A225, IF(B$2:B$1997&gt;B225, B$2:B$1997))) - B225,
    TODAY() - Table3[[#This Row],[Date of Update]]
  ),
  TODAY()-Table3[[#This Row],[Date of Update]]
)&lt;=0,
TODAY()-Table3[[#This Row],[Date of Update]],
IFERROR(
  IF(
    COUNTIF(A$2:A$1997, A225) &gt; 1,
    MIN(IF(A$2:A$1997=A225, IF(B$2:B$1997&gt;B225, B$2:B$1997))) - B225,
    TODAY() - Table3[[#This Row],[Date of Update]]
  ),
  TODAY()-Table3[[#This Row],[Date of Update]]
)))</f>
        <v>0</v>
      </c>
      <c r="G225" s="40">
        <f>IF(Table3[[#This Row],[Stage]]="Closed",Table3[[#This Row],[Date of Update]]-(_xlfn.MINIFS(Table3[Date of Update],Table3[Ref], Table3[[#This Row],[Ref]])),"")</f>
        <v>68</v>
      </c>
    </row>
    <row r="226" spans="1:7" x14ac:dyDescent="0.25">
      <c r="A226" s="39" t="s">
        <v>1210</v>
      </c>
      <c r="B226" s="33">
        <v>44847</v>
      </c>
      <c r="C226" s="32" t="s">
        <v>23</v>
      </c>
      <c r="D226" s="32" t="s">
        <v>4</v>
      </c>
      <c r="E226" s="32" t="s">
        <v>498</v>
      </c>
      <c r="F226" s="32" cm="1">
        <f t="array" aca="1" ref="F226" ca="1">IF(Table3[[#This Row],[Stage]]="Closed",0,IF(IFERROR(
  IF(
    COUNTIF(A$2:A$1997, A226) &gt; 1,
    MIN(IF(A$2:A$1997=A226, IF(B$2:B$1997&gt;B226, B$2:B$1997))) - B226,
    TODAY() - Table3[[#This Row],[Date of Update]]
  ),
  TODAY()-Table3[[#This Row],[Date of Update]]
)&lt;=0,
TODAY()-Table3[[#This Row],[Date of Update]],
IFERROR(
  IF(
    COUNTIF(A$2:A$1997, A226) &gt; 1,
    MIN(IF(A$2:A$1997=A226, IF(B$2:B$1997&gt;B226, B$2:B$1997))) - B226,
    TODAY() - Table3[[#This Row],[Date of Update]]
  ),
  TODAY()-Table3[[#This Row],[Date of Update]]
)))</f>
        <v>134</v>
      </c>
      <c r="G226" s="40" t="str">
        <f>IF(Table3[[#This Row],[Stage]]="Closed",Table3[[#This Row],[Date of Update]]-(_xlfn.MINIFS(Table3[Date of Update],Table3[Ref], Table3[[#This Row],[Ref]])),"")</f>
        <v/>
      </c>
    </row>
    <row r="227" spans="1:7" x14ac:dyDescent="0.25">
      <c r="A227" s="39" t="s">
        <v>1206</v>
      </c>
      <c r="B227" s="33">
        <v>44847</v>
      </c>
      <c r="C227" s="32" t="s">
        <v>23</v>
      </c>
      <c r="D227" s="32" t="s">
        <v>4</v>
      </c>
      <c r="E227" s="32" t="s">
        <v>483</v>
      </c>
      <c r="F227" s="32" cm="1">
        <f t="array" aca="1" ref="F227" ca="1">IF(Table3[[#This Row],[Stage]]="Closed",0,IF(IFERROR(
  IF(
    COUNTIF(A$2:A$1997, A227) &gt; 1,
    MIN(IF(A$2:A$1997=A227, IF(B$2:B$1997&gt;B227, B$2:B$1997))) - B227,
    TODAY() - Table3[[#This Row],[Date of Update]]
  ),
  TODAY()-Table3[[#This Row],[Date of Update]]
)&lt;=0,
TODAY()-Table3[[#This Row],[Date of Update]],
IFERROR(
  IF(
    COUNTIF(A$2:A$1997, A227) &gt; 1,
    MIN(IF(A$2:A$1997=A227, IF(B$2:B$1997&gt;B227, B$2:B$1997))) - B227,
    TODAY() - Table3[[#This Row],[Date of Update]]
  ),
  TODAY()-Table3[[#This Row],[Date of Update]]
)))</f>
        <v>39</v>
      </c>
      <c r="G227" s="40" t="str">
        <f>IF(Table3[[#This Row],[Stage]]="Closed",Table3[[#This Row],[Date of Update]]-(_xlfn.MINIFS(Table3[Date of Update],Table3[Ref], Table3[[#This Row],[Ref]])),"")</f>
        <v/>
      </c>
    </row>
    <row r="228" spans="1:7" x14ac:dyDescent="0.25">
      <c r="A228" s="39" t="s">
        <v>1171</v>
      </c>
      <c r="B228" s="33">
        <v>44847</v>
      </c>
      <c r="C228" s="32" t="s">
        <v>23</v>
      </c>
      <c r="D228" s="32" t="s">
        <v>4</v>
      </c>
      <c r="E228" s="32" t="s">
        <v>395</v>
      </c>
      <c r="F228" s="32" cm="1">
        <f t="array" aca="1" ref="F228" ca="1">IF(Table3[[#This Row],[Stage]]="Closed",0,IF(IFERROR(
  IF(
    COUNTIF(A$2:A$1997, A228) &gt; 1,
    MIN(IF(A$2:A$1997=A228, IF(B$2:B$1997&gt;B228, B$2:B$1997))) - B228,
    TODAY() - Table3[[#This Row],[Date of Update]]
  ),
  TODAY()-Table3[[#This Row],[Date of Update]]
)&lt;=0,
TODAY()-Table3[[#This Row],[Date of Update]],
IFERROR(
  IF(
    COUNTIF(A$2:A$1997, A228) &gt; 1,
    MIN(IF(A$2:A$1997=A228, IF(B$2:B$1997&gt;B228, B$2:B$1997))) - B228,
    TODAY() - Table3[[#This Row],[Date of Update]]
  ),
  TODAY()-Table3[[#This Row],[Date of Update]]
)))</f>
        <v>22</v>
      </c>
      <c r="G228" s="40" t="str">
        <f>IF(Table3[[#This Row],[Stage]]="Closed",Table3[[#This Row],[Date of Update]]-(_xlfn.MINIFS(Table3[Date of Update],Table3[Ref], Table3[[#This Row],[Ref]])),"")</f>
        <v/>
      </c>
    </row>
    <row r="229" spans="1:7" x14ac:dyDescent="0.25">
      <c r="A229" s="39" t="s">
        <v>1211</v>
      </c>
      <c r="B229" s="33">
        <v>44852</v>
      </c>
      <c r="C229" s="32" t="s">
        <v>23</v>
      </c>
      <c r="D229" s="32" t="s">
        <v>4</v>
      </c>
      <c r="E229" s="32" t="s">
        <v>500</v>
      </c>
      <c r="F229" s="32" cm="1">
        <f t="array" aca="1" ref="F229" ca="1">IF(Table3[[#This Row],[Stage]]="Closed",0,IF(IFERROR(
  IF(
    COUNTIF(A$2:A$1997, A229) &gt; 1,
    MIN(IF(A$2:A$1997=A229, IF(B$2:B$1997&gt;B229, B$2:B$1997))) - B229,
    TODAY() - Table3[[#This Row],[Date of Update]]
  ),
  TODAY()-Table3[[#This Row],[Date of Update]]
)&lt;=0,
TODAY()-Table3[[#This Row],[Date of Update]],
IFERROR(
  IF(
    COUNTIF(A$2:A$1997, A229) &gt; 1,
    MIN(IF(A$2:A$1997=A229, IF(B$2:B$1997&gt;B229, B$2:B$1997))) - B229,
    TODAY() - Table3[[#This Row],[Date of Update]]
  ),
  TODAY()-Table3[[#This Row],[Date of Update]]
)))</f>
        <v>121</v>
      </c>
      <c r="G229" s="40" t="str">
        <f>IF(Table3[[#This Row],[Stage]]="Closed",Table3[[#This Row],[Date of Update]]-(_xlfn.MINIFS(Table3[Date of Update],Table3[Ref], Table3[[#This Row],[Ref]])),"")</f>
        <v/>
      </c>
    </row>
    <row r="230" spans="1:7" x14ac:dyDescent="0.25">
      <c r="A230" s="39" t="s">
        <v>1266</v>
      </c>
      <c r="B230" s="33">
        <v>44852</v>
      </c>
      <c r="C230" s="32" t="s">
        <v>23</v>
      </c>
      <c r="D230" s="32" t="s">
        <v>4</v>
      </c>
      <c r="E230" s="32" t="s">
        <v>453</v>
      </c>
      <c r="F230" s="32" cm="1">
        <f t="array" aca="1" ref="F230" ca="1">IF(Table3[[#This Row],[Stage]]="Closed",0,IF(IFERROR(
  IF(
    COUNTIF(A$2:A$1997, A230) &gt; 1,
    MIN(IF(A$2:A$1997=A230, IF(B$2:B$1997&gt;B230, B$2:B$1997))) - B230,
    TODAY() - Table3[[#This Row],[Date of Update]]
  ),
  TODAY()-Table3[[#This Row],[Date of Update]]
)&lt;=0,
TODAY()-Table3[[#This Row],[Date of Update]],
IFERROR(
  IF(
    COUNTIF(A$2:A$1997, A230) &gt; 1,
    MIN(IF(A$2:A$1997=A230, IF(B$2:B$1997&gt;B230, B$2:B$1997))) - B230,
    TODAY() - Table3[[#This Row],[Date of Update]]
  ),
  TODAY()-Table3[[#This Row],[Date of Update]]
)))</f>
        <v>142</v>
      </c>
      <c r="G230" s="40" t="str">
        <f>IF(Table3[[#This Row],[Stage]]="Closed",Table3[[#This Row],[Date of Update]]-(_xlfn.MINIFS(Table3[Date of Update],Table3[Ref], Table3[[#This Row],[Ref]])),"")</f>
        <v/>
      </c>
    </row>
    <row r="231" spans="1:7" x14ac:dyDescent="0.25">
      <c r="A231" s="39" t="s">
        <v>1168</v>
      </c>
      <c r="B231" s="33">
        <v>44856</v>
      </c>
      <c r="C231" s="32" t="s">
        <v>169</v>
      </c>
      <c r="D231" s="32" t="s">
        <v>4</v>
      </c>
      <c r="E231" s="32" t="s">
        <v>386</v>
      </c>
      <c r="F231" s="32" cm="1">
        <f t="array" aca="1" ref="F231" ca="1">IF(Table3[[#This Row],[Stage]]="Closed",0,IF(IFERROR(
  IF(
    COUNTIF(A$2:A$1997, A231) &gt; 1,
    MIN(IF(A$2:A$1997=A231, IF(B$2:B$1997&gt;B231, B$2:B$1997))) - B231,
    TODAY() - Table3[[#This Row],[Date of Update]]
  ),
  TODAY()-Table3[[#This Row],[Date of Update]]
)&lt;=0,
TODAY()-Table3[[#This Row],[Date of Update]],
IFERROR(
  IF(
    COUNTIF(A$2:A$1997, A231) &gt; 1,
    MIN(IF(A$2:A$1997=A231, IF(B$2:B$1997&gt;B231, B$2:B$1997))) - B231,
    TODAY() - Table3[[#This Row],[Date of Update]]
  ),
  TODAY()-Table3[[#This Row],[Date of Update]]
)))</f>
        <v>0</v>
      </c>
      <c r="G231" s="40">
        <f>IF(Table3[[#This Row],[Stage]]="Closed",Table3[[#This Row],[Date of Update]]-(_xlfn.MINIFS(Table3[Date of Update],Table3[Ref], Table3[[#This Row],[Ref]])),"")</f>
        <v>30</v>
      </c>
    </row>
    <row r="232" spans="1:7" x14ac:dyDescent="0.25">
      <c r="A232" s="39" t="s">
        <v>1212</v>
      </c>
      <c r="B232" s="33">
        <v>44861</v>
      </c>
      <c r="C232" s="32" t="s">
        <v>23</v>
      </c>
      <c r="D232" s="32" t="s">
        <v>4</v>
      </c>
      <c r="E232" s="32" t="s">
        <v>504</v>
      </c>
      <c r="F232" s="32" cm="1">
        <f t="array" aca="1" ref="F232" ca="1">IF(Table3[[#This Row],[Stage]]="Closed",0,IF(IFERROR(
  IF(
    COUNTIF(A$2:A$1997, A232) &gt; 1,
    MIN(IF(A$2:A$1997=A232, IF(B$2:B$1997&gt;B232, B$2:B$1997))) - B232,
    TODAY() - Table3[[#This Row],[Date of Update]]
  ),
  TODAY()-Table3[[#This Row],[Date of Update]]
)&lt;=0,
TODAY()-Table3[[#This Row],[Date of Update]],
IFERROR(
  IF(
    COUNTIF(A$2:A$1997, A232) &gt; 1,
    MIN(IF(A$2:A$1997=A232, IF(B$2:B$1997&gt;B232, B$2:B$1997))) - B232,
    TODAY() - Table3[[#This Row],[Date of Update]]
  ),
  TODAY()-Table3[[#This Row],[Date of Update]]
)))</f>
        <v>35</v>
      </c>
      <c r="G232" s="40" t="str">
        <f>IF(Table3[[#This Row],[Stage]]="Closed",Table3[[#This Row],[Date of Update]]-(_xlfn.MINIFS(Table3[Date of Update],Table3[Ref], Table3[[#This Row],[Ref]])),"")</f>
        <v/>
      </c>
    </row>
    <row r="233" spans="1:7" x14ac:dyDescent="0.25">
      <c r="A233" s="39" t="s">
        <v>1268</v>
      </c>
      <c r="B233" s="33">
        <v>44862</v>
      </c>
      <c r="C233" s="32" t="s">
        <v>23</v>
      </c>
      <c r="D233" s="32" t="s">
        <v>4</v>
      </c>
      <c r="E233" s="32" t="s">
        <v>639</v>
      </c>
      <c r="F233" s="32" cm="1">
        <f t="array" aca="1" ref="F233" ca="1">IF(Table3[[#This Row],[Stage]]="Closed",0,IF(IFERROR(
  IF(
    COUNTIF(A$2:A$1997, A233) &gt; 1,
    MIN(IF(A$2:A$1997=A233, IF(B$2:B$1997&gt;B233, B$2:B$1997))) - B233,
    TODAY() - Table3[[#This Row],[Date of Update]]
  ),
  TODAY()-Table3[[#This Row],[Date of Update]]
)&lt;=0,
TODAY()-Table3[[#This Row],[Date of Update]],
IFERROR(
  IF(
    COUNTIF(A$2:A$1997, A233) &gt; 1,
    MIN(IF(A$2:A$1997=A233, IF(B$2:B$1997&gt;B233, B$2:B$1997))) - B233,
    TODAY() - Table3[[#This Row],[Date of Update]]
  ),
  TODAY()-Table3[[#This Row],[Date of Update]]
)))</f>
        <v>133</v>
      </c>
      <c r="G233" s="40" t="str">
        <f>IF(Table3[[#This Row],[Stage]]="Closed",Table3[[#This Row],[Date of Update]]-(_xlfn.MINIFS(Table3[Date of Update],Table3[Ref], Table3[[#This Row],[Ref]])),"")</f>
        <v/>
      </c>
    </row>
    <row r="234" spans="1:7" x14ac:dyDescent="0.25">
      <c r="A234" s="39" t="s">
        <v>1174</v>
      </c>
      <c r="B234" s="33">
        <v>44862</v>
      </c>
      <c r="C234" s="32" t="s">
        <v>23</v>
      </c>
      <c r="D234" s="32" t="s">
        <v>4</v>
      </c>
      <c r="E234" s="32" t="s">
        <v>401</v>
      </c>
      <c r="F234" s="32" cm="1">
        <f t="array" aca="1" ref="F234" ca="1">IF(Table3[[#This Row],[Stage]]="Closed",0,IF(IFERROR(
  IF(
    COUNTIF(A$2:A$1997, A234) &gt; 1,
    MIN(IF(A$2:A$1997=A234, IF(B$2:B$1997&gt;B234, B$2:B$1997))) - B234,
    TODAY() - Table3[[#This Row],[Date of Update]]
  ),
  TODAY()-Table3[[#This Row],[Date of Update]]
)&lt;=0,
TODAY()-Table3[[#This Row],[Date of Update]],
IFERROR(
  IF(
    COUNTIF(A$2:A$1997, A234) &gt; 1,
    MIN(IF(A$2:A$1997=A234, IF(B$2:B$1997&gt;B234, B$2:B$1997))) - B234,
    TODAY() - Table3[[#This Row],[Date of Update]]
  ),
  TODAY()-Table3[[#This Row],[Date of Update]]
)))</f>
        <v>30</v>
      </c>
      <c r="G234" s="40" t="str">
        <f>IF(Table3[[#This Row],[Stage]]="Closed",Table3[[#This Row],[Date of Update]]-(_xlfn.MINIFS(Table3[Date of Update],Table3[Ref], Table3[[#This Row],[Ref]])),"")</f>
        <v/>
      </c>
    </row>
    <row r="235" spans="1:7" x14ac:dyDescent="0.25">
      <c r="A235" s="39" t="s">
        <v>1169</v>
      </c>
      <c r="B235" s="33">
        <v>44862</v>
      </c>
      <c r="C235" s="32" t="s">
        <v>23</v>
      </c>
      <c r="D235" s="32" t="s">
        <v>4</v>
      </c>
      <c r="E235" s="32" t="s">
        <v>390</v>
      </c>
      <c r="F235" s="32" cm="1">
        <f t="array" aca="1" ref="F235" ca="1">IF(Table3[[#This Row],[Stage]]="Closed",0,IF(IFERROR(
  IF(
    COUNTIF(A$2:A$1997, A235) &gt; 1,
    MIN(IF(A$2:A$1997=A235, IF(B$2:B$1997&gt;B235, B$2:B$1997))) - B235,
    TODAY() - Table3[[#This Row],[Date of Update]]
  ),
  TODAY()-Table3[[#This Row],[Date of Update]]
)&lt;=0,
TODAY()-Table3[[#This Row],[Date of Update]],
IFERROR(
  IF(
    COUNTIF(A$2:A$1997, A235) &gt; 1,
    MIN(IF(A$2:A$1997=A235, IF(B$2:B$1997&gt;B235, B$2:B$1997))) - B235,
    TODAY() - Table3[[#This Row],[Date of Update]]
  ),
  TODAY()-Table3[[#This Row],[Date of Update]]
)))</f>
        <v>3</v>
      </c>
      <c r="G235" s="40" t="str">
        <f>IF(Table3[[#This Row],[Stage]]="Closed",Table3[[#This Row],[Date of Update]]-(_xlfn.MINIFS(Table3[Date of Update],Table3[Ref], Table3[[#This Row],[Ref]])),"")</f>
        <v/>
      </c>
    </row>
    <row r="236" spans="1:7" x14ac:dyDescent="0.25">
      <c r="A236" s="39" t="s">
        <v>1173</v>
      </c>
      <c r="B236" s="33">
        <v>44862</v>
      </c>
      <c r="C236" s="32" t="s">
        <v>23</v>
      </c>
      <c r="D236" s="32" t="s">
        <v>4</v>
      </c>
      <c r="E236" s="32" t="s">
        <v>401</v>
      </c>
      <c r="F236" s="32" cm="1">
        <f t="array" aca="1" ref="F236" ca="1">IF(Table3[[#This Row],[Stage]]="Closed",0,IF(IFERROR(
  IF(
    COUNTIF(A$2:A$1997, A236) &gt; 1,
    MIN(IF(A$2:A$1997=A236, IF(B$2:B$1997&gt;B236, B$2:B$1997))) - B236,
    TODAY() - Table3[[#This Row],[Date of Update]]
  ),
  TODAY()-Table3[[#This Row],[Date of Update]]
)&lt;=0,
TODAY()-Table3[[#This Row],[Date of Update]],
IFERROR(
  IF(
    COUNTIF(A$2:A$1997, A236) &gt; 1,
    MIN(IF(A$2:A$1997=A236, IF(B$2:B$1997&gt;B236, B$2:B$1997))) - B236,
    TODAY() - Table3[[#This Row],[Date of Update]]
  ),
  TODAY()-Table3[[#This Row],[Date of Update]]
)))</f>
        <v>30</v>
      </c>
      <c r="G236" s="40" t="str">
        <f>IF(Table3[[#This Row],[Stage]]="Closed",Table3[[#This Row],[Date of Update]]-(_xlfn.MINIFS(Table3[Date of Update],Table3[Ref], Table3[[#This Row],[Ref]])),"")</f>
        <v/>
      </c>
    </row>
    <row r="237" spans="1:7" x14ac:dyDescent="0.25">
      <c r="A237" s="39" t="s">
        <v>1176</v>
      </c>
      <c r="B237" s="33">
        <v>44862</v>
      </c>
      <c r="C237" s="32" t="s">
        <v>23</v>
      </c>
      <c r="D237" s="32" t="s">
        <v>4</v>
      </c>
      <c r="E237" s="32" t="s">
        <v>412</v>
      </c>
      <c r="F237" s="32" cm="1">
        <f t="array" aca="1" ref="F237" ca="1">IF(Table3[[#This Row],[Stage]]="Closed",0,IF(IFERROR(
  IF(
    COUNTIF(A$2:A$1997, A237) &gt; 1,
    MIN(IF(A$2:A$1997=A237, IF(B$2:B$1997&gt;B237, B$2:B$1997))) - B237,
    TODAY() - Table3[[#This Row],[Date of Update]]
  ),
  TODAY()-Table3[[#This Row],[Date of Update]]
)&lt;=0,
TODAY()-Table3[[#This Row],[Date of Update]],
IFERROR(
  IF(
    COUNTIF(A$2:A$1997, A237) &gt; 1,
    MIN(IF(A$2:A$1997=A237, IF(B$2:B$1997&gt;B237, B$2:B$1997))) - B237,
    TODAY() - Table3[[#This Row],[Date of Update]]
  ),
  TODAY()-Table3[[#This Row],[Date of Update]]
)))</f>
        <v>49</v>
      </c>
      <c r="G237" s="40" t="str">
        <f>IF(Table3[[#This Row],[Stage]]="Closed",Table3[[#This Row],[Date of Update]]-(_xlfn.MINIFS(Table3[Date of Update],Table3[Ref], Table3[[#This Row],[Ref]])),"")</f>
        <v/>
      </c>
    </row>
    <row r="238" spans="1:7" x14ac:dyDescent="0.25">
      <c r="A238" s="39" t="s">
        <v>1205</v>
      </c>
      <c r="B238" s="33">
        <v>44865</v>
      </c>
      <c r="C238" s="32" t="s">
        <v>169</v>
      </c>
      <c r="D238" s="32" t="s">
        <v>4</v>
      </c>
      <c r="E238" s="32" t="s">
        <v>481</v>
      </c>
      <c r="F238" s="32" cm="1">
        <f t="array" aca="1" ref="F238" ca="1">IF(Table3[[#This Row],[Stage]]="Closed",0,IF(IFERROR(
  IF(
    COUNTIF(A$2:A$1997, A238) &gt; 1,
    MIN(IF(A$2:A$1997=A238, IF(B$2:B$1997&gt;B238, B$2:B$1997))) - B238,
    TODAY() - Table3[[#This Row],[Date of Update]]
  ),
  TODAY()-Table3[[#This Row],[Date of Update]]
)&lt;=0,
TODAY()-Table3[[#This Row],[Date of Update]],
IFERROR(
  IF(
    COUNTIF(A$2:A$1997, A238) &gt; 1,
    MIN(IF(A$2:A$1997=A238, IF(B$2:B$1997&gt;B238, B$2:B$1997))) - B238,
    TODAY() - Table3[[#This Row],[Date of Update]]
  ),
  TODAY()-Table3[[#This Row],[Date of Update]]
)))</f>
        <v>0</v>
      </c>
      <c r="G238" s="40">
        <f>IF(Table3[[#This Row],[Stage]]="Closed",Table3[[#This Row],[Date of Update]]-(_xlfn.MINIFS(Table3[Date of Update],Table3[Ref], Table3[[#This Row],[Ref]])),"")</f>
        <v>21</v>
      </c>
    </row>
    <row r="239" spans="1:7" x14ac:dyDescent="0.25">
      <c r="A239" s="39" t="s">
        <v>1169</v>
      </c>
      <c r="B239" s="33">
        <v>44865</v>
      </c>
      <c r="C239" s="32" t="s">
        <v>169</v>
      </c>
      <c r="D239" s="32" t="s">
        <v>4</v>
      </c>
      <c r="E239" s="32" t="s">
        <v>390</v>
      </c>
      <c r="F239" s="32" cm="1">
        <f t="array" aca="1" ref="F239" ca="1">IF(Table3[[#This Row],[Stage]]="Closed",0,IF(IFERROR(
  IF(
    COUNTIF(A$2:A$1997, A239) &gt; 1,
    MIN(IF(A$2:A$1997=A239, IF(B$2:B$1997&gt;B239, B$2:B$1997))) - B239,
    TODAY() - Table3[[#This Row],[Date of Update]]
  ),
  TODAY()-Table3[[#This Row],[Date of Update]]
)&lt;=0,
TODAY()-Table3[[#This Row],[Date of Update]],
IFERROR(
  IF(
    COUNTIF(A$2:A$1997, A239) &gt; 1,
    MIN(IF(A$2:A$1997=A239, IF(B$2:B$1997&gt;B239, B$2:B$1997))) - B239,
    TODAY() - Table3[[#This Row],[Date of Update]]
  ),
  TODAY()-Table3[[#This Row],[Date of Update]]
)))</f>
        <v>0</v>
      </c>
      <c r="G239" s="40">
        <f>IF(Table3[[#This Row],[Stage]]="Closed",Table3[[#This Row],[Date of Update]]-(_xlfn.MINIFS(Table3[Date of Update],Table3[Ref], Table3[[#This Row],[Ref]])),"")</f>
        <v>3</v>
      </c>
    </row>
    <row r="240" spans="1:7" x14ac:dyDescent="0.25">
      <c r="A240" s="39" t="s">
        <v>1170</v>
      </c>
      <c r="B240" s="33">
        <v>44866</v>
      </c>
      <c r="C240" s="32" t="s">
        <v>169</v>
      </c>
      <c r="D240" s="32" t="s">
        <v>4</v>
      </c>
      <c r="E240" s="32" t="s">
        <v>392</v>
      </c>
      <c r="F240" s="32" cm="1">
        <f t="array" aca="1" ref="F240" ca="1">IF(Table3[[#This Row],[Stage]]="Closed",0,IF(IFERROR(
  IF(
    COUNTIF(A$2:A$1997, A240) &gt; 1,
    MIN(IF(A$2:A$1997=A240, IF(B$2:B$1997&gt;B240, B$2:B$1997))) - B240,
    TODAY() - Table3[[#This Row],[Date of Update]]
  ),
  TODAY()-Table3[[#This Row],[Date of Update]]
)&lt;=0,
TODAY()-Table3[[#This Row],[Date of Update]],
IFERROR(
  IF(
    COUNTIF(A$2:A$1997, A240) &gt; 1,
    MIN(IF(A$2:A$1997=A240, IF(B$2:B$1997&gt;B240, B$2:B$1997))) - B240,
    TODAY() - Table3[[#This Row],[Date of Update]]
  ),
  TODAY()-Table3[[#This Row],[Date of Update]]
)))</f>
        <v>0</v>
      </c>
      <c r="G240" s="40">
        <f>IF(Table3[[#This Row],[Stage]]="Closed",Table3[[#This Row],[Date of Update]]-(_xlfn.MINIFS(Table3[Date of Update],Table3[Ref], Table3[[#This Row],[Ref]])),"")</f>
        <v>119</v>
      </c>
    </row>
    <row r="241" spans="1:7" x14ac:dyDescent="0.25">
      <c r="A241" s="39" t="s">
        <v>1185</v>
      </c>
      <c r="B241" s="33">
        <v>44868</v>
      </c>
      <c r="C241" s="32" t="s">
        <v>23</v>
      </c>
      <c r="D241" s="32" t="s">
        <v>4</v>
      </c>
      <c r="E241" s="32"/>
      <c r="F241" s="32" cm="1">
        <f t="array" aca="1" ref="F241" ca="1">IF(Table3[[#This Row],[Stage]]="Closed",0,IF(IFERROR(
  IF(
    COUNTIF(A$2:A$1997, A241) &gt; 1,
    MIN(IF(A$2:A$1997=A241, IF(B$2:B$1997&gt;B241, B$2:B$1997))) - B241,
    TODAY() - Table3[[#This Row],[Date of Update]]
  ),
  TODAY()-Table3[[#This Row],[Date of Update]]
)&lt;=0,
TODAY()-Table3[[#This Row],[Date of Update]],
IFERROR(
  IF(
    COUNTIF(A$2:A$1997, A241) &gt; 1,
    MIN(IF(A$2:A$1997=A241, IF(B$2:B$1997&gt;B241, B$2:B$1997))) - B241,
    TODAY() - Table3[[#This Row],[Date of Update]]
  ),
  TODAY()-Table3[[#This Row],[Date of Update]]
)))</f>
        <v>46</v>
      </c>
      <c r="G241" s="40" t="str">
        <f>IF(Table3[[#This Row],[Stage]]="Closed",Table3[[#This Row],[Date of Update]]-(_xlfn.MINIFS(Table3[Date of Update],Table3[Ref], Table3[[#This Row],[Ref]])),"")</f>
        <v/>
      </c>
    </row>
    <row r="242" spans="1:7" x14ac:dyDescent="0.25">
      <c r="A242" s="39" t="s">
        <v>1171</v>
      </c>
      <c r="B242" s="33">
        <v>44869</v>
      </c>
      <c r="C242" s="32" t="s">
        <v>169</v>
      </c>
      <c r="D242" s="32" t="s">
        <v>4</v>
      </c>
      <c r="E242" s="32" t="s">
        <v>395</v>
      </c>
      <c r="F242" s="32" cm="1">
        <f t="array" aca="1" ref="F242" ca="1">IF(Table3[[#This Row],[Stage]]="Closed",0,IF(IFERROR(
  IF(
    COUNTIF(A$2:A$1997, A242) &gt; 1,
    MIN(IF(A$2:A$1997=A242, IF(B$2:B$1997&gt;B242, B$2:B$1997))) - B242,
    TODAY() - Table3[[#This Row],[Date of Update]]
  ),
  TODAY()-Table3[[#This Row],[Date of Update]]
)&lt;=0,
TODAY()-Table3[[#This Row],[Date of Update]],
IFERROR(
  IF(
    COUNTIF(A$2:A$1997, A242) &gt; 1,
    MIN(IF(A$2:A$1997=A242, IF(B$2:B$1997&gt;B242, B$2:B$1997))) - B242,
    TODAY() - Table3[[#This Row],[Date of Update]]
  ),
  TODAY()-Table3[[#This Row],[Date of Update]]
)))</f>
        <v>0</v>
      </c>
      <c r="G242" s="40">
        <f>IF(Table3[[#This Row],[Stage]]="Closed",Table3[[#This Row],[Date of Update]]-(_xlfn.MINIFS(Table3[Date of Update],Table3[Ref], Table3[[#This Row],[Ref]])),"")</f>
        <v>22</v>
      </c>
    </row>
    <row r="243" spans="1:7" x14ac:dyDescent="0.25">
      <c r="A243" s="39" t="s">
        <v>1213</v>
      </c>
      <c r="B243" s="33">
        <v>44874</v>
      </c>
      <c r="C243" s="32" t="s">
        <v>23</v>
      </c>
      <c r="D243" s="32" t="s">
        <v>4</v>
      </c>
      <c r="E243" s="32" t="s">
        <v>508</v>
      </c>
      <c r="F243" s="32" cm="1">
        <f t="array" aca="1" ref="F243" ca="1">IF(Table3[[#This Row],[Stage]]="Closed",0,IF(IFERROR(
  IF(
    COUNTIF(A$2:A$1997, A243) &gt; 1,
    MIN(IF(A$2:A$1997=A243, IF(B$2:B$1997&gt;B243, B$2:B$1997))) - B243,
    TODAY() - Table3[[#This Row],[Date of Update]]
  ),
  TODAY()-Table3[[#This Row],[Date of Update]]
)&lt;=0,
TODAY()-Table3[[#This Row],[Date of Update]],
IFERROR(
  IF(
    COUNTIF(A$2:A$1997, A243) &gt; 1,
    MIN(IF(A$2:A$1997=A243, IF(B$2:B$1997&gt;B243, B$2:B$1997))) - B243,
    TODAY() - Table3[[#This Row],[Date of Update]]
  ),
  TODAY()-Table3[[#This Row],[Date of Update]]
)))</f>
        <v>44</v>
      </c>
      <c r="G243" s="40" t="str">
        <f>IF(Table3[[#This Row],[Stage]]="Closed",Table3[[#This Row],[Date of Update]]-(_xlfn.MINIFS(Table3[Date of Update],Table3[Ref], Table3[[#This Row],[Ref]])),"")</f>
        <v/>
      </c>
    </row>
    <row r="244" spans="1:7" x14ac:dyDescent="0.25">
      <c r="A244" s="39" t="s">
        <v>1177</v>
      </c>
      <c r="B244" s="33">
        <v>44881</v>
      </c>
      <c r="C244" s="32" t="s">
        <v>23</v>
      </c>
      <c r="D244" s="32" t="s">
        <v>4</v>
      </c>
      <c r="E244" s="32" t="s">
        <v>412</v>
      </c>
      <c r="F244" s="32" cm="1">
        <f t="array" aca="1" ref="F244" ca="1">IF(Table3[[#This Row],[Stage]]="Closed",0,IF(IFERROR(
  IF(
    COUNTIF(A$2:A$1997, A244) &gt; 1,
    MIN(IF(A$2:A$1997=A244, IF(B$2:B$1997&gt;B244, B$2:B$1997))) - B244,
    TODAY() - Table3[[#This Row],[Date of Update]]
  ),
  TODAY()-Table3[[#This Row],[Date of Update]]
)&lt;=0,
TODAY()-Table3[[#This Row],[Date of Update]],
IFERROR(
  IF(
    COUNTIF(A$2:A$1997, A244) &gt; 1,
    MIN(IF(A$2:A$1997=A244, IF(B$2:B$1997&gt;B244, B$2:B$1997))) - B244,
    TODAY() - Table3[[#This Row],[Date of Update]]
  ),
  TODAY()-Table3[[#This Row],[Date of Update]]
)))</f>
        <v>30</v>
      </c>
      <c r="G244" s="40" t="str">
        <f>IF(Table3[[#This Row],[Stage]]="Closed",Table3[[#This Row],[Date of Update]]-(_xlfn.MINIFS(Table3[Date of Update],Table3[Ref], Table3[[#This Row],[Ref]])),"")</f>
        <v/>
      </c>
    </row>
    <row r="245" spans="1:7" x14ac:dyDescent="0.25">
      <c r="A245" s="39" t="s">
        <v>1178</v>
      </c>
      <c r="B245" s="33">
        <v>44881</v>
      </c>
      <c r="C245" s="32" t="s">
        <v>23</v>
      </c>
      <c r="D245" s="32" t="s">
        <v>4</v>
      </c>
      <c r="E245" s="32" t="s">
        <v>416</v>
      </c>
      <c r="F245" s="32" cm="1">
        <f t="array" aca="1" ref="F245" ca="1">IF(Table3[[#This Row],[Stage]]="Closed",0,IF(IFERROR(
  IF(
    COUNTIF(A$2:A$1997, A245) &gt; 1,
    MIN(IF(A$2:A$1997=A245, IF(B$2:B$1997&gt;B245, B$2:B$1997))) - B245,
    TODAY() - Table3[[#This Row],[Date of Update]]
  ),
  TODAY()-Table3[[#This Row],[Date of Update]]
)&lt;=0,
TODAY()-Table3[[#This Row],[Date of Update]],
IFERROR(
  IF(
    COUNTIF(A$2:A$1997, A245) &gt; 1,
    MIN(IF(A$2:A$1997=A245, IF(B$2:B$1997&gt;B245, B$2:B$1997))) - B245,
    TODAY() - Table3[[#This Row],[Date of Update]]
  ),
  TODAY()-Table3[[#This Row],[Date of Update]]
)))</f>
        <v>30</v>
      </c>
      <c r="G245" s="40" t="str">
        <f>IF(Table3[[#This Row],[Stage]]="Closed",Table3[[#This Row],[Date of Update]]-(_xlfn.MINIFS(Table3[Date of Update],Table3[Ref], Table3[[#This Row],[Ref]])),"")</f>
        <v/>
      </c>
    </row>
    <row r="246" spans="1:7" x14ac:dyDescent="0.25">
      <c r="A246" s="39" t="s">
        <v>1207</v>
      </c>
      <c r="B246" s="33">
        <v>44882</v>
      </c>
      <c r="C246" s="32" t="s">
        <v>23</v>
      </c>
      <c r="D246" s="32" t="s">
        <v>4</v>
      </c>
      <c r="E246" s="32" t="s">
        <v>488</v>
      </c>
      <c r="F246" s="32" cm="1">
        <f t="array" aca="1" ref="F246" ca="1">IF(Table3[[#This Row],[Stage]]="Closed",0,IF(IFERROR(
  IF(
    COUNTIF(A$2:A$1997, A246) &gt; 1,
    MIN(IF(A$2:A$1997=A246, IF(B$2:B$1997&gt;B246, B$2:B$1997))) - B246,
    TODAY() - Table3[[#This Row],[Date of Update]]
  ),
  TODAY()-Table3[[#This Row],[Date of Update]]
)&lt;=0,
TODAY()-Table3[[#This Row],[Date of Update]],
IFERROR(
  IF(
    COUNTIF(A$2:A$1997, A246) &gt; 1,
    MIN(IF(A$2:A$1997=A246, IF(B$2:B$1997&gt;B246, B$2:B$1997))) - B246,
    TODAY() - Table3[[#This Row],[Date of Update]]
  ),
  TODAY()-Table3[[#This Row],[Date of Update]]
)))</f>
        <v>57</v>
      </c>
      <c r="G246" s="40" t="str">
        <f>IF(Table3[[#This Row],[Stage]]="Closed",Table3[[#This Row],[Date of Update]]-(_xlfn.MINIFS(Table3[Date of Update],Table3[Ref], Table3[[#This Row],[Ref]])),"")</f>
        <v/>
      </c>
    </row>
    <row r="247" spans="1:7" x14ac:dyDescent="0.25">
      <c r="A247" s="39" t="s">
        <v>1187</v>
      </c>
      <c r="B247" s="33">
        <v>44883</v>
      </c>
      <c r="C247" s="32" t="s">
        <v>169</v>
      </c>
      <c r="D247" s="32" t="s">
        <v>4</v>
      </c>
      <c r="E247" s="32" t="s">
        <v>443</v>
      </c>
      <c r="F247" s="32" cm="1">
        <f t="array" aca="1" ref="F247" ca="1">IF(Table3[[#This Row],[Stage]]="Closed",0,IF(IFERROR(
  IF(
    COUNTIF(A$2:A$1997, A247) &gt; 1,
    MIN(IF(A$2:A$1997=A247, IF(B$2:B$1997&gt;B247, B$2:B$1997))) - B247,
    TODAY() - Table3[[#This Row],[Date of Update]]
  ),
  TODAY()-Table3[[#This Row],[Date of Update]]
)&lt;=0,
TODAY()-Table3[[#This Row],[Date of Update]],
IFERROR(
  IF(
    COUNTIF(A$2:A$1997, A247) &gt; 1,
    MIN(IF(A$2:A$1997=A247, IF(B$2:B$1997&gt;B247, B$2:B$1997))) - B247,
    TODAY() - Table3[[#This Row],[Date of Update]]
  ),
  TODAY()-Table3[[#This Row],[Date of Update]]
)))</f>
        <v>0</v>
      </c>
      <c r="G247" s="40">
        <f>IF(Table3[[#This Row],[Stage]]="Closed",Table3[[#This Row],[Date of Update]]-(_xlfn.MINIFS(Table3[Date of Update],Table3[Ref], Table3[[#This Row],[Ref]])),"")</f>
        <v>45</v>
      </c>
    </row>
    <row r="248" spans="1:7" x14ac:dyDescent="0.25">
      <c r="A248" s="39" t="s">
        <v>1206</v>
      </c>
      <c r="B248" s="33">
        <v>44886</v>
      </c>
      <c r="C248" s="32" t="s">
        <v>169</v>
      </c>
      <c r="D248" s="32" t="s">
        <v>4</v>
      </c>
      <c r="E248" s="32" t="s">
        <v>483</v>
      </c>
      <c r="F248" s="32" cm="1">
        <f t="array" aca="1" ref="F248" ca="1">IF(Table3[[#This Row],[Stage]]="Closed",0,IF(IFERROR(
  IF(
    COUNTIF(A$2:A$1997, A248) &gt; 1,
    MIN(IF(A$2:A$1997=A248, IF(B$2:B$1997&gt;B248, B$2:B$1997))) - B248,
    TODAY() - Table3[[#This Row],[Date of Update]]
  ),
  TODAY()-Table3[[#This Row],[Date of Update]]
)&lt;=0,
TODAY()-Table3[[#This Row],[Date of Update]],
IFERROR(
  IF(
    COUNTIF(A$2:A$1997, A248) &gt; 1,
    MIN(IF(A$2:A$1997=A248, IF(B$2:B$1997&gt;B248, B$2:B$1997))) - B248,
    TODAY() - Table3[[#This Row],[Date of Update]]
  ),
  TODAY()-Table3[[#This Row],[Date of Update]]
)))</f>
        <v>0</v>
      </c>
      <c r="G248" s="40">
        <f>IF(Table3[[#This Row],[Stage]]="Closed",Table3[[#This Row],[Date of Update]]-(_xlfn.MINIFS(Table3[Date of Update],Table3[Ref], Table3[[#This Row],[Ref]])),"")</f>
        <v>39</v>
      </c>
    </row>
    <row r="249" spans="1:7" x14ac:dyDescent="0.25">
      <c r="A249" s="39" t="s">
        <v>1179</v>
      </c>
      <c r="B249" s="33">
        <v>44887</v>
      </c>
      <c r="C249" s="32" t="s">
        <v>23</v>
      </c>
      <c r="D249" s="32" t="s">
        <v>4</v>
      </c>
      <c r="E249" s="32" t="s">
        <v>412</v>
      </c>
      <c r="F249" s="32" cm="1">
        <f t="array" aca="1" ref="F249" ca="1">IF(Table3[[#This Row],[Stage]]="Closed",0,IF(IFERROR(
  IF(
    COUNTIF(A$2:A$1997, A249) &gt; 1,
    MIN(IF(A$2:A$1997=A249, IF(B$2:B$1997&gt;B249, B$2:B$1997))) - B249,
    TODAY() - Table3[[#This Row],[Date of Update]]
  ),
  TODAY()-Table3[[#This Row],[Date of Update]]
)&lt;=0,
TODAY()-Table3[[#This Row],[Date of Update]],
IFERROR(
  IF(
    COUNTIF(A$2:A$1997, A249) &gt; 1,
    MIN(IF(A$2:A$1997=A249, IF(B$2:B$1997&gt;B249, B$2:B$1997))) - B249,
    TODAY() - Table3[[#This Row],[Date of Update]]
  ),
  TODAY()-Table3[[#This Row],[Date of Update]]
)))</f>
        <v>24</v>
      </c>
      <c r="G249" s="40" t="str">
        <f>IF(Table3[[#This Row],[Stage]]="Closed",Table3[[#This Row],[Date of Update]]-(_xlfn.MINIFS(Table3[Date of Update],Table3[Ref], Table3[[#This Row],[Ref]])),"")</f>
        <v/>
      </c>
    </row>
    <row r="250" spans="1:7" x14ac:dyDescent="0.25">
      <c r="A250" s="39" t="s">
        <v>1214</v>
      </c>
      <c r="B250" s="33">
        <v>44887</v>
      </c>
      <c r="C250" s="32" t="s">
        <v>23</v>
      </c>
      <c r="D250" s="32" t="s">
        <v>4</v>
      </c>
      <c r="E250" s="32"/>
      <c r="F250" s="32" cm="1">
        <f t="array" aca="1" ref="F250" ca="1">IF(Table3[[#This Row],[Stage]]="Closed",0,IF(IFERROR(
  IF(
    COUNTIF(A$2:A$1997, A250) &gt; 1,
    MIN(IF(A$2:A$1997=A250, IF(B$2:B$1997&gt;B250, B$2:B$1997))) - B250,
    TODAY() - Table3[[#This Row],[Date of Update]]
  ),
  TODAY()-Table3[[#This Row],[Date of Update]]
)&lt;=0,
TODAY()-Table3[[#This Row],[Date of Update]],
IFERROR(
  IF(
    COUNTIF(A$2:A$1997, A250) &gt; 1,
    MIN(IF(A$2:A$1997=A250, IF(B$2:B$1997&gt;B250, B$2:B$1997))) - B250,
    TODAY() - Table3[[#This Row],[Date of Update]]
  ),
  TODAY()-Table3[[#This Row],[Date of Update]]
)))</f>
        <v>22</v>
      </c>
      <c r="G250" s="40" t="str">
        <f>IF(Table3[[#This Row],[Stage]]="Closed",Table3[[#This Row],[Date of Update]]-(_xlfn.MINIFS(Table3[Date of Update],Table3[Ref], Table3[[#This Row],[Ref]])),"")</f>
        <v/>
      </c>
    </row>
    <row r="251" spans="1:7" x14ac:dyDescent="0.25">
      <c r="A251" s="39" t="s">
        <v>1188</v>
      </c>
      <c r="B251" s="33">
        <v>44888</v>
      </c>
      <c r="C251" s="32" t="s">
        <v>23</v>
      </c>
      <c r="D251" s="32" t="s">
        <v>4</v>
      </c>
      <c r="E251" s="32" t="s">
        <v>446</v>
      </c>
      <c r="F251" s="32" cm="1">
        <f t="array" aca="1" ref="F251" ca="1">IF(Table3[[#This Row],[Stage]]="Closed",0,IF(IFERROR(
  IF(
    COUNTIF(A$2:A$1997, A251) &gt; 1,
    MIN(IF(A$2:A$1997=A251, IF(B$2:B$1997&gt;B251, B$2:B$1997))) - B251,
    TODAY() - Table3[[#This Row],[Date of Update]]
  ),
  TODAY()-Table3[[#This Row],[Date of Update]]
)&lt;=0,
TODAY()-Table3[[#This Row],[Date of Update]],
IFERROR(
  IF(
    COUNTIF(A$2:A$1997, A251) &gt; 1,
    MIN(IF(A$2:A$1997=A251, IF(B$2:B$1997&gt;B251, B$2:B$1997))) - B251,
    TODAY() - Table3[[#This Row],[Date of Update]]
  ),
  TODAY()-Table3[[#This Row],[Date of Update]]
)))</f>
        <v>30</v>
      </c>
      <c r="G251" s="40" t="str">
        <f>IF(Table3[[#This Row],[Stage]]="Closed",Table3[[#This Row],[Date of Update]]-(_xlfn.MINIFS(Table3[Date of Update],Table3[Ref], Table3[[#This Row],[Ref]])),"")</f>
        <v/>
      </c>
    </row>
    <row r="252" spans="1:7" x14ac:dyDescent="0.25">
      <c r="A252" s="39" t="s">
        <v>1215</v>
      </c>
      <c r="B252" s="33">
        <v>44888</v>
      </c>
      <c r="C252" s="32" t="s">
        <v>23</v>
      </c>
      <c r="D252" s="32" t="s">
        <v>4</v>
      </c>
      <c r="E252" s="32" t="s">
        <v>514</v>
      </c>
      <c r="F252" s="32" cm="1">
        <f t="array" aca="1" ref="F252" ca="1">IF(Table3[[#This Row],[Stage]]="Closed",0,IF(IFERROR(
  IF(
    COUNTIF(A$2:A$1997, A252) &gt; 1,
    MIN(IF(A$2:A$1997=A252, IF(B$2:B$1997&gt;B252, B$2:B$1997))) - B252,
    TODAY() - Table3[[#This Row],[Date of Update]]
  ),
  TODAY()-Table3[[#This Row],[Date of Update]]
)&lt;=0,
TODAY()-Table3[[#This Row],[Date of Update]],
IFERROR(
  IF(
    COUNTIF(A$2:A$1997, A252) &gt; 1,
    MIN(IF(A$2:A$1997=A252, IF(B$2:B$1997&gt;B252, B$2:B$1997))) - B252,
    TODAY() - Table3[[#This Row],[Date of Update]]
  ),
  TODAY()-Table3[[#This Row],[Date of Update]]
)))</f>
        <v>58</v>
      </c>
      <c r="G252" s="40" t="str">
        <f>IF(Table3[[#This Row],[Stage]]="Closed",Table3[[#This Row],[Date of Update]]-(_xlfn.MINIFS(Table3[Date of Update],Table3[Ref], Table3[[#This Row],[Ref]])),"")</f>
        <v/>
      </c>
    </row>
    <row r="253" spans="1:7" x14ac:dyDescent="0.25">
      <c r="A253" s="39" t="s">
        <v>1197</v>
      </c>
      <c r="B253" s="33">
        <v>44888</v>
      </c>
      <c r="C253" s="32" t="s">
        <v>23</v>
      </c>
      <c r="D253" s="32" t="s">
        <v>4</v>
      </c>
      <c r="E253" s="32" t="s">
        <v>453</v>
      </c>
      <c r="F253" s="32" cm="1">
        <f t="array" aca="1" ref="F253" ca="1">IF(Table3[[#This Row],[Stage]]="Closed",0,IF(IFERROR(
  IF(
    COUNTIF(A$2:A$1997, A253) &gt; 1,
    MIN(IF(A$2:A$1997=A253, IF(B$2:B$1997&gt;B253, B$2:B$1997))) - B253,
    TODAY() - Table3[[#This Row],[Date of Update]]
  ),
  TODAY()-Table3[[#This Row],[Date of Update]]
)&lt;=0,
TODAY()-Table3[[#This Row],[Date of Update]],
IFERROR(
  IF(
    COUNTIF(A$2:A$1997, A253) &gt; 1,
    MIN(IF(A$2:A$1997=A253, IF(B$2:B$1997&gt;B253, B$2:B$1997))) - B253,
    TODAY() - Table3[[#This Row],[Date of Update]]
  ),
  TODAY()-Table3[[#This Row],[Date of Update]]
)))</f>
        <v>45</v>
      </c>
      <c r="G253" s="40" t="str">
        <f>IF(Table3[[#This Row],[Stage]]="Closed",Table3[[#This Row],[Date of Update]]-(_xlfn.MINIFS(Table3[Date of Update],Table3[Ref], Table3[[#This Row],[Ref]])),"")</f>
        <v/>
      </c>
    </row>
    <row r="254" spans="1:7" x14ac:dyDescent="0.25">
      <c r="A254" s="39" t="s">
        <v>1192</v>
      </c>
      <c r="B254" s="33">
        <v>44889</v>
      </c>
      <c r="C254" s="32" t="s">
        <v>23</v>
      </c>
      <c r="D254" s="32" t="s">
        <v>4</v>
      </c>
      <c r="E254" s="32" t="s">
        <v>453</v>
      </c>
      <c r="F254" s="32" cm="1">
        <f t="array" aca="1" ref="F254" ca="1">IF(Table3[[#This Row],[Stage]]="Closed",0,IF(IFERROR(
  IF(
    COUNTIF(A$2:A$1997, A254) &gt; 1,
    MIN(IF(A$2:A$1997=A254, IF(B$2:B$1997&gt;B254, B$2:B$1997))) - B254,
    TODAY() - Table3[[#This Row],[Date of Update]]
  ),
  TODAY()-Table3[[#This Row],[Date of Update]]
)&lt;=0,
TODAY()-Table3[[#This Row],[Date of Update]],
IFERROR(
  IF(
    COUNTIF(A$2:A$1997, A254) &gt; 1,
    MIN(IF(A$2:A$1997=A254, IF(B$2:B$1997&gt;B254, B$2:B$1997))) - B254,
    TODAY() - Table3[[#This Row],[Date of Update]]
  ),
  TODAY()-Table3[[#This Row],[Date of Update]]
)))</f>
        <v>30</v>
      </c>
      <c r="G254" s="40" t="str">
        <f>IF(Table3[[#This Row],[Stage]]="Closed",Table3[[#This Row],[Date of Update]]-(_xlfn.MINIFS(Table3[Date of Update],Table3[Ref], Table3[[#This Row],[Ref]])),"")</f>
        <v/>
      </c>
    </row>
    <row r="255" spans="1:7" x14ac:dyDescent="0.25">
      <c r="A255" s="39" t="s">
        <v>1191</v>
      </c>
      <c r="B255" s="33">
        <v>44889</v>
      </c>
      <c r="C255" s="32" t="s">
        <v>23</v>
      </c>
      <c r="D255" s="32" t="s">
        <v>4</v>
      </c>
      <c r="E255" s="32" t="s">
        <v>412</v>
      </c>
      <c r="F255" s="32" cm="1">
        <f t="array" aca="1" ref="F255" ca="1">IF(Table3[[#This Row],[Stage]]="Closed",0,IF(IFERROR(
  IF(
    COUNTIF(A$2:A$1997, A255) &gt; 1,
    MIN(IF(A$2:A$1997=A255, IF(B$2:B$1997&gt;B255, B$2:B$1997))) - B255,
    TODAY() - Table3[[#This Row],[Date of Update]]
  ),
  TODAY()-Table3[[#This Row],[Date of Update]]
)&lt;=0,
TODAY()-Table3[[#This Row],[Date of Update]],
IFERROR(
  IF(
    COUNTIF(A$2:A$1997, A255) &gt; 1,
    MIN(IF(A$2:A$1997=A255, IF(B$2:B$1997&gt;B255, B$2:B$1997))) - B255,
    TODAY() - Table3[[#This Row],[Date of Update]]
  ),
  TODAY()-Table3[[#This Row],[Date of Update]]
)))</f>
        <v>30</v>
      </c>
      <c r="G255" s="40" t="str">
        <f>IF(Table3[[#This Row],[Stage]]="Closed",Table3[[#This Row],[Date of Update]]-(_xlfn.MINIFS(Table3[Date of Update],Table3[Ref], Table3[[#This Row],[Ref]])),"")</f>
        <v/>
      </c>
    </row>
    <row r="256" spans="1:7" x14ac:dyDescent="0.25">
      <c r="A256" s="39" t="s">
        <v>1245</v>
      </c>
      <c r="B256" s="33">
        <v>44889</v>
      </c>
      <c r="C256" s="32" t="s">
        <v>23</v>
      </c>
      <c r="D256" s="32" t="s">
        <v>4</v>
      </c>
      <c r="E256" s="32" t="s">
        <v>453</v>
      </c>
      <c r="F256" s="32" cm="1">
        <f t="array" aca="1" ref="F256" ca="1">IF(Table3[[#This Row],[Stage]]="Closed",0,IF(IFERROR(
  IF(
    COUNTIF(A$2:A$1997, A256) &gt; 1,
    MIN(IF(A$2:A$1997=A256, IF(B$2:B$1997&gt;B256, B$2:B$1997))) - B256,
    TODAY() - Table3[[#This Row],[Date of Update]]
  ),
  TODAY()-Table3[[#This Row],[Date of Update]]
)&lt;=0,
TODAY()-Table3[[#This Row],[Date of Update]],
IFERROR(
  IF(
    COUNTIF(A$2:A$1997, A256) &gt; 1,
    MIN(IF(A$2:A$1997=A256, IF(B$2:B$1997&gt;B256, B$2:B$1997))) - B256,
    TODAY() - Table3[[#This Row],[Date of Update]]
  ),
  TODAY()-Table3[[#This Row],[Date of Update]]
)))</f>
        <v>92</v>
      </c>
      <c r="G256" s="40" t="str">
        <f>IF(Table3[[#This Row],[Stage]]="Closed",Table3[[#This Row],[Date of Update]]-(_xlfn.MINIFS(Table3[Date of Update],Table3[Ref], Table3[[#This Row],[Ref]])),"")</f>
        <v/>
      </c>
    </row>
    <row r="257" spans="1:7" x14ac:dyDescent="0.25">
      <c r="A257" s="39" t="s">
        <v>1307</v>
      </c>
      <c r="B257" s="33">
        <v>44889</v>
      </c>
      <c r="C257" s="32" t="s">
        <v>23</v>
      </c>
      <c r="D257" s="32" t="s">
        <v>4</v>
      </c>
      <c r="E257" s="32" t="s">
        <v>723</v>
      </c>
      <c r="F257" s="32" cm="1">
        <f t="array" aca="1" ref="F257" ca="1">IF(Table3[[#This Row],[Stage]]="Closed",0,IF(IFERROR(
  IF(
    COUNTIF(A$2:A$1997, A257) &gt; 1,
    MIN(IF(A$2:A$1997=A257, IF(B$2:B$1997&gt;B257, B$2:B$1997))) - B257,
    TODAY() - Table3[[#This Row],[Date of Update]]
  ),
  TODAY()-Table3[[#This Row],[Date of Update]]
)&lt;=0,
TODAY()-Table3[[#This Row],[Date of Update]],
IFERROR(
  IF(
    COUNTIF(A$2:A$1997, A257) &gt; 1,
    MIN(IF(A$2:A$1997=A257, IF(B$2:B$1997&gt;B257, B$2:B$1997))) - B257,
    TODAY() - Table3[[#This Row],[Date of Update]]
  ),
  TODAY()-Table3[[#This Row],[Date of Update]]
)))</f>
        <v>190</v>
      </c>
      <c r="G257" s="40" t="str">
        <f>IF(Table3[[#This Row],[Stage]]="Closed",Table3[[#This Row],[Date of Update]]-(_xlfn.MINIFS(Table3[Date of Update],Table3[Ref], Table3[[#This Row],[Ref]])),"")</f>
        <v/>
      </c>
    </row>
    <row r="258" spans="1:7" x14ac:dyDescent="0.25">
      <c r="A258" s="39" t="s">
        <v>1189</v>
      </c>
      <c r="B258" s="33">
        <v>44889</v>
      </c>
      <c r="C258" s="32" t="s">
        <v>23</v>
      </c>
      <c r="D258" s="32" t="s">
        <v>4</v>
      </c>
      <c r="E258" s="32" t="s">
        <v>412</v>
      </c>
      <c r="F258" s="32" cm="1">
        <f t="array" aca="1" ref="F258" ca="1">IF(Table3[[#This Row],[Stage]]="Closed",0,IF(IFERROR(
  IF(
    COUNTIF(A$2:A$1997, A258) &gt; 1,
    MIN(IF(A$2:A$1997=A258, IF(B$2:B$1997&gt;B258, B$2:B$1997))) - B258,
    TODAY() - Table3[[#This Row],[Date of Update]]
  ),
  TODAY()-Table3[[#This Row],[Date of Update]]
)&lt;=0,
TODAY()-Table3[[#This Row],[Date of Update]],
IFERROR(
  IF(
    COUNTIF(A$2:A$1997, A258) &gt; 1,
    MIN(IF(A$2:A$1997=A258, IF(B$2:B$1997&gt;B258, B$2:B$1997))) - B258,
    TODAY() - Table3[[#This Row],[Date of Update]]
  ),
  TODAY()-Table3[[#This Row],[Date of Update]]
)))</f>
        <v>30</v>
      </c>
      <c r="G258" s="40" t="str">
        <f>IF(Table3[[#This Row],[Stage]]="Closed",Table3[[#This Row],[Date of Update]]-(_xlfn.MINIFS(Table3[Date of Update],Table3[Ref], Table3[[#This Row],[Ref]])),"")</f>
        <v/>
      </c>
    </row>
    <row r="259" spans="1:7" x14ac:dyDescent="0.25">
      <c r="A259" s="39" t="s">
        <v>1190</v>
      </c>
      <c r="B259" s="33">
        <v>44889</v>
      </c>
      <c r="C259" s="32" t="s">
        <v>23</v>
      </c>
      <c r="D259" s="32" t="s">
        <v>4</v>
      </c>
      <c r="E259" s="32" t="s">
        <v>412</v>
      </c>
      <c r="F259" s="32" cm="1">
        <f t="array" aca="1" ref="F259" ca="1">IF(Table3[[#This Row],[Stage]]="Closed",0,IF(IFERROR(
  IF(
    COUNTIF(A$2:A$1997, A259) &gt; 1,
    MIN(IF(A$2:A$1997=A259, IF(B$2:B$1997&gt;B259, B$2:B$1997))) - B259,
    TODAY() - Table3[[#This Row],[Date of Update]]
  ),
  TODAY()-Table3[[#This Row],[Date of Update]]
)&lt;=0,
TODAY()-Table3[[#This Row],[Date of Update]],
IFERROR(
  IF(
    COUNTIF(A$2:A$1997, A259) &gt; 1,
    MIN(IF(A$2:A$1997=A259, IF(B$2:B$1997&gt;B259, B$2:B$1997))) - B259,
    TODAY() - Table3[[#This Row],[Date of Update]]
  ),
  TODAY()-Table3[[#This Row],[Date of Update]]
)))</f>
        <v>30</v>
      </c>
      <c r="G259" s="40" t="str">
        <f>IF(Table3[[#This Row],[Stage]]="Closed",Table3[[#This Row],[Date of Update]]-(_xlfn.MINIFS(Table3[Date of Update],Table3[Ref], Table3[[#This Row],[Ref]])),"")</f>
        <v/>
      </c>
    </row>
    <row r="260" spans="1:7" x14ac:dyDescent="0.25">
      <c r="A260" s="39" t="s">
        <v>1186</v>
      </c>
      <c r="B260" s="33">
        <v>44890</v>
      </c>
      <c r="C260" s="32" t="s">
        <v>23</v>
      </c>
      <c r="D260" s="32" t="s">
        <v>4</v>
      </c>
      <c r="E260" s="32" t="s">
        <v>441</v>
      </c>
      <c r="F260" s="32" cm="1">
        <f t="array" aca="1" ref="F260" ca="1">IF(Table3[[#This Row],[Stage]]="Closed",0,IF(IFERROR(
  IF(
    COUNTIF(A$2:A$1997, A260) &gt; 1,
    MIN(IF(A$2:A$1997=A260, IF(B$2:B$1997&gt;B260, B$2:B$1997))) - B260,
    TODAY() - Table3[[#This Row],[Date of Update]]
  ),
  TODAY()-Table3[[#This Row],[Date of Update]]
)&lt;=0,
TODAY()-Table3[[#This Row],[Date of Update]],
IFERROR(
  IF(
    COUNTIF(A$2:A$1997, A260) &gt; 1,
    MIN(IF(A$2:A$1997=A260, IF(B$2:B$1997&gt;B260, B$2:B$1997))) - B260,
    TODAY() - Table3[[#This Row],[Date of Update]]
  ),
  TODAY()-Table3[[#This Row],[Date of Update]]
)))</f>
        <v>24</v>
      </c>
      <c r="G260" s="40" t="str">
        <f>IF(Table3[[#This Row],[Stage]]="Closed",Table3[[#This Row],[Date of Update]]-(_xlfn.MINIFS(Table3[Date of Update],Table3[Ref], Table3[[#This Row],[Ref]])),"")</f>
        <v/>
      </c>
    </row>
    <row r="261" spans="1:7" x14ac:dyDescent="0.25">
      <c r="A261" s="39" t="s">
        <v>1193</v>
      </c>
      <c r="B261" s="33">
        <v>44890</v>
      </c>
      <c r="C261" s="32" t="s">
        <v>23</v>
      </c>
      <c r="D261" s="32" t="s">
        <v>4</v>
      </c>
      <c r="E261" s="32" t="s">
        <v>453</v>
      </c>
      <c r="F261" s="32" cm="1">
        <f t="array" aca="1" ref="F261" ca="1">IF(Table3[[#This Row],[Stage]]="Closed",0,IF(IFERROR(
  IF(
    COUNTIF(A$2:A$1997, A261) &gt; 1,
    MIN(IF(A$2:A$1997=A261, IF(B$2:B$1997&gt;B261, B$2:B$1997))) - B261,
    TODAY() - Table3[[#This Row],[Date of Update]]
  ),
  TODAY()-Table3[[#This Row],[Date of Update]]
)&lt;=0,
TODAY()-Table3[[#This Row],[Date of Update]],
IFERROR(
  IF(
    COUNTIF(A$2:A$1997, A261) &gt; 1,
    MIN(IF(A$2:A$1997=A261, IF(B$2:B$1997&gt;B261, B$2:B$1997))) - B261,
    TODAY() - Table3[[#This Row],[Date of Update]]
  ),
  TODAY()-Table3[[#This Row],[Date of Update]]
)))</f>
        <v>30</v>
      </c>
      <c r="G261" s="40" t="str">
        <f>IF(Table3[[#This Row],[Stage]]="Closed",Table3[[#This Row],[Date of Update]]-(_xlfn.MINIFS(Table3[Date of Update],Table3[Ref], Table3[[#This Row],[Ref]])),"")</f>
        <v/>
      </c>
    </row>
    <row r="262" spans="1:7" x14ac:dyDescent="0.25">
      <c r="A262" s="39" t="s">
        <v>1174</v>
      </c>
      <c r="B262" s="33">
        <v>44892</v>
      </c>
      <c r="C262" s="32" t="s">
        <v>169</v>
      </c>
      <c r="D262" s="32" t="s">
        <v>4</v>
      </c>
      <c r="E262" s="32" t="s">
        <v>401</v>
      </c>
      <c r="F262" s="32" cm="1">
        <f t="array" aca="1" ref="F262" ca="1">IF(Table3[[#This Row],[Stage]]="Closed",0,IF(IFERROR(
  IF(
    COUNTIF(A$2:A$1997, A262) &gt; 1,
    MIN(IF(A$2:A$1997=A262, IF(B$2:B$1997&gt;B262, B$2:B$1997))) - B262,
    TODAY() - Table3[[#This Row],[Date of Update]]
  ),
  TODAY()-Table3[[#This Row],[Date of Update]]
)&lt;=0,
TODAY()-Table3[[#This Row],[Date of Update]],
IFERROR(
  IF(
    COUNTIF(A$2:A$1997, A262) &gt; 1,
    MIN(IF(A$2:A$1997=A262, IF(B$2:B$1997&gt;B262, B$2:B$1997))) - B262,
    TODAY() - Table3[[#This Row],[Date of Update]]
  ),
  TODAY()-Table3[[#This Row],[Date of Update]]
)))</f>
        <v>0</v>
      </c>
      <c r="G262" s="40">
        <f>IF(Table3[[#This Row],[Stage]]="Closed",Table3[[#This Row],[Date of Update]]-(_xlfn.MINIFS(Table3[Date of Update],Table3[Ref], Table3[[#This Row],[Ref]])),"")</f>
        <v>30</v>
      </c>
    </row>
    <row r="263" spans="1:7" x14ac:dyDescent="0.25">
      <c r="A263" s="39" t="s">
        <v>1173</v>
      </c>
      <c r="B263" s="33">
        <v>44892</v>
      </c>
      <c r="C263" s="32" t="s">
        <v>169</v>
      </c>
      <c r="D263" s="32" t="s">
        <v>4</v>
      </c>
      <c r="E263" s="32" t="s">
        <v>401</v>
      </c>
      <c r="F263" s="32" cm="1">
        <f t="array" aca="1" ref="F263" ca="1">IF(Table3[[#This Row],[Stage]]="Closed",0,IF(IFERROR(
  IF(
    COUNTIF(A$2:A$1997, A263) &gt; 1,
    MIN(IF(A$2:A$1997=A263, IF(B$2:B$1997&gt;B263, B$2:B$1997))) - B263,
    TODAY() - Table3[[#This Row],[Date of Update]]
  ),
  TODAY()-Table3[[#This Row],[Date of Update]]
)&lt;=0,
TODAY()-Table3[[#This Row],[Date of Update]],
IFERROR(
  IF(
    COUNTIF(A$2:A$1997, A263) &gt; 1,
    MIN(IF(A$2:A$1997=A263, IF(B$2:B$1997&gt;B263, B$2:B$1997))) - B263,
    TODAY() - Table3[[#This Row],[Date of Update]]
  ),
  TODAY()-Table3[[#This Row],[Date of Update]]
)))</f>
        <v>0</v>
      </c>
      <c r="G263" s="40">
        <f>IF(Table3[[#This Row],[Stage]]="Closed",Table3[[#This Row],[Date of Update]]-(_xlfn.MINIFS(Table3[Date of Update],Table3[Ref], Table3[[#This Row],[Ref]])),"")</f>
        <v>30</v>
      </c>
    </row>
    <row r="264" spans="1:7" x14ac:dyDescent="0.25">
      <c r="A264" s="39" t="s">
        <v>1198</v>
      </c>
      <c r="B264" s="33">
        <v>44894</v>
      </c>
      <c r="C264" s="32" t="s">
        <v>23</v>
      </c>
      <c r="D264" s="32" t="s">
        <v>4</v>
      </c>
      <c r="E264" s="32" t="s">
        <v>453</v>
      </c>
      <c r="F264" s="32" cm="1">
        <f t="array" aca="1" ref="F264" ca="1">IF(Table3[[#This Row],[Stage]]="Closed",0,IF(IFERROR(
  IF(
    COUNTIF(A$2:A$1997, A264) &gt; 1,
    MIN(IF(A$2:A$1997=A264, IF(B$2:B$1997&gt;B264, B$2:B$1997))) - B264,
    TODAY() - Table3[[#This Row],[Date of Update]]
  ),
  TODAY()-Table3[[#This Row],[Date of Update]]
)&lt;=0,
TODAY()-Table3[[#This Row],[Date of Update]],
IFERROR(
  IF(
    COUNTIF(A$2:A$1997, A264) &gt; 1,
    MIN(IF(A$2:A$1997=A264, IF(B$2:B$1997&gt;B264, B$2:B$1997))) - B264,
    TODAY() - Table3[[#This Row],[Date of Update]]
  ),
  TODAY()-Table3[[#This Row],[Date of Update]]
)))</f>
        <v>39</v>
      </c>
      <c r="G264" s="40" t="str">
        <f>IF(Table3[[#This Row],[Stage]]="Closed",Table3[[#This Row],[Date of Update]]-(_xlfn.MINIFS(Table3[Date of Update],Table3[Ref], Table3[[#This Row],[Ref]])),"")</f>
        <v/>
      </c>
    </row>
    <row r="265" spans="1:7" x14ac:dyDescent="0.25">
      <c r="A265" s="39" t="s">
        <v>1246</v>
      </c>
      <c r="B265" s="33">
        <v>44895</v>
      </c>
      <c r="C265" s="32" t="s">
        <v>23</v>
      </c>
      <c r="D265" s="32" t="s">
        <v>4</v>
      </c>
      <c r="E265" s="32" t="s">
        <v>578</v>
      </c>
      <c r="F265" s="32" cm="1">
        <f t="array" aca="1" ref="F265" ca="1">IF(Table3[[#This Row],[Stage]]="Closed",0,IF(IFERROR(
  IF(
    COUNTIF(A$2:A$1997, A265) &gt; 1,
    MIN(IF(A$2:A$1997=A265, IF(B$2:B$1997&gt;B265, B$2:B$1997))) - B265,
    TODAY() - Table3[[#This Row],[Date of Update]]
  ),
  TODAY()-Table3[[#This Row],[Date of Update]]
)&lt;=0,
TODAY()-Table3[[#This Row],[Date of Update]],
IFERROR(
  IF(
    COUNTIF(A$2:A$1997, A265) &gt; 1,
    MIN(IF(A$2:A$1997=A265, IF(B$2:B$1997&gt;B265, B$2:B$1997))) - B265,
    TODAY() - Table3[[#This Row],[Date of Update]]
  ),
  TODAY()-Table3[[#This Row],[Date of Update]]
)))</f>
        <v>86</v>
      </c>
      <c r="G265" s="40" t="str">
        <f>IF(Table3[[#This Row],[Stage]]="Closed",Table3[[#This Row],[Date of Update]]-(_xlfn.MINIFS(Table3[Date of Update],Table3[Ref], Table3[[#This Row],[Ref]])),"")</f>
        <v/>
      </c>
    </row>
    <row r="266" spans="1:7" x14ac:dyDescent="0.25">
      <c r="A266" s="39" t="s">
        <v>1194</v>
      </c>
      <c r="B266" s="33">
        <v>44895</v>
      </c>
      <c r="C266" s="32" t="s">
        <v>23</v>
      </c>
      <c r="D266" s="32" t="s">
        <v>4</v>
      </c>
      <c r="E266" s="32" t="s">
        <v>458</v>
      </c>
      <c r="F266" s="32" cm="1">
        <f t="array" aca="1" ref="F266" ca="1">IF(Table3[[#This Row],[Stage]]="Closed",0,IF(IFERROR(
  IF(
    COUNTIF(A$2:A$1997, A266) &gt; 1,
    MIN(IF(A$2:A$1997=A266, IF(B$2:B$1997&gt;B266, B$2:B$1997))) - B266,
    TODAY() - Table3[[#This Row],[Date of Update]]
  ),
  TODAY()-Table3[[#This Row],[Date of Update]]
)&lt;=0,
TODAY()-Table3[[#This Row],[Date of Update]],
IFERROR(
  IF(
    COUNTIF(A$2:A$1997, A266) &gt; 1,
    MIN(IF(A$2:A$1997=A266, IF(B$2:B$1997&gt;B266, B$2:B$1997))) - B266,
    TODAY() - Table3[[#This Row],[Date of Update]]
  ),
  TODAY()-Table3[[#This Row],[Date of Update]]
)))</f>
        <v>30</v>
      </c>
      <c r="G266" s="40" t="str">
        <f>IF(Table3[[#This Row],[Stage]]="Closed",Table3[[#This Row],[Date of Update]]-(_xlfn.MINIFS(Table3[Date of Update],Table3[Ref], Table3[[#This Row],[Ref]])),"")</f>
        <v/>
      </c>
    </row>
    <row r="267" spans="1:7" x14ac:dyDescent="0.25">
      <c r="A267" s="39" t="s">
        <v>1199</v>
      </c>
      <c r="B267" s="33">
        <v>44896</v>
      </c>
      <c r="C267" s="32" t="s">
        <v>23</v>
      </c>
      <c r="D267" s="32" t="s">
        <v>4</v>
      </c>
      <c r="E267" s="32" t="s">
        <v>466</v>
      </c>
      <c r="F267" s="32" cm="1">
        <f t="array" aca="1" ref="F267" ca="1">IF(Table3[[#This Row],[Stage]]="Closed",0,IF(IFERROR(
  IF(
    COUNTIF(A$2:A$1997, A267) &gt; 1,
    MIN(IF(A$2:A$1997=A267, IF(B$2:B$1997&gt;B267, B$2:B$1997))) - B267,
    TODAY() - Table3[[#This Row],[Date of Update]]
  ),
  TODAY()-Table3[[#This Row],[Date of Update]]
)&lt;=0,
TODAY()-Table3[[#This Row],[Date of Update]],
IFERROR(
  IF(
    COUNTIF(A$2:A$1997, A267) &gt; 1,
    MIN(IF(A$2:A$1997=A267, IF(B$2:B$1997&gt;B267, B$2:B$1997))) - B267,
    TODAY() - Table3[[#This Row],[Date of Update]]
  ),
  TODAY()-Table3[[#This Row],[Date of Update]]
)))</f>
        <v>37</v>
      </c>
      <c r="G267" s="40" t="str">
        <f>IF(Table3[[#This Row],[Stage]]="Closed",Table3[[#This Row],[Date of Update]]-(_xlfn.MINIFS(Table3[Date of Update],Table3[Ref], Table3[[#This Row],[Ref]])),"")</f>
        <v/>
      </c>
    </row>
    <row r="268" spans="1:7" x14ac:dyDescent="0.25">
      <c r="A268" s="39" t="s">
        <v>1247</v>
      </c>
      <c r="B268" s="33">
        <v>44896</v>
      </c>
      <c r="C268" s="32" t="s">
        <v>23</v>
      </c>
      <c r="D268" s="32" t="s">
        <v>4</v>
      </c>
      <c r="E268" s="32" t="s">
        <v>580</v>
      </c>
      <c r="F268" s="32" cm="1">
        <f t="array" aca="1" ref="F268" ca="1">IF(Table3[[#This Row],[Stage]]="Closed",0,IF(IFERROR(
  IF(
    COUNTIF(A$2:A$1997, A268) &gt; 1,
    MIN(IF(A$2:A$1997=A268, IF(B$2:B$1997&gt;B268, B$2:B$1997))) - B268,
    TODAY() - Table3[[#This Row],[Date of Update]]
  ),
  TODAY()-Table3[[#This Row],[Date of Update]]
)&lt;=0,
TODAY()-Table3[[#This Row],[Date of Update]],
IFERROR(
  IF(
    COUNTIF(A$2:A$1997, A268) &gt; 1,
    MIN(IF(A$2:A$1997=A268, IF(B$2:B$1997&gt;B268, B$2:B$1997))) - B268,
    TODAY() - Table3[[#This Row],[Date of Update]]
  ),
  TODAY()-Table3[[#This Row],[Date of Update]]
)))</f>
        <v>85</v>
      </c>
      <c r="G268" s="40" t="str">
        <f>IF(Table3[[#This Row],[Stage]]="Closed",Table3[[#This Row],[Date of Update]]-(_xlfn.MINIFS(Table3[Date of Update],Table3[Ref], Table3[[#This Row],[Ref]])),"")</f>
        <v/>
      </c>
    </row>
    <row r="269" spans="1:7" x14ac:dyDescent="0.25">
      <c r="A269" s="39" t="s">
        <v>1195</v>
      </c>
      <c r="B269" s="33">
        <v>44896</v>
      </c>
      <c r="C269" s="32" t="s">
        <v>23</v>
      </c>
      <c r="D269" s="32" t="s">
        <v>4</v>
      </c>
      <c r="E269" s="32" t="s">
        <v>460</v>
      </c>
      <c r="F269" s="32" cm="1">
        <f t="array" aca="1" ref="F269" ca="1">IF(Table3[[#This Row],[Stage]]="Closed",0,IF(IFERROR(
  IF(
    COUNTIF(A$2:A$1997, A269) &gt; 1,
    MIN(IF(A$2:A$1997=A269, IF(B$2:B$1997&gt;B269, B$2:B$1997))) - B269,
    TODAY() - Table3[[#This Row],[Date of Update]]
  ),
  TODAY()-Table3[[#This Row],[Date of Update]]
)&lt;=0,
TODAY()-Table3[[#This Row],[Date of Update]],
IFERROR(
  IF(
    COUNTIF(A$2:A$1997, A269) &gt; 1,
    MIN(IF(A$2:A$1997=A269, IF(B$2:B$1997&gt;B269, B$2:B$1997))) - B269,
    TODAY() - Table3[[#This Row],[Date of Update]]
  ),
  TODAY()-Table3[[#This Row],[Date of Update]]
)))</f>
        <v>30</v>
      </c>
      <c r="G269" s="40" t="str">
        <f>IF(Table3[[#This Row],[Stage]]="Closed",Table3[[#This Row],[Date of Update]]-(_xlfn.MINIFS(Table3[Date of Update],Table3[Ref], Table3[[#This Row],[Ref]])),"")</f>
        <v/>
      </c>
    </row>
    <row r="270" spans="1:7" x14ac:dyDescent="0.25">
      <c r="A270" s="39" t="s">
        <v>1212</v>
      </c>
      <c r="B270" s="33">
        <v>44896</v>
      </c>
      <c r="C270" s="32" t="s">
        <v>169</v>
      </c>
      <c r="D270" s="32" t="s">
        <v>4</v>
      </c>
      <c r="E270" s="32" t="s">
        <v>504</v>
      </c>
      <c r="F270" s="32" cm="1">
        <f t="array" aca="1" ref="F270" ca="1">IF(Table3[[#This Row],[Stage]]="Closed",0,IF(IFERROR(
  IF(
    COUNTIF(A$2:A$1997, A270) &gt; 1,
    MIN(IF(A$2:A$1997=A270, IF(B$2:B$1997&gt;B270, B$2:B$1997))) - B270,
    TODAY() - Table3[[#This Row],[Date of Update]]
  ),
  TODAY()-Table3[[#This Row],[Date of Update]]
)&lt;=0,
TODAY()-Table3[[#This Row],[Date of Update]],
IFERROR(
  IF(
    COUNTIF(A$2:A$1997, A270) &gt; 1,
    MIN(IF(A$2:A$1997=A270, IF(B$2:B$1997&gt;B270, B$2:B$1997))) - B270,
    TODAY() - Table3[[#This Row],[Date of Update]]
  ),
  TODAY()-Table3[[#This Row],[Date of Update]]
)))</f>
        <v>0</v>
      </c>
      <c r="G270" s="40">
        <f>IF(Table3[[#This Row],[Stage]]="Closed",Table3[[#This Row],[Date of Update]]-(_xlfn.MINIFS(Table3[Date of Update],Table3[Ref], Table3[[#This Row],[Ref]])),"")</f>
        <v>35</v>
      </c>
    </row>
    <row r="271" spans="1:7" x14ac:dyDescent="0.25">
      <c r="A271" s="39" t="s">
        <v>1538</v>
      </c>
      <c r="B271" s="33">
        <v>44897</v>
      </c>
      <c r="C271" s="32" t="s">
        <v>23</v>
      </c>
      <c r="D271" s="32" t="s">
        <v>4</v>
      </c>
      <c r="E271" s="32" t="s">
        <v>583</v>
      </c>
      <c r="F271" s="32" cm="1">
        <f t="array" aca="1" ref="F271" ca="1">IF(Table3[[#This Row],[Stage]]="Closed",0,IF(IFERROR(
  IF(
    COUNTIF(A$2:A$1997, A271) &gt; 1,
    MIN(IF(A$2:A$1997=A271, IF(B$2:B$1997&gt;B271, B$2:B$1997))) - B271,
    TODAY() - Table3[[#This Row],[Date of Update]]
  ),
  TODAY()-Table3[[#This Row],[Date of Update]]
)&lt;=0,
TODAY()-Table3[[#This Row],[Date of Update]],
IFERROR(
  IF(
    COUNTIF(A$2:A$1997, A271) &gt; 1,
    MIN(IF(A$2:A$1997=A271, IF(B$2:B$1997&gt;B271, B$2:B$1997))) - B271,
    TODAY() - Table3[[#This Row],[Date of Update]]
  ),
  TODAY()-Table3[[#This Row],[Date of Update]]
)))</f>
        <v>84</v>
      </c>
      <c r="G271" s="40" t="str">
        <f>IF(Table3[[#This Row],[Stage]]="Closed",Table3[[#This Row],[Date of Update]]-(_xlfn.MINIFS(Table3[Date of Update],Table3[Ref], Table3[[#This Row],[Ref]])),"")</f>
        <v/>
      </c>
    </row>
    <row r="272" spans="1:7" x14ac:dyDescent="0.25">
      <c r="A272" s="39" t="s">
        <v>1539</v>
      </c>
      <c r="B272" s="33">
        <v>44897</v>
      </c>
      <c r="C272" s="32" t="s">
        <v>23</v>
      </c>
      <c r="D272" s="32" t="s">
        <v>4</v>
      </c>
      <c r="E272" s="32" t="s">
        <v>585</v>
      </c>
      <c r="F272" s="32" cm="1">
        <f t="array" aca="1" ref="F272" ca="1">IF(Table3[[#This Row],[Stage]]="Closed",0,IF(IFERROR(
  IF(
    COUNTIF(A$2:A$1997, A272) &gt; 1,
    MIN(IF(A$2:A$1997=A272, IF(B$2:B$1997&gt;B272, B$2:B$1997))) - B272,
    TODAY() - Table3[[#This Row],[Date of Update]]
  ),
  TODAY()-Table3[[#This Row],[Date of Update]]
)&lt;=0,
TODAY()-Table3[[#This Row],[Date of Update]],
IFERROR(
  IF(
    COUNTIF(A$2:A$1997, A272) &gt; 1,
    MIN(IF(A$2:A$1997=A272, IF(B$2:B$1997&gt;B272, B$2:B$1997))) - B272,
    TODAY() - Table3[[#This Row],[Date of Update]]
  ),
  TODAY()-Table3[[#This Row],[Date of Update]]
)))</f>
        <v>84</v>
      </c>
      <c r="G272" s="40" t="str">
        <f>IF(Table3[[#This Row],[Stage]]="Closed",Table3[[#This Row],[Date of Update]]-(_xlfn.MINIFS(Table3[Date of Update],Table3[Ref], Table3[[#This Row],[Ref]])),"")</f>
        <v/>
      </c>
    </row>
    <row r="273" spans="1:7" x14ac:dyDescent="0.25">
      <c r="A273" s="39" t="s">
        <v>1540</v>
      </c>
      <c r="B273" s="33">
        <v>44897</v>
      </c>
      <c r="C273" s="32" t="s">
        <v>23</v>
      </c>
      <c r="D273" s="32" t="s">
        <v>4</v>
      </c>
      <c r="E273" s="32" t="s">
        <v>169</v>
      </c>
      <c r="F273" s="32" cm="1">
        <f t="array" aca="1" ref="F273" ca="1">IF(Table3[[#This Row],[Stage]]="Closed",0,IF(IFERROR(
  IF(
    COUNTIF(A$2:A$1997, A273) &gt; 1,
    MIN(IF(A$2:A$1997=A273, IF(B$2:B$1997&gt;B273, B$2:B$1997))) - B273,
    TODAY() - Table3[[#This Row],[Date of Update]]
  ),
  TODAY()-Table3[[#This Row],[Date of Update]]
)&lt;=0,
TODAY()-Table3[[#This Row],[Date of Update]],
IFERROR(
  IF(
    COUNTIF(A$2:A$1997, A273) &gt; 1,
    MIN(IF(A$2:A$1997=A273, IF(B$2:B$1997&gt;B273, B$2:B$1997))) - B273,
    TODAY() - Table3[[#This Row],[Date of Update]]
  ),
  TODAY()-Table3[[#This Row],[Date of Update]]
)))</f>
        <v>238</v>
      </c>
      <c r="G273" s="40" t="str">
        <f>IF(Table3[[#This Row],[Stage]]="Closed",Table3[[#This Row],[Date of Update]]-(_xlfn.MINIFS(Table3[Date of Update],Table3[Ref], Table3[[#This Row],[Ref]])),"")</f>
        <v/>
      </c>
    </row>
    <row r="274" spans="1:7" x14ac:dyDescent="0.25">
      <c r="A274" s="39" t="s">
        <v>1201</v>
      </c>
      <c r="B274" s="33">
        <v>44903</v>
      </c>
      <c r="C274" s="32" t="s">
        <v>23</v>
      </c>
      <c r="D274" s="32" t="s">
        <v>4</v>
      </c>
      <c r="E274" s="32" t="s">
        <v>469</v>
      </c>
      <c r="F274" s="32" cm="1">
        <f t="array" aca="1" ref="F274" ca="1">IF(Table3[[#This Row],[Stage]]="Closed",0,IF(IFERROR(
  IF(
    COUNTIF(A$2:A$1997, A274) &gt; 1,
    MIN(IF(A$2:A$1997=A274, IF(B$2:B$1997&gt;B274, B$2:B$1997))) - B274,
    TODAY() - Table3[[#This Row],[Date of Update]]
  ),
  TODAY()-Table3[[#This Row],[Date of Update]]
)&lt;=0,
TODAY()-Table3[[#This Row],[Date of Update]],
IFERROR(
  IF(
    COUNTIF(A$2:A$1997, A274) &gt; 1,
    MIN(IF(A$2:A$1997=A274, IF(B$2:B$1997&gt;B274, B$2:B$1997))) - B274,
    TODAY() - Table3[[#This Row],[Date of Update]]
  ),
  TODAY()-Table3[[#This Row],[Date of Update]]
)))</f>
        <v>30</v>
      </c>
      <c r="G274" s="40" t="str">
        <f>IF(Table3[[#This Row],[Stage]]="Closed",Table3[[#This Row],[Date of Update]]-(_xlfn.MINIFS(Table3[Date of Update],Table3[Ref], Table3[[#This Row],[Ref]])),"")</f>
        <v/>
      </c>
    </row>
    <row r="275" spans="1:7" x14ac:dyDescent="0.25">
      <c r="A275" s="39" t="s">
        <v>1200</v>
      </c>
      <c r="B275" s="33">
        <v>44903</v>
      </c>
      <c r="C275" s="32" t="s">
        <v>23</v>
      </c>
      <c r="D275" s="32" t="s">
        <v>4</v>
      </c>
      <c r="E275" s="32" t="s">
        <v>453</v>
      </c>
      <c r="F275" s="32" cm="1">
        <f t="array" aca="1" ref="F275" ca="1">IF(Table3[[#This Row],[Stage]]="Closed",0,IF(IFERROR(
  IF(
    COUNTIF(A$2:A$1997, A275) &gt; 1,
    MIN(IF(A$2:A$1997=A275, IF(B$2:B$1997&gt;B275, B$2:B$1997))) - B275,
    TODAY() - Table3[[#This Row],[Date of Update]]
  ),
  TODAY()-Table3[[#This Row],[Date of Update]]
)&lt;=0,
TODAY()-Table3[[#This Row],[Date of Update]],
IFERROR(
  IF(
    COUNTIF(A$2:A$1997, A275) &gt; 1,
    MIN(IF(A$2:A$1997=A275, IF(B$2:B$1997&gt;B275, B$2:B$1997))) - B275,
    TODAY() - Table3[[#This Row],[Date of Update]]
  ),
  TODAY()-Table3[[#This Row],[Date of Update]]
)))</f>
        <v>30</v>
      </c>
      <c r="G275" s="40" t="str">
        <f>IF(Table3[[#This Row],[Stage]]="Closed",Table3[[#This Row],[Date of Update]]-(_xlfn.MINIFS(Table3[Date of Update],Table3[Ref], Table3[[#This Row],[Ref]])),"")</f>
        <v/>
      </c>
    </row>
    <row r="276" spans="1:7" x14ac:dyDescent="0.25">
      <c r="A276" s="39" t="s">
        <v>1282</v>
      </c>
      <c r="B276" s="33">
        <v>44904</v>
      </c>
      <c r="C276" s="32" t="s">
        <v>23</v>
      </c>
      <c r="D276" s="32" t="s">
        <v>4</v>
      </c>
      <c r="E276" s="32" t="s">
        <v>674</v>
      </c>
      <c r="F276" s="32" cm="1">
        <f t="array" aca="1" ref="F276" ca="1">IF(Table3[[#This Row],[Stage]]="Closed",0,IF(IFERROR(
  IF(
    COUNTIF(A$2:A$1997, A276) &gt; 1,
    MIN(IF(A$2:A$1997=A276, IF(B$2:B$1997&gt;B276, B$2:B$1997))) - B276,
    TODAY() - Table3[[#This Row],[Date of Update]]
  ),
  TODAY()-Table3[[#This Row],[Date of Update]]
)&lt;=0,
TODAY()-Table3[[#This Row],[Date of Update]],
IFERROR(
  IF(
    COUNTIF(A$2:A$1997, A276) &gt; 1,
    MIN(IF(A$2:A$1997=A276, IF(B$2:B$1997&gt;B276, B$2:B$1997))) - B276,
    TODAY() - Table3[[#This Row],[Date of Update]]
  ),
  TODAY()-Table3[[#This Row],[Date of Update]]
)))</f>
        <v>132</v>
      </c>
      <c r="G276" s="40" t="str">
        <f>IF(Table3[[#This Row],[Stage]]="Closed",Table3[[#This Row],[Date of Update]]-(_xlfn.MINIFS(Table3[Date of Update],Table3[Ref], Table3[[#This Row],[Ref]])),"")</f>
        <v/>
      </c>
    </row>
    <row r="277" spans="1:7" x14ac:dyDescent="0.25">
      <c r="A277" s="39" t="s">
        <v>1202</v>
      </c>
      <c r="B277" s="33">
        <v>44908</v>
      </c>
      <c r="C277" s="32" t="s">
        <v>23</v>
      </c>
      <c r="D277" s="32" t="s">
        <v>4</v>
      </c>
      <c r="E277" s="32" t="s">
        <v>473</v>
      </c>
      <c r="F277" s="32" cm="1">
        <f t="array" aca="1" ref="F277" ca="1">IF(Table3[[#This Row],[Stage]]="Closed",0,IF(IFERROR(
  IF(
    COUNTIF(A$2:A$1997, A277) &gt; 1,
    MIN(IF(A$2:A$1997=A277, IF(B$2:B$1997&gt;B277, B$2:B$1997))) - B277,
    TODAY() - Table3[[#This Row],[Date of Update]]
  ),
  TODAY()-Table3[[#This Row],[Date of Update]]
)&lt;=0,
TODAY()-Table3[[#This Row],[Date of Update]],
IFERROR(
  IF(
    COUNTIF(A$2:A$1997, A277) &gt; 1,
    MIN(IF(A$2:A$1997=A277, IF(B$2:B$1997&gt;B277, B$2:B$1997))) - B277,
    TODAY() - Table3[[#This Row],[Date of Update]]
  ),
  TODAY()-Table3[[#This Row],[Date of Update]]
)))</f>
        <v>25</v>
      </c>
      <c r="G277" s="40" t="str">
        <f>IF(Table3[[#This Row],[Stage]]="Closed",Table3[[#This Row],[Date of Update]]-(_xlfn.MINIFS(Table3[Date of Update],Table3[Ref], Table3[[#This Row],[Ref]])),"")</f>
        <v/>
      </c>
    </row>
    <row r="278" spans="1:7" x14ac:dyDescent="0.25">
      <c r="A278" s="39" t="s">
        <v>1180</v>
      </c>
      <c r="B278" s="33">
        <v>44908</v>
      </c>
      <c r="C278" s="32" t="s">
        <v>23</v>
      </c>
      <c r="D278" s="32" t="s">
        <v>4</v>
      </c>
      <c r="E278" s="32" t="s">
        <v>422</v>
      </c>
      <c r="F278" s="32" cm="1">
        <f t="array" aca="1" ref="F278" ca="1">IF(Table3[[#This Row],[Stage]]="Closed",0,IF(IFERROR(
  IF(
    COUNTIF(A$2:A$1997, A278) &gt; 1,
    MIN(IF(A$2:A$1997=A278, IF(B$2:B$1997&gt;B278, B$2:B$1997))) - B278,
    TODAY() - Table3[[#This Row],[Date of Update]]
  ),
  TODAY()-Table3[[#This Row],[Date of Update]]
)&lt;=0,
TODAY()-Table3[[#This Row],[Date of Update]],
IFERROR(
  IF(
    COUNTIF(A$2:A$1997, A278) &gt; 1,
    MIN(IF(A$2:A$1997=A278, IF(B$2:B$1997&gt;B278, B$2:B$1997))) - B278,
    TODAY() - Table3[[#This Row],[Date of Update]]
  ),
  TODAY()-Table3[[#This Row],[Date of Update]]
)))</f>
        <v>3</v>
      </c>
      <c r="G278" s="40" t="str">
        <f>IF(Table3[[#This Row],[Stage]]="Closed",Table3[[#This Row],[Date of Update]]-(_xlfn.MINIFS(Table3[Date of Update],Table3[Ref], Table3[[#This Row],[Ref]])),"")</f>
        <v/>
      </c>
    </row>
    <row r="279" spans="1:7" x14ac:dyDescent="0.25">
      <c r="A279" s="39" t="s">
        <v>1214</v>
      </c>
      <c r="B279" s="33">
        <v>44909</v>
      </c>
      <c r="C279" s="32" t="s">
        <v>169</v>
      </c>
      <c r="D279" s="32" t="s">
        <v>4</v>
      </c>
      <c r="E279" s="32"/>
      <c r="F279" s="32" cm="1">
        <f t="array" aca="1" ref="F279" ca="1">IF(Table3[[#This Row],[Stage]]="Closed",0,IF(IFERROR(
  IF(
    COUNTIF(A$2:A$1997, A279) &gt; 1,
    MIN(IF(A$2:A$1997=A279, IF(B$2:B$1997&gt;B279, B$2:B$1997))) - B279,
    TODAY() - Table3[[#This Row],[Date of Update]]
  ),
  TODAY()-Table3[[#This Row],[Date of Update]]
)&lt;=0,
TODAY()-Table3[[#This Row],[Date of Update]],
IFERROR(
  IF(
    COUNTIF(A$2:A$1997, A279) &gt; 1,
    MIN(IF(A$2:A$1997=A279, IF(B$2:B$1997&gt;B279, B$2:B$1997))) - B279,
    TODAY() - Table3[[#This Row],[Date of Update]]
  ),
  TODAY()-Table3[[#This Row],[Date of Update]]
)))</f>
        <v>0</v>
      </c>
      <c r="G279" s="40">
        <f>IF(Table3[[#This Row],[Stage]]="Closed",Table3[[#This Row],[Date of Update]]-(_xlfn.MINIFS(Table3[Date of Update],Table3[Ref], Table3[[#This Row],[Ref]])),"")</f>
        <v>22</v>
      </c>
    </row>
    <row r="280" spans="1:7" x14ac:dyDescent="0.25">
      <c r="A280" s="39" t="s">
        <v>1209</v>
      </c>
      <c r="B280" s="33">
        <v>44910</v>
      </c>
      <c r="C280" s="32" t="s">
        <v>23</v>
      </c>
      <c r="D280" s="32" t="s">
        <v>4</v>
      </c>
      <c r="E280" s="32" t="s">
        <v>495</v>
      </c>
      <c r="F280" s="32" cm="1">
        <f t="array" aca="1" ref="F280" ca="1">IF(Table3[[#This Row],[Stage]]="Closed",0,IF(IFERROR(
  IF(
    COUNTIF(A$2:A$1997, A280) &gt; 1,
    MIN(IF(A$2:A$1997=A280, IF(B$2:B$1997&gt;B280, B$2:B$1997))) - B280,
    TODAY() - Table3[[#This Row],[Date of Update]]
  ),
  TODAY()-Table3[[#This Row],[Date of Update]]
)&lt;=0,
TODAY()-Table3[[#This Row],[Date of Update]],
IFERROR(
  IF(
    COUNTIF(A$2:A$1997, A280) &gt; 1,
    MIN(IF(A$2:A$1997=A280, IF(B$2:B$1997&gt;B280, B$2:B$1997))) - B280,
    TODAY() - Table3[[#This Row],[Date of Update]]
  ),
  TODAY()-Table3[[#This Row],[Date of Update]]
)))</f>
        <v>30</v>
      </c>
      <c r="G280" s="40" t="str">
        <f>IF(Table3[[#This Row],[Stage]]="Closed",Table3[[#This Row],[Date of Update]]-(_xlfn.MINIFS(Table3[Date of Update],Table3[Ref], Table3[[#This Row],[Ref]])),"")</f>
        <v/>
      </c>
    </row>
    <row r="281" spans="1:7" x14ac:dyDescent="0.25">
      <c r="A281" s="39" t="s">
        <v>1179</v>
      </c>
      <c r="B281" s="33">
        <v>44911</v>
      </c>
      <c r="C281" s="32" t="s">
        <v>169</v>
      </c>
      <c r="D281" s="32" t="s">
        <v>4</v>
      </c>
      <c r="E281" s="32" t="s">
        <v>412</v>
      </c>
      <c r="F281" s="32" cm="1">
        <f t="array" aca="1" ref="F281" ca="1">IF(Table3[[#This Row],[Stage]]="Closed",0,IF(IFERROR(
  IF(
    COUNTIF(A$2:A$1997, A281) &gt; 1,
    MIN(IF(A$2:A$1997=A281, IF(B$2:B$1997&gt;B281, B$2:B$1997))) - B281,
    TODAY() - Table3[[#This Row],[Date of Update]]
  ),
  TODAY()-Table3[[#This Row],[Date of Update]]
)&lt;=0,
TODAY()-Table3[[#This Row],[Date of Update]],
IFERROR(
  IF(
    COUNTIF(A$2:A$1997, A281) &gt; 1,
    MIN(IF(A$2:A$1997=A281, IF(B$2:B$1997&gt;B281, B$2:B$1997))) - B281,
    TODAY() - Table3[[#This Row],[Date of Update]]
  ),
  TODAY()-Table3[[#This Row],[Date of Update]]
)))</f>
        <v>0</v>
      </c>
      <c r="G281" s="40">
        <f>IF(Table3[[#This Row],[Stage]]="Closed",Table3[[#This Row],[Date of Update]]-(_xlfn.MINIFS(Table3[Date of Update],Table3[Ref], Table3[[#This Row],[Ref]])),"")</f>
        <v>24</v>
      </c>
    </row>
    <row r="282" spans="1:7" x14ac:dyDescent="0.25">
      <c r="A282" s="39" t="s">
        <v>1208</v>
      </c>
      <c r="B282" s="33">
        <v>44911</v>
      </c>
      <c r="C282" s="32" t="s">
        <v>23</v>
      </c>
      <c r="D282" s="32" t="s">
        <v>4</v>
      </c>
      <c r="E282" s="32" t="s">
        <v>491</v>
      </c>
      <c r="F282" s="32" cm="1">
        <f t="array" aca="1" ref="F282" ca="1">IF(Table3[[#This Row],[Stage]]="Closed",0,IF(IFERROR(
  IF(
    COUNTIF(A$2:A$1997, A282) &gt; 1,
    MIN(IF(A$2:A$1997=A282, IF(B$2:B$1997&gt;B282, B$2:B$1997))) - B282,
    TODAY() - Table3[[#This Row],[Date of Update]]
  ),
  TODAY()-Table3[[#This Row],[Date of Update]]
)&lt;=0,
TODAY()-Table3[[#This Row],[Date of Update]],
IFERROR(
  IF(
    COUNTIF(A$2:A$1997, A282) &gt; 1,
    MIN(IF(A$2:A$1997=A282, IF(B$2:B$1997&gt;B282, B$2:B$1997))) - B282,
    TODAY() - Table3[[#This Row],[Date of Update]]
  ),
  TODAY()-Table3[[#This Row],[Date of Update]]
)))</f>
        <v>28</v>
      </c>
      <c r="G282" s="40" t="str">
        <f>IF(Table3[[#This Row],[Stage]]="Closed",Table3[[#This Row],[Date of Update]]-(_xlfn.MINIFS(Table3[Date of Update],Table3[Ref], Table3[[#This Row],[Ref]])),"")</f>
        <v/>
      </c>
    </row>
    <row r="283" spans="1:7" x14ac:dyDescent="0.25">
      <c r="A283" s="39" t="s">
        <v>1180</v>
      </c>
      <c r="B283" s="33">
        <v>44911</v>
      </c>
      <c r="C283" s="32" t="s">
        <v>169</v>
      </c>
      <c r="D283" s="32" t="s">
        <v>4</v>
      </c>
      <c r="E283" s="32" t="s">
        <v>422</v>
      </c>
      <c r="F283" s="32" cm="1">
        <f t="array" aca="1" ref="F283" ca="1">IF(Table3[[#This Row],[Stage]]="Closed",0,IF(IFERROR(
  IF(
    COUNTIF(A$2:A$1997, A283) &gt; 1,
    MIN(IF(A$2:A$1997=A283, IF(B$2:B$1997&gt;B283, B$2:B$1997))) - B283,
    TODAY() - Table3[[#This Row],[Date of Update]]
  ),
  TODAY()-Table3[[#This Row],[Date of Update]]
)&lt;=0,
TODAY()-Table3[[#This Row],[Date of Update]],
IFERROR(
  IF(
    COUNTIF(A$2:A$1997, A283) &gt; 1,
    MIN(IF(A$2:A$1997=A283, IF(B$2:B$1997&gt;B283, B$2:B$1997))) - B283,
    TODAY() - Table3[[#This Row],[Date of Update]]
  ),
  TODAY()-Table3[[#This Row],[Date of Update]]
)))</f>
        <v>0</v>
      </c>
      <c r="G283" s="40">
        <f>IF(Table3[[#This Row],[Stage]]="Closed",Table3[[#This Row],[Date of Update]]-(_xlfn.MINIFS(Table3[Date of Update],Table3[Ref], Table3[[#This Row],[Ref]])),"")</f>
        <v>3</v>
      </c>
    </row>
    <row r="284" spans="1:7" x14ac:dyDescent="0.25">
      <c r="A284" s="39" t="s">
        <v>1217</v>
      </c>
      <c r="B284" s="33">
        <v>44911</v>
      </c>
      <c r="C284" s="32" t="s">
        <v>23</v>
      </c>
      <c r="D284" s="32" t="s">
        <v>4</v>
      </c>
      <c r="E284" s="32" t="s">
        <v>521</v>
      </c>
      <c r="F284" s="32" cm="1">
        <f t="array" aca="1" ref="F284" ca="1">IF(Table3[[#This Row],[Stage]]="Closed",0,IF(IFERROR(
  IF(
    COUNTIF(A$2:A$1997, A284) &gt; 1,
    MIN(IF(A$2:A$1997=A284, IF(B$2:B$1997&gt;B284, B$2:B$1997))) - B284,
    TODAY() - Table3[[#This Row],[Date of Update]]
  ),
  TODAY()-Table3[[#This Row],[Date of Update]]
)&lt;=0,
TODAY()-Table3[[#This Row],[Date of Update]],
IFERROR(
  IF(
    COUNTIF(A$2:A$1997, A284) &gt; 1,
    MIN(IF(A$2:A$1997=A284, IF(B$2:B$1997&gt;B284, B$2:B$1997))) - B284,
    TODAY() - Table3[[#This Row],[Date of Update]]
  ),
  TODAY()-Table3[[#This Row],[Date of Update]]
)))</f>
        <v>25</v>
      </c>
      <c r="G284" s="40" t="str">
        <f>IF(Table3[[#This Row],[Stage]]="Closed",Table3[[#This Row],[Date of Update]]-(_xlfn.MINIFS(Table3[Date of Update],Table3[Ref], Table3[[#This Row],[Ref]])),"")</f>
        <v/>
      </c>
    </row>
    <row r="285" spans="1:7" x14ac:dyDescent="0.25">
      <c r="A285" s="39" t="s">
        <v>1177</v>
      </c>
      <c r="B285" s="33">
        <v>44911</v>
      </c>
      <c r="C285" s="32" t="s">
        <v>169</v>
      </c>
      <c r="D285" s="32" t="s">
        <v>4</v>
      </c>
      <c r="E285" s="32" t="s">
        <v>412</v>
      </c>
      <c r="F285" s="32" cm="1">
        <f t="array" aca="1" ref="F285" ca="1">IF(Table3[[#This Row],[Stage]]="Closed",0,IF(IFERROR(
  IF(
    COUNTIF(A$2:A$1997, A285) &gt; 1,
    MIN(IF(A$2:A$1997=A285, IF(B$2:B$1997&gt;B285, B$2:B$1997))) - B285,
    TODAY() - Table3[[#This Row],[Date of Update]]
  ),
  TODAY()-Table3[[#This Row],[Date of Update]]
)&lt;=0,
TODAY()-Table3[[#This Row],[Date of Update]],
IFERROR(
  IF(
    COUNTIF(A$2:A$1997, A285) &gt; 1,
    MIN(IF(A$2:A$1997=A285, IF(B$2:B$1997&gt;B285, B$2:B$1997))) - B285,
    TODAY() - Table3[[#This Row],[Date of Update]]
  ),
  TODAY()-Table3[[#This Row],[Date of Update]]
)))</f>
        <v>0</v>
      </c>
      <c r="G285" s="40">
        <f>IF(Table3[[#This Row],[Stage]]="Closed",Table3[[#This Row],[Date of Update]]-(_xlfn.MINIFS(Table3[Date of Update],Table3[Ref], Table3[[#This Row],[Ref]])),"")</f>
        <v>30</v>
      </c>
    </row>
    <row r="286" spans="1:7" x14ac:dyDescent="0.25">
      <c r="A286" s="39" t="s">
        <v>1176</v>
      </c>
      <c r="B286" s="33">
        <v>44911</v>
      </c>
      <c r="C286" s="32" t="s">
        <v>169</v>
      </c>
      <c r="D286" s="32" t="s">
        <v>4</v>
      </c>
      <c r="E286" s="32" t="s">
        <v>412</v>
      </c>
      <c r="F286" s="32" cm="1">
        <f t="array" aca="1" ref="F286" ca="1">IF(Table3[[#This Row],[Stage]]="Closed",0,IF(IFERROR(
  IF(
    COUNTIF(A$2:A$1997, A286) &gt; 1,
    MIN(IF(A$2:A$1997=A286, IF(B$2:B$1997&gt;B286, B$2:B$1997))) - B286,
    TODAY() - Table3[[#This Row],[Date of Update]]
  ),
  TODAY()-Table3[[#This Row],[Date of Update]]
)&lt;=0,
TODAY()-Table3[[#This Row],[Date of Update]],
IFERROR(
  IF(
    COUNTIF(A$2:A$1997, A286) &gt; 1,
    MIN(IF(A$2:A$1997=A286, IF(B$2:B$1997&gt;B286, B$2:B$1997))) - B286,
    TODAY() - Table3[[#This Row],[Date of Update]]
  ),
  TODAY()-Table3[[#This Row],[Date of Update]]
)))</f>
        <v>0</v>
      </c>
      <c r="G286" s="40">
        <f>IF(Table3[[#This Row],[Stage]]="Closed",Table3[[#This Row],[Date of Update]]-(_xlfn.MINIFS(Table3[Date of Update],Table3[Ref], Table3[[#This Row],[Ref]])),"")</f>
        <v>49</v>
      </c>
    </row>
    <row r="287" spans="1:7" x14ac:dyDescent="0.25">
      <c r="A287" s="39" t="s">
        <v>1178</v>
      </c>
      <c r="B287" s="33">
        <v>44911</v>
      </c>
      <c r="C287" s="32" t="s">
        <v>169</v>
      </c>
      <c r="D287" s="32" t="s">
        <v>4</v>
      </c>
      <c r="E287" s="32" t="s">
        <v>416</v>
      </c>
      <c r="F287" s="32" cm="1">
        <f t="array" aca="1" ref="F287" ca="1">IF(Table3[[#This Row],[Stage]]="Closed",0,IF(IFERROR(
  IF(
    COUNTIF(A$2:A$1997, A287) &gt; 1,
    MIN(IF(A$2:A$1997=A287, IF(B$2:B$1997&gt;B287, B$2:B$1997))) - B287,
    TODAY() - Table3[[#This Row],[Date of Update]]
  ),
  TODAY()-Table3[[#This Row],[Date of Update]]
)&lt;=0,
TODAY()-Table3[[#This Row],[Date of Update]],
IFERROR(
  IF(
    COUNTIF(A$2:A$1997, A287) &gt; 1,
    MIN(IF(A$2:A$1997=A287, IF(B$2:B$1997&gt;B287, B$2:B$1997))) - B287,
    TODAY() - Table3[[#This Row],[Date of Update]]
  ),
  TODAY()-Table3[[#This Row],[Date of Update]]
)))</f>
        <v>0</v>
      </c>
      <c r="G287" s="40">
        <f>IF(Table3[[#This Row],[Stage]]="Closed",Table3[[#This Row],[Date of Update]]-(_xlfn.MINIFS(Table3[Date of Update],Table3[Ref], Table3[[#This Row],[Ref]])),"")</f>
        <v>30</v>
      </c>
    </row>
    <row r="288" spans="1:7" x14ac:dyDescent="0.25">
      <c r="A288" s="39" t="s">
        <v>1186</v>
      </c>
      <c r="B288" s="33">
        <v>44914</v>
      </c>
      <c r="C288" s="32" t="s">
        <v>169</v>
      </c>
      <c r="D288" s="32" t="s">
        <v>4</v>
      </c>
      <c r="E288" s="32" t="s">
        <v>441</v>
      </c>
      <c r="F288" s="32" cm="1">
        <f t="array" aca="1" ref="F288" ca="1">IF(Table3[[#This Row],[Stage]]="Closed",0,IF(IFERROR(
  IF(
    COUNTIF(A$2:A$1997, A288) &gt; 1,
    MIN(IF(A$2:A$1997=A288, IF(B$2:B$1997&gt;B288, B$2:B$1997))) - B288,
    TODAY() - Table3[[#This Row],[Date of Update]]
  ),
  TODAY()-Table3[[#This Row],[Date of Update]]
)&lt;=0,
TODAY()-Table3[[#This Row],[Date of Update]],
IFERROR(
  IF(
    COUNTIF(A$2:A$1997, A288) &gt; 1,
    MIN(IF(A$2:A$1997=A288, IF(B$2:B$1997&gt;B288, B$2:B$1997))) - B288,
    TODAY() - Table3[[#This Row],[Date of Update]]
  ),
  TODAY()-Table3[[#This Row],[Date of Update]]
)))</f>
        <v>0</v>
      </c>
      <c r="G288" s="40">
        <f>IF(Table3[[#This Row],[Stage]]="Closed",Table3[[#This Row],[Date of Update]]-(_xlfn.MINIFS(Table3[Date of Update],Table3[Ref], Table3[[#This Row],[Ref]])),"")</f>
        <v>24</v>
      </c>
    </row>
    <row r="289" spans="1:7" x14ac:dyDescent="0.25">
      <c r="A289" s="39" t="s">
        <v>1185</v>
      </c>
      <c r="B289" s="33">
        <v>44914</v>
      </c>
      <c r="C289" s="32" t="s">
        <v>169</v>
      </c>
      <c r="D289" s="32" t="s">
        <v>4</v>
      </c>
      <c r="E289" s="32"/>
      <c r="F289" s="32" cm="1">
        <f t="array" aca="1" ref="F289" ca="1">IF(Table3[[#This Row],[Stage]]="Closed",0,IF(IFERROR(
  IF(
    COUNTIF(A$2:A$1997, A289) &gt; 1,
    MIN(IF(A$2:A$1997=A289, IF(B$2:B$1997&gt;B289, B$2:B$1997))) - B289,
    TODAY() - Table3[[#This Row],[Date of Update]]
  ),
  TODAY()-Table3[[#This Row],[Date of Update]]
)&lt;=0,
TODAY()-Table3[[#This Row],[Date of Update]],
IFERROR(
  IF(
    COUNTIF(A$2:A$1997, A289) &gt; 1,
    MIN(IF(A$2:A$1997=A289, IF(B$2:B$1997&gt;B289, B$2:B$1997))) - B289,
    TODAY() - Table3[[#This Row],[Date of Update]]
  ),
  TODAY()-Table3[[#This Row],[Date of Update]]
)))</f>
        <v>0</v>
      </c>
      <c r="G289" s="40">
        <f>IF(Table3[[#This Row],[Stage]]="Closed",Table3[[#This Row],[Date of Update]]-(_xlfn.MINIFS(Table3[Date of Update],Table3[Ref], Table3[[#This Row],[Ref]])),"")</f>
        <v>46</v>
      </c>
    </row>
    <row r="290" spans="1:7" x14ac:dyDescent="0.25">
      <c r="A290" s="39" t="s">
        <v>1182</v>
      </c>
      <c r="B290" s="33">
        <v>44914</v>
      </c>
      <c r="C290" s="32" t="s">
        <v>169</v>
      </c>
      <c r="D290" s="32" t="s">
        <v>4</v>
      </c>
      <c r="E290" s="32" t="s">
        <v>432</v>
      </c>
      <c r="F290" s="32" cm="1">
        <f t="array" aca="1" ref="F290" ca="1">IF(Table3[[#This Row],[Stage]]="Closed",0,IF(IFERROR(
  IF(
    COUNTIF(A$2:A$1997, A290) &gt; 1,
    MIN(IF(A$2:A$1997=A290, IF(B$2:B$1997&gt;B290, B$2:B$1997))) - B290,
    TODAY() - Table3[[#This Row],[Date of Update]]
  ),
  TODAY()-Table3[[#This Row],[Date of Update]]
)&lt;=0,
TODAY()-Table3[[#This Row],[Date of Update]],
IFERROR(
  IF(
    COUNTIF(A$2:A$1997, A290) &gt; 1,
    MIN(IF(A$2:A$1997=A290, IF(B$2:B$1997&gt;B290, B$2:B$1997))) - B290,
    TODAY() - Table3[[#This Row],[Date of Update]]
  ),
  TODAY()-Table3[[#This Row],[Date of Update]]
)))</f>
        <v>0</v>
      </c>
      <c r="G290" s="40">
        <f>IF(Table3[[#This Row],[Stage]]="Closed",Table3[[#This Row],[Date of Update]]-(_xlfn.MINIFS(Table3[Date of Update],Table3[Ref], Table3[[#This Row],[Ref]])),"")</f>
        <v>132</v>
      </c>
    </row>
    <row r="291" spans="1:7" x14ac:dyDescent="0.25">
      <c r="A291" s="39" t="s">
        <v>1181</v>
      </c>
      <c r="B291" s="33">
        <v>44914</v>
      </c>
      <c r="C291" s="32" t="s">
        <v>169</v>
      </c>
      <c r="D291" s="32" t="s">
        <v>4</v>
      </c>
      <c r="E291" s="32" t="s">
        <v>428</v>
      </c>
      <c r="F291" s="32" cm="1">
        <f t="array" aca="1" ref="F291" ca="1">IF(Table3[[#This Row],[Stage]]="Closed",0,IF(IFERROR(
  IF(
    COUNTIF(A$2:A$1997, A291) &gt; 1,
    MIN(IF(A$2:A$1997=A291, IF(B$2:B$1997&gt;B291, B$2:B$1997))) - B291,
    TODAY() - Table3[[#This Row],[Date of Update]]
  ),
  TODAY()-Table3[[#This Row],[Date of Update]]
)&lt;=0,
TODAY()-Table3[[#This Row],[Date of Update]],
IFERROR(
  IF(
    COUNTIF(A$2:A$1997, A291) &gt; 1,
    MIN(IF(A$2:A$1997=A291, IF(B$2:B$1997&gt;B291, B$2:B$1997))) - B291,
    TODAY() - Table3[[#This Row],[Date of Update]]
  ),
  TODAY()-Table3[[#This Row],[Date of Update]]
)))</f>
        <v>0</v>
      </c>
      <c r="G291" s="40">
        <f>IF(Table3[[#This Row],[Stage]]="Closed",Table3[[#This Row],[Date of Update]]-(_xlfn.MINIFS(Table3[Date of Update],Table3[Ref], Table3[[#This Row],[Ref]])),"")</f>
        <v>132</v>
      </c>
    </row>
    <row r="292" spans="1:7" x14ac:dyDescent="0.25">
      <c r="A292" s="39" t="s">
        <v>1184</v>
      </c>
      <c r="B292" s="33">
        <v>44914</v>
      </c>
      <c r="C292" s="32" t="s">
        <v>169</v>
      </c>
      <c r="D292" s="32" t="s">
        <v>4</v>
      </c>
      <c r="E292" s="32" t="s">
        <v>439</v>
      </c>
      <c r="F292" s="32" cm="1">
        <f t="array" aca="1" ref="F292" ca="1">IF(Table3[[#This Row],[Stage]]="Closed",0,IF(IFERROR(
  IF(
    COUNTIF(A$2:A$1997, A292) &gt; 1,
    MIN(IF(A$2:A$1997=A292, IF(B$2:B$1997&gt;B292, B$2:B$1997))) - B292,
    TODAY() - Table3[[#This Row],[Date of Update]]
  ),
  TODAY()-Table3[[#This Row],[Date of Update]]
)&lt;=0,
TODAY()-Table3[[#This Row],[Date of Update]],
IFERROR(
  IF(
    COUNTIF(A$2:A$1997, A292) &gt; 1,
    MIN(IF(A$2:A$1997=A292, IF(B$2:B$1997&gt;B292, B$2:B$1997))) - B292,
    TODAY() - Table3[[#This Row],[Date of Update]]
  ),
  TODAY()-Table3[[#This Row],[Date of Update]]
)))</f>
        <v>0</v>
      </c>
      <c r="G292" s="40">
        <f>IF(Table3[[#This Row],[Stage]]="Closed",Table3[[#This Row],[Date of Update]]-(_xlfn.MINIFS(Table3[Date of Update],Table3[Ref], Table3[[#This Row],[Ref]])),"")</f>
        <v>94</v>
      </c>
    </row>
    <row r="293" spans="1:7" x14ac:dyDescent="0.25">
      <c r="A293" s="39" t="s">
        <v>1183</v>
      </c>
      <c r="B293" s="33">
        <v>44914</v>
      </c>
      <c r="C293" s="32" t="s">
        <v>169</v>
      </c>
      <c r="D293" s="32" t="s">
        <v>4</v>
      </c>
      <c r="E293" s="32" t="s">
        <v>437</v>
      </c>
      <c r="F293" s="32" cm="1">
        <f t="array" aca="1" ref="F293" ca="1">IF(Table3[[#This Row],[Stage]]="Closed",0,IF(IFERROR(
  IF(
    COUNTIF(A$2:A$1997, A293) &gt; 1,
    MIN(IF(A$2:A$1997=A293, IF(B$2:B$1997&gt;B293, B$2:B$1997))) - B293,
    TODAY() - Table3[[#This Row],[Date of Update]]
  ),
  TODAY()-Table3[[#This Row],[Date of Update]]
)&lt;=0,
TODAY()-Table3[[#This Row],[Date of Update]],
IFERROR(
  IF(
    COUNTIF(A$2:A$1997, A293) &gt; 1,
    MIN(IF(A$2:A$1997=A293, IF(B$2:B$1997&gt;B293, B$2:B$1997))) - B293,
    TODAY() - Table3[[#This Row],[Date of Update]]
  ),
  TODAY()-Table3[[#This Row],[Date of Update]]
)))</f>
        <v>0</v>
      </c>
      <c r="G293" s="40">
        <f>IF(Table3[[#This Row],[Stage]]="Closed",Table3[[#This Row],[Date of Update]]-(_xlfn.MINIFS(Table3[Date of Update],Table3[Ref], Table3[[#This Row],[Ref]])),"")</f>
        <v>130</v>
      </c>
    </row>
    <row r="294" spans="1:7" x14ac:dyDescent="0.25">
      <c r="A294" s="39" t="s">
        <v>1218</v>
      </c>
      <c r="B294" s="33">
        <v>44915</v>
      </c>
      <c r="C294" s="32" t="s">
        <v>23</v>
      </c>
      <c r="D294" s="32" t="s">
        <v>4</v>
      </c>
      <c r="E294" s="32" t="s">
        <v>521</v>
      </c>
      <c r="F294" s="32" cm="1">
        <f t="array" aca="1" ref="F294" ca="1">IF(Table3[[#This Row],[Stage]]="Closed",0,IF(IFERROR(
  IF(
    COUNTIF(A$2:A$1997, A294) &gt; 1,
    MIN(IF(A$2:A$1997=A294, IF(B$2:B$1997&gt;B294, B$2:B$1997))) - B294,
    TODAY() - Table3[[#This Row],[Date of Update]]
  ),
  TODAY()-Table3[[#This Row],[Date of Update]]
)&lt;=0,
TODAY()-Table3[[#This Row],[Date of Update]],
IFERROR(
  IF(
    COUNTIF(A$2:A$1997, A294) &gt; 1,
    MIN(IF(A$2:A$1997=A294, IF(B$2:B$1997&gt;B294, B$2:B$1997))) - B294,
    TODAY() - Table3[[#This Row],[Date of Update]]
  ),
  TODAY()-Table3[[#This Row],[Date of Update]]
)))</f>
        <v>21</v>
      </c>
      <c r="G294" s="40" t="str">
        <f>IF(Table3[[#This Row],[Stage]]="Closed",Table3[[#This Row],[Date of Update]]-(_xlfn.MINIFS(Table3[Date of Update],Table3[Ref], Table3[[#This Row],[Ref]])),"")</f>
        <v/>
      </c>
    </row>
    <row r="295" spans="1:7" x14ac:dyDescent="0.25">
      <c r="A295" s="39" t="s">
        <v>1219</v>
      </c>
      <c r="B295" s="33">
        <v>44915</v>
      </c>
      <c r="C295" s="32" t="s">
        <v>23</v>
      </c>
      <c r="D295" s="32" t="s">
        <v>4</v>
      </c>
      <c r="E295" s="32" t="s">
        <v>521</v>
      </c>
      <c r="F295" s="32" cm="1">
        <f t="array" aca="1" ref="F295" ca="1">IF(Table3[[#This Row],[Stage]]="Closed",0,IF(IFERROR(
  IF(
    COUNTIF(A$2:A$1997, A295) &gt; 1,
    MIN(IF(A$2:A$1997=A295, IF(B$2:B$1997&gt;B295, B$2:B$1997))) - B295,
    TODAY() - Table3[[#This Row],[Date of Update]]
  ),
  TODAY()-Table3[[#This Row],[Date of Update]]
)&lt;=0,
TODAY()-Table3[[#This Row],[Date of Update]],
IFERROR(
  IF(
    COUNTIF(A$2:A$1997, A295) &gt; 1,
    MIN(IF(A$2:A$1997=A295, IF(B$2:B$1997&gt;B295, B$2:B$1997))) - B295,
    TODAY() - Table3[[#This Row],[Date of Update]]
  ),
  TODAY()-Table3[[#This Row],[Date of Update]]
)))</f>
        <v>21</v>
      </c>
      <c r="G295" s="40" t="str">
        <f>IF(Table3[[#This Row],[Stage]]="Closed",Table3[[#This Row],[Date of Update]]-(_xlfn.MINIFS(Table3[Date of Update],Table3[Ref], Table3[[#This Row],[Ref]])),"")</f>
        <v/>
      </c>
    </row>
    <row r="296" spans="1:7" x14ac:dyDescent="0.25">
      <c r="A296" s="39" t="s">
        <v>1220</v>
      </c>
      <c r="B296" s="33">
        <v>44917</v>
      </c>
      <c r="C296" s="32" t="s">
        <v>23</v>
      </c>
      <c r="D296" s="32" t="s">
        <v>4</v>
      </c>
      <c r="E296" s="32" t="s">
        <v>500</v>
      </c>
      <c r="F296" s="32" cm="1">
        <f t="array" aca="1" ref="F296" ca="1">IF(Table3[[#This Row],[Stage]]="Closed",0,IF(IFERROR(
  IF(
    COUNTIF(A$2:A$1997, A296) &gt; 1,
    MIN(IF(A$2:A$1997=A296, IF(B$2:B$1997&gt;B296, B$2:B$1997))) - B296,
    TODAY() - Table3[[#This Row],[Date of Update]]
  ),
  TODAY()-Table3[[#This Row],[Date of Update]]
)&lt;=0,
TODAY()-Table3[[#This Row],[Date of Update]],
IFERROR(
  IF(
    COUNTIF(A$2:A$1997, A296) &gt; 1,
    MIN(IF(A$2:A$1997=A296, IF(B$2:B$1997&gt;B296, B$2:B$1997))) - B296,
    TODAY() - Table3[[#This Row],[Date of Update]]
  ),
  TODAY()-Table3[[#This Row],[Date of Update]]
)))</f>
        <v>56</v>
      </c>
      <c r="G296" s="40" t="str">
        <f>IF(Table3[[#This Row],[Stage]]="Closed",Table3[[#This Row],[Date of Update]]-(_xlfn.MINIFS(Table3[Date of Update],Table3[Ref], Table3[[#This Row],[Ref]])),"")</f>
        <v/>
      </c>
    </row>
    <row r="297" spans="1:7" x14ac:dyDescent="0.25">
      <c r="A297" s="39" t="s">
        <v>1203</v>
      </c>
      <c r="B297" s="33">
        <v>44917</v>
      </c>
      <c r="C297" s="32" t="s">
        <v>23</v>
      </c>
      <c r="D297" s="32" t="s">
        <v>4</v>
      </c>
      <c r="E297" s="32" t="s">
        <v>453</v>
      </c>
      <c r="F297" s="32" cm="1">
        <f t="array" aca="1" ref="F297" ca="1">IF(Table3[[#This Row],[Stage]]="Closed",0,IF(IFERROR(
  IF(
    COUNTIF(A$2:A$1997, A297) &gt; 1,
    MIN(IF(A$2:A$1997=A297, IF(B$2:B$1997&gt;B297, B$2:B$1997))) - B297,
    TODAY() - Table3[[#This Row],[Date of Update]]
  ),
  TODAY()-Table3[[#This Row],[Date of Update]]
)&lt;=0,
TODAY()-Table3[[#This Row],[Date of Update]],
IFERROR(
  IF(
    COUNTIF(A$2:A$1997, A297) &gt; 1,
    MIN(IF(A$2:A$1997=A297, IF(B$2:B$1997&gt;B297, B$2:B$1997))) - B297,
    TODAY() - Table3[[#This Row],[Date of Update]]
  ),
  TODAY()-Table3[[#This Row],[Date of Update]]
)))</f>
        <v>16</v>
      </c>
      <c r="G297" s="40" t="str">
        <f>IF(Table3[[#This Row],[Stage]]="Closed",Table3[[#This Row],[Date of Update]]-(_xlfn.MINIFS(Table3[Date of Update],Table3[Ref], Table3[[#This Row],[Ref]])),"")</f>
        <v/>
      </c>
    </row>
    <row r="298" spans="1:7" x14ac:dyDescent="0.25">
      <c r="A298" s="39" t="s">
        <v>1188</v>
      </c>
      <c r="B298" s="33">
        <v>44918</v>
      </c>
      <c r="C298" s="32" t="s">
        <v>169</v>
      </c>
      <c r="D298" s="32" t="s">
        <v>4</v>
      </c>
      <c r="E298" s="32" t="s">
        <v>446</v>
      </c>
      <c r="F298" s="32" cm="1">
        <f t="array" aca="1" ref="F298" ca="1">IF(Table3[[#This Row],[Stage]]="Closed",0,IF(IFERROR(
  IF(
    COUNTIF(A$2:A$1997, A298) &gt; 1,
    MIN(IF(A$2:A$1997=A298, IF(B$2:B$1997&gt;B298, B$2:B$1997))) - B298,
    TODAY() - Table3[[#This Row],[Date of Update]]
  ),
  TODAY()-Table3[[#This Row],[Date of Update]]
)&lt;=0,
TODAY()-Table3[[#This Row],[Date of Update]],
IFERROR(
  IF(
    COUNTIF(A$2:A$1997, A298) &gt; 1,
    MIN(IF(A$2:A$1997=A298, IF(B$2:B$1997&gt;B298, B$2:B$1997))) - B298,
    TODAY() - Table3[[#This Row],[Date of Update]]
  ),
  TODAY()-Table3[[#This Row],[Date of Update]]
)))</f>
        <v>0</v>
      </c>
      <c r="G298" s="40">
        <f>IF(Table3[[#This Row],[Stage]]="Closed",Table3[[#This Row],[Date of Update]]-(_xlfn.MINIFS(Table3[Date of Update],Table3[Ref], Table3[[#This Row],[Ref]])),"")</f>
        <v>30</v>
      </c>
    </row>
    <row r="299" spans="1:7" x14ac:dyDescent="0.25">
      <c r="A299" s="39" t="s">
        <v>1248</v>
      </c>
      <c r="B299" s="33">
        <v>44918</v>
      </c>
      <c r="C299" s="32" t="s">
        <v>23</v>
      </c>
      <c r="D299" s="32" t="s">
        <v>4</v>
      </c>
      <c r="E299" s="32" t="s">
        <v>590</v>
      </c>
      <c r="F299" s="32" cm="1">
        <f t="array" aca="1" ref="F299" ca="1">IF(Table3[[#This Row],[Stage]]="Closed",0,IF(IFERROR(
  IF(
    COUNTIF(A$2:A$1997, A299) &gt; 1,
    MIN(IF(A$2:A$1997=A299, IF(B$2:B$1997&gt;B299, B$2:B$1997))) - B299,
    TODAY() - Table3[[#This Row],[Date of Update]]
  ),
  TODAY()-Table3[[#This Row],[Date of Update]]
)&lt;=0,
TODAY()-Table3[[#This Row],[Date of Update]],
IFERROR(
  IF(
    COUNTIF(A$2:A$1997, A299) &gt; 1,
    MIN(IF(A$2:A$1997=A299, IF(B$2:B$1997&gt;B299, B$2:B$1997))) - B299,
    TODAY() - Table3[[#This Row],[Date of Update]]
  ),
  TODAY()-Table3[[#This Row],[Date of Update]]
)))</f>
        <v>63</v>
      </c>
      <c r="G299" s="40" t="str">
        <f>IF(Table3[[#This Row],[Stage]]="Closed",Table3[[#This Row],[Date of Update]]-(_xlfn.MINIFS(Table3[Date of Update],Table3[Ref], Table3[[#This Row],[Ref]])),"")</f>
        <v/>
      </c>
    </row>
    <row r="300" spans="1:7" x14ac:dyDescent="0.25">
      <c r="A300" s="39" t="s">
        <v>1399</v>
      </c>
      <c r="B300" s="33">
        <v>44918</v>
      </c>
      <c r="C300" s="32" t="s">
        <v>23</v>
      </c>
      <c r="D300" s="32" t="s">
        <v>4</v>
      </c>
      <c r="E300" s="32" t="s">
        <v>901</v>
      </c>
      <c r="F300" s="32" cm="1">
        <f t="array" aca="1" ref="F300" ca="1">IF(Table3[[#This Row],[Stage]]="Closed",0,IF(IFERROR(
  IF(
    COUNTIF(A$2:A$1997, A300) &gt; 1,
    MIN(IF(A$2:A$1997=A300, IF(B$2:B$1997&gt;B300, B$2:B$1997))) - B300,
    TODAY() - Table3[[#This Row],[Date of Update]]
  ),
  TODAY()-Table3[[#This Row],[Date of Update]]
)&lt;=0,
TODAY()-Table3[[#This Row],[Date of Update]],
IFERROR(
  IF(
    COUNTIF(A$2:A$1997, A300) &gt; 1,
    MIN(IF(A$2:A$1997=A300, IF(B$2:B$1997&gt;B300, B$2:B$1997))) - B300,
    TODAY() - Table3[[#This Row],[Date of Update]]
  ),
  TODAY()-Table3[[#This Row],[Date of Update]]
)))</f>
        <v>328</v>
      </c>
      <c r="G300" s="40" t="str">
        <f>IF(Table3[[#This Row],[Stage]]="Closed",Table3[[#This Row],[Date of Update]]-(_xlfn.MINIFS(Table3[Date of Update],Table3[Ref], Table3[[#This Row],[Ref]])),"")</f>
        <v/>
      </c>
    </row>
    <row r="301" spans="1:7" x14ac:dyDescent="0.25">
      <c r="A301" s="39" t="s">
        <v>1213</v>
      </c>
      <c r="B301" s="33">
        <v>44918</v>
      </c>
      <c r="C301" s="32" t="s">
        <v>169</v>
      </c>
      <c r="D301" s="32" t="s">
        <v>4</v>
      </c>
      <c r="E301" s="32" t="s">
        <v>508</v>
      </c>
      <c r="F301" s="32" cm="1">
        <f t="array" aca="1" ref="F301" ca="1">IF(Table3[[#This Row],[Stage]]="Closed",0,IF(IFERROR(
  IF(
    COUNTIF(A$2:A$1997, A301) &gt; 1,
    MIN(IF(A$2:A$1997=A301, IF(B$2:B$1997&gt;B301, B$2:B$1997))) - B301,
    TODAY() - Table3[[#This Row],[Date of Update]]
  ),
  TODAY()-Table3[[#This Row],[Date of Update]]
)&lt;=0,
TODAY()-Table3[[#This Row],[Date of Update]],
IFERROR(
  IF(
    COUNTIF(A$2:A$1997, A301) &gt; 1,
    MIN(IF(A$2:A$1997=A301, IF(B$2:B$1997&gt;B301, B$2:B$1997))) - B301,
    TODAY() - Table3[[#This Row],[Date of Update]]
  ),
  TODAY()-Table3[[#This Row],[Date of Update]]
)))</f>
        <v>0</v>
      </c>
      <c r="G301" s="40">
        <f>IF(Table3[[#This Row],[Stage]]="Closed",Table3[[#This Row],[Date of Update]]-(_xlfn.MINIFS(Table3[Date of Update],Table3[Ref], Table3[[#This Row],[Ref]])),"")</f>
        <v>44</v>
      </c>
    </row>
    <row r="302" spans="1:7" x14ac:dyDescent="0.25">
      <c r="A302" s="39" t="s">
        <v>1192</v>
      </c>
      <c r="B302" s="33">
        <v>44919</v>
      </c>
      <c r="C302" s="32" t="s">
        <v>169</v>
      </c>
      <c r="D302" s="32" t="s">
        <v>4</v>
      </c>
      <c r="E302" s="32" t="s">
        <v>453</v>
      </c>
      <c r="F302" s="32" cm="1">
        <f t="array" aca="1" ref="F302" ca="1">IF(Table3[[#This Row],[Stage]]="Closed",0,IF(IFERROR(
  IF(
    COUNTIF(A$2:A$1997, A302) &gt; 1,
    MIN(IF(A$2:A$1997=A302, IF(B$2:B$1997&gt;B302, B$2:B$1997))) - B302,
    TODAY() - Table3[[#This Row],[Date of Update]]
  ),
  TODAY()-Table3[[#This Row],[Date of Update]]
)&lt;=0,
TODAY()-Table3[[#This Row],[Date of Update]],
IFERROR(
  IF(
    COUNTIF(A$2:A$1997, A302) &gt; 1,
    MIN(IF(A$2:A$1997=A302, IF(B$2:B$1997&gt;B302, B$2:B$1997))) - B302,
    TODAY() - Table3[[#This Row],[Date of Update]]
  ),
  TODAY()-Table3[[#This Row],[Date of Update]]
)))</f>
        <v>0</v>
      </c>
      <c r="G302" s="40">
        <f>IF(Table3[[#This Row],[Stage]]="Closed",Table3[[#This Row],[Date of Update]]-(_xlfn.MINIFS(Table3[Date of Update],Table3[Ref], Table3[[#This Row],[Ref]])),"")</f>
        <v>30</v>
      </c>
    </row>
    <row r="303" spans="1:7" x14ac:dyDescent="0.25">
      <c r="A303" s="39" t="s">
        <v>1191</v>
      </c>
      <c r="B303" s="33">
        <v>44919</v>
      </c>
      <c r="C303" s="32" t="s">
        <v>169</v>
      </c>
      <c r="D303" s="32" t="s">
        <v>4</v>
      </c>
      <c r="E303" s="32" t="s">
        <v>412</v>
      </c>
      <c r="F303" s="32" cm="1">
        <f t="array" aca="1" ref="F303" ca="1">IF(Table3[[#This Row],[Stage]]="Closed",0,IF(IFERROR(
  IF(
    COUNTIF(A$2:A$1997, A303) &gt; 1,
    MIN(IF(A$2:A$1997=A303, IF(B$2:B$1997&gt;B303, B$2:B$1997))) - B303,
    TODAY() - Table3[[#This Row],[Date of Update]]
  ),
  TODAY()-Table3[[#This Row],[Date of Update]]
)&lt;=0,
TODAY()-Table3[[#This Row],[Date of Update]],
IFERROR(
  IF(
    COUNTIF(A$2:A$1997, A303) &gt; 1,
    MIN(IF(A$2:A$1997=A303, IF(B$2:B$1997&gt;B303, B$2:B$1997))) - B303,
    TODAY() - Table3[[#This Row],[Date of Update]]
  ),
  TODAY()-Table3[[#This Row],[Date of Update]]
)))</f>
        <v>0</v>
      </c>
      <c r="G303" s="40">
        <f>IF(Table3[[#This Row],[Stage]]="Closed",Table3[[#This Row],[Date of Update]]-(_xlfn.MINIFS(Table3[Date of Update],Table3[Ref], Table3[[#This Row],[Ref]])),"")</f>
        <v>30</v>
      </c>
    </row>
    <row r="304" spans="1:7" x14ac:dyDescent="0.25">
      <c r="A304" s="39" t="s">
        <v>1189</v>
      </c>
      <c r="B304" s="33">
        <v>44919</v>
      </c>
      <c r="C304" s="32" t="s">
        <v>169</v>
      </c>
      <c r="D304" s="32" t="s">
        <v>4</v>
      </c>
      <c r="E304" s="32" t="s">
        <v>412</v>
      </c>
      <c r="F304" s="32" cm="1">
        <f t="array" aca="1" ref="F304" ca="1">IF(Table3[[#This Row],[Stage]]="Closed",0,IF(IFERROR(
  IF(
    COUNTIF(A$2:A$1997, A304) &gt; 1,
    MIN(IF(A$2:A$1997=A304, IF(B$2:B$1997&gt;B304, B$2:B$1997))) - B304,
    TODAY() - Table3[[#This Row],[Date of Update]]
  ),
  TODAY()-Table3[[#This Row],[Date of Update]]
)&lt;=0,
TODAY()-Table3[[#This Row],[Date of Update]],
IFERROR(
  IF(
    COUNTIF(A$2:A$1997, A304) &gt; 1,
    MIN(IF(A$2:A$1997=A304, IF(B$2:B$1997&gt;B304, B$2:B$1997))) - B304,
    TODAY() - Table3[[#This Row],[Date of Update]]
  ),
  TODAY()-Table3[[#This Row],[Date of Update]]
)))</f>
        <v>0</v>
      </c>
      <c r="G304" s="40">
        <f>IF(Table3[[#This Row],[Stage]]="Closed",Table3[[#This Row],[Date of Update]]-(_xlfn.MINIFS(Table3[Date of Update],Table3[Ref], Table3[[#This Row],[Ref]])),"")</f>
        <v>30</v>
      </c>
    </row>
    <row r="305" spans="1:7" x14ac:dyDescent="0.25">
      <c r="A305" s="39" t="s">
        <v>1190</v>
      </c>
      <c r="B305" s="33">
        <v>44919</v>
      </c>
      <c r="C305" s="32" t="s">
        <v>169</v>
      </c>
      <c r="D305" s="32" t="s">
        <v>4</v>
      </c>
      <c r="E305" s="32" t="s">
        <v>412</v>
      </c>
      <c r="F305" s="32" cm="1">
        <f t="array" aca="1" ref="F305" ca="1">IF(Table3[[#This Row],[Stage]]="Closed",0,IF(IFERROR(
  IF(
    COUNTIF(A$2:A$1997, A305) &gt; 1,
    MIN(IF(A$2:A$1997=A305, IF(B$2:B$1997&gt;B305, B$2:B$1997))) - B305,
    TODAY() - Table3[[#This Row],[Date of Update]]
  ),
  TODAY()-Table3[[#This Row],[Date of Update]]
)&lt;=0,
TODAY()-Table3[[#This Row],[Date of Update]],
IFERROR(
  IF(
    COUNTIF(A$2:A$1997, A305) &gt; 1,
    MIN(IF(A$2:A$1997=A305, IF(B$2:B$1997&gt;B305, B$2:B$1997))) - B305,
    TODAY() - Table3[[#This Row],[Date of Update]]
  ),
  TODAY()-Table3[[#This Row],[Date of Update]]
)))</f>
        <v>0</v>
      </c>
      <c r="G305" s="40">
        <f>IF(Table3[[#This Row],[Stage]]="Closed",Table3[[#This Row],[Date of Update]]-(_xlfn.MINIFS(Table3[Date of Update],Table3[Ref], Table3[[#This Row],[Ref]])),"")</f>
        <v>30</v>
      </c>
    </row>
    <row r="306" spans="1:7" x14ac:dyDescent="0.25">
      <c r="A306" s="39" t="s">
        <v>1193</v>
      </c>
      <c r="B306" s="33">
        <v>44920</v>
      </c>
      <c r="C306" s="32" t="s">
        <v>169</v>
      </c>
      <c r="D306" s="32" t="s">
        <v>4</v>
      </c>
      <c r="E306" s="32" t="s">
        <v>453</v>
      </c>
      <c r="F306" s="32" cm="1">
        <f t="array" aca="1" ref="F306" ca="1">IF(Table3[[#This Row],[Stage]]="Closed",0,IF(IFERROR(
  IF(
    COUNTIF(A$2:A$1997, A306) &gt; 1,
    MIN(IF(A$2:A$1997=A306, IF(B$2:B$1997&gt;B306, B$2:B$1997))) - B306,
    TODAY() - Table3[[#This Row],[Date of Update]]
  ),
  TODAY()-Table3[[#This Row],[Date of Update]]
)&lt;=0,
TODAY()-Table3[[#This Row],[Date of Update]],
IFERROR(
  IF(
    COUNTIF(A$2:A$1997, A306) &gt; 1,
    MIN(IF(A$2:A$1997=A306, IF(B$2:B$1997&gt;B306, B$2:B$1997))) - B306,
    TODAY() - Table3[[#This Row],[Date of Update]]
  ),
  TODAY()-Table3[[#This Row],[Date of Update]]
)))</f>
        <v>0</v>
      </c>
      <c r="G306" s="40">
        <f>IF(Table3[[#This Row],[Stage]]="Closed",Table3[[#This Row],[Date of Update]]-(_xlfn.MINIFS(Table3[Date of Update],Table3[Ref], Table3[[#This Row],[Ref]])),"")</f>
        <v>30</v>
      </c>
    </row>
    <row r="307" spans="1:7" x14ac:dyDescent="0.25">
      <c r="A307" s="39" t="s">
        <v>1515</v>
      </c>
      <c r="B307" s="33">
        <v>44924</v>
      </c>
      <c r="C307" s="32" t="s">
        <v>23</v>
      </c>
      <c r="D307" s="32" t="s">
        <v>4</v>
      </c>
      <c r="E307" s="32" t="s">
        <v>549</v>
      </c>
      <c r="F307" s="32" cm="1">
        <f t="array" aca="1" ref="F307" ca="1">IF(Table3[[#This Row],[Stage]]="Closed",0,IF(IFERROR(
  IF(
    COUNTIF(A$2:A$1997, A307) &gt; 1,
    MIN(IF(A$2:A$1997=A307, IF(B$2:B$1997&gt;B307, B$2:B$1997))) - B307,
    TODAY() - Table3[[#This Row],[Date of Update]]
  ),
  TODAY()-Table3[[#This Row],[Date of Update]]
)&lt;=0,
TODAY()-Table3[[#This Row],[Date of Update]],
IFERROR(
  IF(
    COUNTIF(A$2:A$1997, A307) &gt; 1,
    MIN(IF(A$2:A$1997=A307, IF(B$2:B$1997&gt;B307, B$2:B$1997))) - B307,
    TODAY() - Table3[[#This Row],[Date of Update]]
  ),
  TODAY()-Table3[[#This Row],[Date of Update]]
)))</f>
        <v>113</v>
      </c>
      <c r="G307" s="40" t="str">
        <f>IF(Table3[[#This Row],[Stage]]="Closed",Table3[[#This Row],[Date of Update]]-(_xlfn.MINIFS(Table3[Date of Update],Table3[Ref], Table3[[#This Row],[Ref]])),"")</f>
        <v/>
      </c>
    </row>
    <row r="308" spans="1:7" x14ac:dyDescent="0.25">
      <c r="A308" s="39" t="s">
        <v>1194</v>
      </c>
      <c r="B308" s="33">
        <v>44925</v>
      </c>
      <c r="C308" s="32" t="s">
        <v>169</v>
      </c>
      <c r="D308" s="32" t="s">
        <v>4</v>
      </c>
      <c r="E308" s="32" t="s">
        <v>458</v>
      </c>
      <c r="F308" s="32" cm="1">
        <f t="array" aca="1" ref="F308" ca="1">IF(Table3[[#This Row],[Stage]]="Closed",0,IF(IFERROR(
  IF(
    COUNTIF(A$2:A$1997, A308) &gt; 1,
    MIN(IF(A$2:A$1997=A308, IF(B$2:B$1997&gt;B308, B$2:B$1997))) - B308,
    TODAY() - Table3[[#This Row],[Date of Update]]
  ),
  TODAY()-Table3[[#This Row],[Date of Update]]
)&lt;=0,
TODAY()-Table3[[#This Row],[Date of Update]],
IFERROR(
  IF(
    COUNTIF(A$2:A$1997, A308) &gt; 1,
    MIN(IF(A$2:A$1997=A308, IF(B$2:B$1997&gt;B308, B$2:B$1997))) - B308,
    TODAY() - Table3[[#This Row],[Date of Update]]
  ),
  TODAY()-Table3[[#This Row],[Date of Update]]
)))</f>
        <v>0</v>
      </c>
      <c r="G308" s="40">
        <f>IF(Table3[[#This Row],[Stage]]="Closed",Table3[[#This Row],[Date of Update]]-(_xlfn.MINIFS(Table3[Date of Update],Table3[Ref], Table3[[#This Row],[Ref]])),"")</f>
        <v>30</v>
      </c>
    </row>
    <row r="309" spans="1:7" x14ac:dyDescent="0.25">
      <c r="A309" s="39" t="s">
        <v>1195</v>
      </c>
      <c r="B309" s="33">
        <v>44926</v>
      </c>
      <c r="C309" s="32" t="s">
        <v>169</v>
      </c>
      <c r="D309" s="32" t="s">
        <v>4</v>
      </c>
      <c r="E309" s="32" t="s">
        <v>460</v>
      </c>
      <c r="F309" s="32" cm="1">
        <f t="array" aca="1" ref="F309" ca="1">IF(Table3[[#This Row],[Stage]]="Closed",0,IF(IFERROR(
  IF(
    COUNTIF(A$2:A$1997, A309) &gt; 1,
    MIN(IF(A$2:A$1997=A309, IF(B$2:B$1997&gt;B309, B$2:B$1997))) - B309,
    TODAY() - Table3[[#This Row],[Date of Update]]
  ),
  TODAY()-Table3[[#This Row],[Date of Update]]
)&lt;=0,
TODAY()-Table3[[#This Row],[Date of Update]],
IFERROR(
  IF(
    COUNTIF(A$2:A$1997, A309) &gt; 1,
    MIN(IF(A$2:A$1997=A309, IF(B$2:B$1997&gt;B309, B$2:B$1997))) - B309,
    TODAY() - Table3[[#This Row],[Date of Update]]
  ),
  TODAY()-Table3[[#This Row],[Date of Update]]
)))</f>
        <v>0</v>
      </c>
      <c r="G309" s="40">
        <f>IF(Table3[[#This Row],[Stage]]="Closed",Table3[[#This Row],[Date of Update]]-(_xlfn.MINIFS(Table3[Date of Update],Table3[Ref], Table3[[#This Row],[Ref]])),"")</f>
        <v>30</v>
      </c>
    </row>
    <row r="310" spans="1:7" x14ac:dyDescent="0.25">
      <c r="A310" s="39" t="s">
        <v>1222</v>
      </c>
      <c r="B310" s="33">
        <v>44929</v>
      </c>
      <c r="C310" s="32" t="s">
        <v>23</v>
      </c>
      <c r="D310" s="32" t="s">
        <v>4</v>
      </c>
      <c r="E310" s="32" t="s">
        <v>531</v>
      </c>
      <c r="F310" s="32" cm="1">
        <f t="array" aca="1" ref="F310" ca="1">IF(Table3[[#This Row],[Stage]]="Closed",0,IF(IFERROR(
  IF(
    COUNTIF(A$2:A$1997, A310) &gt; 1,
    MIN(IF(A$2:A$1997=A310, IF(B$2:B$1997&gt;B310, B$2:B$1997))) - B310,
    TODAY() - Table3[[#This Row],[Date of Update]]
  ),
  TODAY()-Table3[[#This Row],[Date of Update]]
)&lt;=0,
TODAY()-Table3[[#This Row],[Date of Update]],
IFERROR(
  IF(
    COUNTIF(A$2:A$1997, A310) &gt; 1,
    MIN(IF(A$2:A$1997=A310, IF(B$2:B$1997&gt;B310, B$2:B$1997))) - B310,
    TODAY() - Table3[[#This Row],[Date of Update]]
  ),
  TODAY()-Table3[[#This Row],[Date of Update]]
)))</f>
        <v>24</v>
      </c>
      <c r="G310" s="40" t="str">
        <f>IF(Table3[[#This Row],[Stage]]="Closed",Table3[[#This Row],[Date of Update]]-(_xlfn.MINIFS(Table3[Date of Update],Table3[Ref], Table3[[#This Row],[Ref]])),"")</f>
        <v/>
      </c>
    </row>
    <row r="311" spans="1:7" x14ac:dyDescent="0.25">
      <c r="A311" s="39" t="s">
        <v>1230</v>
      </c>
      <c r="B311" s="33">
        <v>44929</v>
      </c>
      <c r="C311" s="32" t="s">
        <v>23</v>
      </c>
      <c r="D311" s="32" t="s">
        <v>4</v>
      </c>
      <c r="E311" s="32" t="s">
        <v>521</v>
      </c>
      <c r="F311" s="32" cm="1">
        <f t="array" aca="1" ref="F311" ca="1">IF(Table3[[#This Row],[Stage]]="Closed",0,IF(IFERROR(
  IF(
    COUNTIF(A$2:A$1997, A311) &gt; 1,
    MIN(IF(A$2:A$1997=A311, IF(B$2:B$1997&gt;B311, B$2:B$1997))) - B311,
    TODAY() - Table3[[#This Row],[Date of Update]]
  ),
  TODAY()-Table3[[#This Row],[Date of Update]]
)&lt;=0,
TODAY()-Table3[[#This Row],[Date of Update]],
IFERROR(
  IF(
    COUNTIF(A$2:A$1997, A311) &gt; 1,
    MIN(IF(A$2:A$1997=A311, IF(B$2:B$1997&gt;B311, B$2:B$1997))) - B311,
    TODAY() - Table3[[#This Row],[Date of Update]]
  ),
  TODAY()-Table3[[#This Row],[Date of Update]]
)))</f>
        <v>16</v>
      </c>
      <c r="G311" s="40" t="str">
        <f>IF(Table3[[#This Row],[Stage]]="Closed",Table3[[#This Row],[Date of Update]]-(_xlfn.MINIFS(Table3[Date of Update],Table3[Ref], Table3[[#This Row],[Ref]])),"")</f>
        <v/>
      </c>
    </row>
    <row r="312" spans="1:7" x14ac:dyDescent="0.25">
      <c r="A312" s="39" t="s">
        <v>1231</v>
      </c>
      <c r="B312" s="33">
        <v>44929</v>
      </c>
      <c r="C312" s="32" t="s">
        <v>23</v>
      </c>
      <c r="D312" s="32" t="s">
        <v>4</v>
      </c>
      <c r="E312" s="32" t="s">
        <v>521</v>
      </c>
      <c r="F312" s="32" cm="1">
        <f t="array" aca="1" ref="F312" ca="1">IF(Table3[[#This Row],[Stage]]="Closed",0,IF(IFERROR(
  IF(
    COUNTIF(A$2:A$1997, A312) &gt; 1,
    MIN(IF(A$2:A$1997=A312, IF(B$2:B$1997&gt;B312, B$2:B$1997))) - B312,
    TODAY() - Table3[[#This Row],[Date of Update]]
  ),
  TODAY()-Table3[[#This Row],[Date of Update]]
)&lt;=0,
TODAY()-Table3[[#This Row],[Date of Update]],
IFERROR(
  IF(
    COUNTIF(A$2:A$1997, A312) &gt; 1,
    MIN(IF(A$2:A$1997=A312, IF(B$2:B$1997&gt;B312, B$2:B$1997))) - B312,
    TODAY() - Table3[[#This Row],[Date of Update]]
  ),
  TODAY()-Table3[[#This Row],[Date of Update]]
)))</f>
        <v>16</v>
      </c>
      <c r="G312" s="40" t="str">
        <f>IF(Table3[[#This Row],[Stage]]="Closed",Table3[[#This Row],[Date of Update]]-(_xlfn.MINIFS(Table3[Date of Update],Table3[Ref], Table3[[#This Row],[Ref]])),"")</f>
        <v/>
      </c>
    </row>
    <row r="313" spans="1:7" x14ac:dyDescent="0.25">
      <c r="A313" s="39" t="s">
        <v>1324</v>
      </c>
      <c r="B313" s="33">
        <v>44929</v>
      </c>
      <c r="C313" s="32" t="s">
        <v>23</v>
      </c>
      <c r="D313" s="32" t="s">
        <v>4</v>
      </c>
      <c r="E313" s="32" t="s">
        <v>453</v>
      </c>
      <c r="F313" s="32" cm="1">
        <f t="array" aca="1" ref="F313" ca="1">IF(Table3[[#This Row],[Stage]]="Closed",0,IF(IFERROR(
  IF(
    COUNTIF(A$2:A$1997, A313) &gt; 1,
    MIN(IF(A$2:A$1997=A313, IF(B$2:B$1997&gt;B313, B$2:B$1997))) - B313,
    TODAY() - Table3[[#This Row],[Date of Update]]
  ),
  TODAY()-Table3[[#This Row],[Date of Update]]
)&lt;=0,
TODAY()-Table3[[#This Row],[Date of Update]],
IFERROR(
  IF(
    COUNTIF(A$2:A$1997, A313) &gt; 1,
    MIN(IF(A$2:A$1997=A313, IF(B$2:B$1997&gt;B313, B$2:B$1997))) - B313,
    TODAY() - Table3[[#This Row],[Date of Update]]
  ),
  TODAY()-Table3[[#This Row],[Date of Update]]
)))</f>
        <v>170</v>
      </c>
      <c r="G313" s="40" t="str">
        <f>IF(Table3[[#This Row],[Stage]]="Closed",Table3[[#This Row],[Date of Update]]-(_xlfn.MINIFS(Table3[Date of Update],Table3[Ref], Table3[[#This Row],[Ref]])),"")</f>
        <v/>
      </c>
    </row>
    <row r="314" spans="1:7" x14ac:dyDescent="0.25">
      <c r="A314" s="39" t="s">
        <v>1225</v>
      </c>
      <c r="B314" s="33">
        <v>44929</v>
      </c>
      <c r="C314" s="32" t="s">
        <v>23</v>
      </c>
      <c r="D314" s="32" t="s">
        <v>4</v>
      </c>
      <c r="E314" s="32" t="s">
        <v>453</v>
      </c>
      <c r="F314" s="32" cm="1">
        <f t="array" aca="1" ref="F314" ca="1">IF(Table3[[#This Row],[Stage]]="Closed",0,IF(IFERROR(
  IF(
    COUNTIF(A$2:A$1997, A314) &gt; 1,
    MIN(IF(A$2:A$1997=A314, IF(B$2:B$1997&gt;B314, B$2:B$1997))) - B314,
    TODAY() - Table3[[#This Row],[Date of Update]]
  ),
  TODAY()-Table3[[#This Row],[Date of Update]]
)&lt;=0,
TODAY()-Table3[[#This Row],[Date of Update]],
IFERROR(
  IF(
    COUNTIF(A$2:A$1997, A314) &gt; 1,
    MIN(IF(A$2:A$1997=A314, IF(B$2:B$1997&gt;B314, B$2:B$1997))) - B314,
    TODAY() - Table3[[#This Row],[Date of Update]]
  ),
  TODAY()-Table3[[#This Row],[Date of Update]]
)))</f>
        <v>31</v>
      </c>
      <c r="G314" s="40" t="str">
        <f>IF(Table3[[#This Row],[Stage]]="Closed",Table3[[#This Row],[Date of Update]]-(_xlfn.MINIFS(Table3[Date of Update],Table3[Ref], Table3[[#This Row],[Ref]])),"")</f>
        <v/>
      </c>
    </row>
    <row r="315" spans="1:7" x14ac:dyDescent="0.25">
      <c r="A315" s="39" t="s">
        <v>1421</v>
      </c>
      <c r="B315" s="33">
        <v>44929</v>
      </c>
      <c r="C315" s="32" t="s">
        <v>23</v>
      </c>
      <c r="D315" s="32" t="s">
        <v>4</v>
      </c>
      <c r="E315" s="32" t="s">
        <v>945</v>
      </c>
      <c r="F315" s="32" cm="1">
        <f t="array" aca="1" ref="F315" ca="1">IF(Table3[[#This Row],[Stage]]="Closed",0,IF(IFERROR(
  IF(
    COUNTIF(A$2:A$1997, A315) &gt; 1,
    MIN(IF(A$2:A$1997=A315, IF(B$2:B$1997&gt;B315, B$2:B$1997))) - B315,
    TODAY() - Table3[[#This Row],[Date of Update]]
  ),
  TODAY()-Table3[[#This Row],[Date of Update]]
)&lt;=0,
TODAY()-Table3[[#This Row],[Date of Update]],
IFERROR(
  IF(
    COUNTIF(A$2:A$1997, A315) &gt; 1,
    MIN(IF(A$2:A$1997=A315, IF(B$2:B$1997&gt;B315, B$2:B$1997))) - B315,
    TODAY() - Table3[[#This Row],[Date of Update]]
  ),
  TODAY()-Table3[[#This Row],[Date of Update]]
)))</f>
        <v>395</v>
      </c>
      <c r="G315" s="40" t="str">
        <f>IF(Table3[[#This Row],[Stage]]="Closed",Table3[[#This Row],[Date of Update]]-(_xlfn.MINIFS(Table3[Date of Update],Table3[Ref], Table3[[#This Row],[Ref]])),"")</f>
        <v/>
      </c>
    </row>
    <row r="316" spans="1:7" x14ac:dyDescent="0.25">
      <c r="A316" s="39" t="s">
        <v>1275</v>
      </c>
      <c r="B316" s="33">
        <v>44929</v>
      </c>
      <c r="C316" s="32" t="s">
        <v>23</v>
      </c>
      <c r="D316" s="32" t="s">
        <v>4</v>
      </c>
      <c r="E316" s="32" t="s">
        <v>660</v>
      </c>
      <c r="F316" s="32" cm="1">
        <f t="array" aca="1" ref="F316" ca="1">IF(Table3[[#This Row],[Stage]]="Closed",0,IF(IFERROR(
  IF(
    COUNTIF(A$2:A$1997, A316) &gt; 1,
    MIN(IF(A$2:A$1997=A316, IF(B$2:B$1997&gt;B316, B$2:B$1997))) - B316,
    TODAY() - Table3[[#This Row],[Date of Update]]
  ),
  TODAY()-Table3[[#This Row],[Date of Update]]
)&lt;=0,
TODAY()-Table3[[#This Row],[Date of Update]],
IFERROR(
  IF(
    COUNTIF(A$2:A$1997, A316) &gt; 1,
    MIN(IF(A$2:A$1997=A316, IF(B$2:B$1997&gt;B316, B$2:B$1997))) - B316,
    TODAY() - Table3[[#This Row],[Date of Update]]
  ),
  TODAY()-Table3[[#This Row],[Date of Update]]
)))</f>
        <v>79</v>
      </c>
      <c r="G316" s="40" t="str">
        <f>IF(Table3[[#This Row],[Stage]]="Closed",Table3[[#This Row],[Date of Update]]-(_xlfn.MINIFS(Table3[Date of Update],Table3[Ref], Table3[[#This Row],[Ref]])),"")</f>
        <v/>
      </c>
    </row>
    <row r="317" spans="1:7" x14ac:dyDescent="0.25">
      <c r="A317" s="39" t="s">
        <v>1232</v>
      </c>
      <c r="B317" s="33">
        <v>44929</v>
      </c>
      <c r="C317" s="32" t="s">
        <v>23</v>
      </c>
      <c r="D317" s="32" t="s">
        <v>4</v>
      </c>
      <c r="E317" s="32" t="s">
        <v>521</v>
      </c>
      <c r="F317" s="32" cm="1">
        <f t="array" aca="1" ref="F317" ca="1">IF(Table3[[#This Row],[Stage]]="Closed",0,IF(IFERROR(
  IF(
    COUNTIF(A$2:A$1997, A317) &gt; 1,
    MIN(IF(A$2:A$1997=A317, IF(B$2:B$1997&gt;B317, B$2:B$1997))) - B317,
    TODAY() - Table3[[#This Row],[Date of Update]]
  ),
  TODAY()-Table3[[#This Row],[Date of Update]]
)&lt;=0,
TODAY()-Table3[[#This Row],[Date of Update]],
IFERROR(
  IF(
    COUNTIF(A$2:A$1997, A317) &gt; 1,
    MIN(IF(A$2:A$1997=A317, IF(B$2:B$1997&gt;B317, B$2:B$1997))) - B317,
    TODAY() - Table3[[#This Row],[Date of Update]]
  ),
  TODAY()-Table3[[#This Row],[Date of Update]]
)))</f>
        <v>20</v>
      </c>
      <c r="G317" s="40" t="str">
        <f>IF(Table3[[#This Row],[Stage]]="Closed",Table3[[#This Row],[Date of Update]]-(_xlfn.MINIFS(Table3[Date of Update],Table3[Ref], Table3[[#This Row],[Ref]])),"")</f>
        <v/>
      </c>
    </row>
    <row r="318" spans="1:7" x14ac:dyDescent="0.25">
      <c r="A318" s="39" t="s">
        <v>1233</v>
      </c>
      <c r="B318" s="33">
        <v>44930</v>
      </c>
      <c r="C318" s="32" t="s">
        <v>23</v>
      </c>
      <c r="D318" s="32" t="s">
        <v>4</v>
      </c>
      <c r="E318" s="32" t="s">
        <v>521</v>
      </c>
      <c r="F318" s="32" cm="1">
        <f t="array" aca="1" ref="F318" ca="1">IF(Table3[[#This Row],[Stage]]="Closed",0,IF(IFERROR(
  IF(
    COUNTIF(A$2:A$1997, A318) &gt; 1,
    MIN(IF(A$2:A$1997=A318, IF(B$2:B$1997&gt;B318, B$2:B$1997))) - B318,
    TODAY() - Table3[[#This Row],[Date of Update]]
  ),
  TODAY()-Table3[[#This Row],[Date of Update]]
)&lt;=0,
TODAY()-Table3[[#This Row],[Date of Update]],
IFERROR(
  IF(
    COUNTIF(A$2:A$1997, A318) &gt; 1,
    MIN(IF(A$2:A$1997=A318, IF(B$2:B$1997&gt;B318, B$2:B$1997))) - B318,
    TODAY() - Table3[[#This Row],[Date of Update]]
  ),
  TODAY()-Table3[[#This Row],[Date of Update]]
)))</f>
        <v>15</v>
      </c>
      <c r="G318" s="40" t="str">
        <f>IF(Table3[[#This Row],[Stage]]="Closed",Table3[[#This Row],[Date of Update]]-(_xlfn.MINIFS(Table3[Date of Update],Table3[Ref], Table3[[#This Row],[Ref]])),"")</f>
        <v/>
      </c>
    </row>
    <row r="319" spans="1:7" x14ac:dyDescent="0.25">
      <c r="A319" s="39" t="s">
        <v>1234</v>
      </c>
      <c r="B319" s="33">
        <v>44930</v>
      </c>
      <c r="C319" s="32" t="s">
        <v>23</v>
      </c>
      <c r="D319" s="32" t="s">
        <v>4</v>
      </c>
      <c r="E319" s="32"/>
      <c r="F319" s="32" cm="1">
        <f t="array" aca="1" ref="F319" ca="1">IF(Table3[[#This Row],[Stage]]="Closed",0,IF(IFERROR(
  IF(
    COUNTIF(A$2:A$1997, A319) &gt; 1,
    MIN(IF(A$2:A$1997=A319, IF(B$2:B$1997&gt;B319, B$2:B$1997))) - B319,
    TODAY() - Table3[[#This Row],[Date of Update]]
  ),
  TODAY()-Table3[[#This Row],[Date of Update]]
)&lt;=0,
TODAY()-Table3[[#This Row],[Date of Update]],
IFERROR(
  IF(
    COUNTIF(A$2:A$1997, A319) &gt; 1,
    MIN(IF(A$2:A$1997=A319, IF(B$2:B$1997&gt;B319, B$2:B$1997))) - B319,
    TODAY() - Table3[[#This Row],[Date of Update]]
  ),
  TODAY()-Table3[[#This Row],[Date of Update]]
)))</f>
        <v>55</v>
      </c>
      <c r="G319" s="40" t="str">
        <f>IF(Table3[[#This Row],[Stage]]="Closed",Table3[[#This Row],[Date of Update]]-(_xlfn.MINIFS(Table3[Date of Update],Table3[Ref], Table3[[#This Row],[Ref]])),"")</f>
        <v/>
      </c>
    </row>
    <row r="320" spans="1:7" x14ac:dyDescent="0.25">
      <c r="A320" s="39" t="s">
        <v>1196</v>
      </c>
      <c r="B320" s="33">
        <v>44930</v>
      </c>
      <c r="C320" s="32" t="s">
        <v>169</v>
      </c>
      <c r="D320" s="32" t="s">
        <v>4</v>
      </c>
      <c r="E320" s="32" t="s">
        <v>463</v>
      </c>
      <c r="F320" s="32" cm="1">
        <f t="array" aca="1" ref="F320" ca="1">IF(Table3[[#This Row],[Stage]]="Closed",0,IF(IFERROR(
  IF(
    COUNTIF(A$2:A$1997, A320) &gt; 1,
    MIN(IF(A$2:A$1997=A320, IF(B$2:B$1997&gt;B320, B$2:B$1997))) - B320,
    TODAY() - Table3[[#This Row],[Date of Update]]
  ),
  TODAY()-Table3[[#This Row],[Date of Update]]
)&lt;=0,
TODAY()-Table3[[#This Row],[Date of Update]],
IFERROR(
  IF(
    COUNTIF(A$2:A$1997, A320) &gt; 1,
    MIN(IF(A$2:A$1997=A320, IF(B$2:B$1997&gt;B320, B$2:B$1997))) - B320,
    TODAY() - Table3[[#This Row],[Date of Update]]
  ),
  TODAY()-Table3[[#This Row],[Date of Update]]
)))</f>
        <v>0</v>
      </c>
      <c r="G320" s="40">
        <f>IF(Table3[[#This Row],[Stage]]="Closed",Table3[[#This Row],[Date of Update]]-(_xlfn.MINIFS(Table3[Date of Update],Table3[Ref], Table3[[#This Row],[Ref]])),"")</f>
        <v>106</v>
      </c>
    </row>
    <row r="321" spans="1:7" x14ac:dyDescent="0.25">
      <c r="A321" s="39" t="s">
        <v>1235</v>
      </c>
      <c r="B321" s="33">
        <v>44931</v>
      </c>
      <c r="C321" s="32" t="s">
        <v>23</v>
      </c>
      <c r="D321" s="32" t="s">
        <v>4</v>
      </c>
      <c r="E321" s="32" t="s">
        <v>521</v>
      </c>
      <c r="F321" s="32" cm="1">
        <f t="array" aca="1" ref="F321" ca="1">IF(Table3[[#This Row],[Stage]]="Closed",0,IF(IFERROR(
  IF(
    COUNTIF(A$2:A$1997, A321) &gt; 1,
    MIN(IF(A$2:A$1997=A321, IF(B$2:B$1997&gt;B321, B$2:B$1997))) - B321,
    TODAY() - Table3[[#This Row],[Date of Update]]
  ),
  TODAY()-Table3[[#This Row],[Date of Update]]
)&lt;=0,
TODAY()-Table3[[#This Row],[Date of Update]],
IFERROR(
  IF(
    COUNTIF(A$2:A$1997, A321) &gt; 1,
    MIN(IF(A$2:A$1997=A321, IF(B$2:B$1997&gt;B321, B$2:B$1997))) - B321,
    TODAY() - Table3[[#This Row],[Date of Update]]
  ),
  TODAY()-Table3[[#This Row],[Date of Update]]
)))</f>
        <v>14</v>
      </c>
      <c r="G321" s="40" t="str">
        <f>IF(Table3[[#This Row],[Stage]]="Closed",Table3[[#This Row],[Date of Update]]-(_xlfn.MINIFS(Table3[Date of Update],Table3[Ref], Table3[[#This Row],[Ref]])),"")</f>
        <v/>
      </c>
    </row>
    <row r="322" spans="1:7" x14ac:dyDescent="0.25">
      <c r="A322" s="39" t="s">
        <v>1236</v>
      </c>
      <c r="B322" s="33">
        <v>44932</v>
      </c>
      <c r="C322" s="32" t="s">
        <v>23</v>
      </c>
      <c r="D322" s="32" t="s">
        <v>4</v>
      </c>
      <c r="E322" s="32" t="s">
        <v>521</v>
      </c>
      <c r="F322" s="32" cm="1">
        <f t="array" aca="1" ref="F322" ca="1">IF(Table3[[#This Row],[Stage]]="Closed",0,IF(IFERROR(
  IF(
    COUNTIF(A$2:A$1997, A322) &gt; 1,
    MIN(IF(A$2:A$1997=A322, IF(B$2:B$1997&gt;B322, B$2:B$1997))) - B322,
    TODAY() - Table3[[#This Row],[Date of Update]]
  ),
  TODAY()-Table3[[#This Row],[Date of Update]]
)&lt;=0,
TODAY()-Table3[[#This Row],[Date of Update]],
IFERROR(
  IF(
    COUNTIF(A$2:A$1997, A322) &gt; 1,
    MIN(IF(A$2:A$1997=A322, IF(B$2:B$1997&gt;B322, B$2:B$1997))) - B322,
    TODAY() - Table3[[#This Row],[Date of Update]]
  ),
  TODAY()-Table3[[#This Row],[Date of Update]]
)))</f>
        <v>13</v>
      </c>
      <c r="G322" s="40" t="str">
        <f>IF(Table3[[#This Row],[Stage]]="Closed",Table3[[#This Row],[Date of Update]]-(_xlfn.MINIFS(Table3[Date of Update],Table3[Ref], Table3[[#This Row],[Ref]])),"")</f>
        <v/>
      </c>
    </row>
    <row r="323" spans="1:7" x14ac:dyDescent="0.25">
      <c r="A323" s="39" t="s">
        <v>1199</v>
      </c>
      <c r="B323" s="33">
        <v>44933</v>
      </c>
      <c r="C323" s="32" t="s">
        <v>169</v>
      </c>
      <c r="D323" s="32" t="s">
        <v>4</v>
      </c>
      <c r="E323" s="32" t="s">
        <v>466</v>
      </c>
      <c r="F323" s="32" cm="1">
        <f t="array" aca="1" ref="F323" ca="1">IF(Table3[[#This Row],[Stage]]="Closed",0,IF(IFERROR(
  IF(
    COUNTIF(A$2:A$1997, A323) &gt; 1,
    MIN(IF(A$2:A$1997=A323, IF(B$2:B$1997&gt;B323, B$2:B$1997))) - B323,
    TODAY() - Table3[[#This Row],[Date of Update]]
  ),
  TODAY()-Table3[[#This Row],[Date of Update]]
)&lt;=0,
TODAY()-Table3[[#This Row],[Date of Update]],
IFERROR(
  IF(
    COUNTIF(A$2:A$1997, A323) &gt; 1,
    MIN(IF(A$2:A$1997=A323, IF(B$2:B$1997&gt;B323, B$2:B$1997))) - B323,
    TODAY() - Table3[[#This Row],[Date of Update]]
  ),
  TODAY()-Table3[[#This Row],[Date of Update]]
)))</f>
        <v>0</v>
      </c>
      <c r="G323" s="40">
        <f>IF(Table3[[#This Row],[Stage]]="Closed",Table3[[#This Row],[Date of Update]]-(_xlfn.MINIFS(Table3[Date of Update],Table3[Ref], Table3[[#This Row],[Ref]])),"")</f>
        <v>37</v>
      </c>
    </row>
    <row r="324" spans="1:7" x14ac:dyDescent="0.25">
      <c r="A324" s="39" t="s">
        <v>1202</v>
      </c>
      <c r="B324" s="33">
        <v>44933</v>
      </c>
      <c r="C324" s="32" t="s">
        <v>169</v>
      </c>
      <c r="D324" s="32" t="s">
        <v>4</v>
      </c>
      <c r="E324" s="32" t="s">
        <v>473</v>
      </c>
      <c r="F324" s="32" cm="1">
        <f t="array" aca="1" ref="F324" ca="1">IF(Table3[[#This Row],[Stage]]="Closed",0,IF(IFERROR(
  IF(
    COUNTIF(A$2:A$1997, A324) &gt; 1,
    MIN(IF(A$2:A$1997=A324, IF(B$2:B$1997&gt;B324, B$2:B$1997))) - B324,
    TODAY() - Table3[[#This Row],[Date of Update]]
  ),
  TODAY()-Table3[[#This Row],[Date of Update]]
)&lt;=0,
TODAY()-Table3[[#This Row],[Date of Update]],
IFERROR(
  IF(
    COUNTIF(A$2:A$1997, A324) &gt; 1,
    MIN(IF(A$2:A$1997=A324, IF(B$2:B$1997&gt;B324, B$2:B$1997))) - B324,
    TODAY() - Table3[[#This Row],[Date of Update]]
  ),
  TODAY()-Table3[[#This Row],[Date of Update]]
)))</f>
        <v>0</v>
      </c>
      <c r="G324" s="40">
        <f>IF(Table3[[#This Row],[Stage]]="Closed",Table3[[#This Row],[Date of Update]]-(_xlfn.MINIFS(Table3[Date of Update],Table3[Ref], Table3[[#This Row],[Ref]])),"")</f>
        <v>25</v>
      </c>
    </row>
    <row r="325" spans="1:7" x14ac:dyDescent="0.25">
      <c r="A325" s="39" t="s">
        <v>1203</v>
      </c>
      <c r="B325" s="33">
        <v>44933</v>
      </c>
      <c r="C325" s="32" t="s">
        <v>169</v>
      </c>
      <c r="D325" s="32" t="s">
        <v>4</v>
      </c>
      <c r="E325" s="32" t="s">
        <v>453</v>
      </c>
      <c r="F325" s="32" cm="1">
        <f t="array" aca="1" ref="F325" ca="1">IF(Table3[[#This Row],[Stage]]="Closed",0,IF(IFERROR(
  IF(
    COUNTIF(A$2:A$1997, A325) &gt; 1,
    MIN(IF(A$2:A$1997=A325, IF(B$2:B$1997&gt;B325, B$2:B$1997))) - B325,
    TODAY() - Table3[[#This Row],[Date of Update]]
  ),
  TODAY()-Table3[[#This Row],[Date of Update]]
)&lt;=0,
TODAY()-Table3[[#This Row],[Date of Update]],
IFERROR(
  IF(
    COUNTIF(A$2:A$1997, A325) &gt; 1,
    MIN(IF(A$2:A$1997=A325, IF(B$2:B$1997&gt;B325, B$2:B$1997))) - B325,
    TODAY() - Table3[[#This Row],[Date of Update]]
  ),
  TODAY()-Table3[[#This Row],[Date of Update]]
)))</f>
        <v>0</v>
      </c>
      <c r="G325" s="40">
        <f>IF(Table3[[#This Row],[Stage]]="Closed",Table3[[#This Row],[Date of Update]]-(_xlfn.MINIFS(Table3[Date of Update],Table3[Ref], Table3[[#This Row],[Ref]])),"")</f>
        <v>16</v>
      </c>
    </row>
    <row r="326" spans="1:7" x14ac:dyDescent="0.25">
      <c r="A326" s="39" t="s">
        <v>1201</v>
      </c>
      <c r="B326" s="33">
        <v>44933</v>
      </c>
      <c r="C326" s="32" t="s">
        <v>169</v>
      </c>
      <c r="D326" s="32" t="s">
        <v>4</v>
      </c>
      <c r="E326" s="32" t="s">
        <v>469</v>
      </c>
      <c r="F326" s="32" cm="1">
        <f t="array" aca="1" ref="F326" ca="1">IF(Table3[[#This Row],[Stage]]="Closed",0,IF(IFERROR(
  IF(
    COUNTIF(A$2:A$1997, A326) &gt; 1,
    MIN(IF(A$2:A$1997=A326, IF(B$2:B$1997&gt;B326, B$2:B$1997))) - B326,
    TODAY() - Table3[[#This Row],[Date of Update]]
  ),
  TODAY()-Table3[[#This Row],[Date of Update]]
)&lt;=0,
TODAY()-Table3[[#This Row],[Date of Update]],
IFERROR(
  IF(
    COUNTIF(A$2:A$1997, A326) &gt; 1,
    MIN(IF(A$2:A$1997=A326, IF(B$2:B$1997&gt;B326, B$2:B$1997))) - B326,
    TODAY() - Table3[[#This Row],[Date of Update]]
  ),
  TODAY()-Table3[[#This Row],[Date of Update]]
)))</f>
        <v>0</v>
      </c>
      <c r="G326" s="40">
        <f>IF(Table3[[#This Row],[Stage]]="Closed",Table3[[#This Row],[Date of Update]]-(_xlfn.MINIFS(Table3[Date of Update],Table3[Ref], Table3[[#This Row],[Ref]])),"")</f>
        <v>30</v>
      </c>
    </row>
    <row r="327" spans="1:7" x14ac:dyDescent="0.25">
      <c r="A327" s="39" t="s">
        <v>1200</v>
      </c>
      <c r="B327" s="33">
        <v>44933</v>
      </c>
      <c r="C327" s="32" t="s">
        <v>169</v>
      </c>
      <c r="D327" s="32" t="s">
        <v>4</v>
      </c>
      <c r="E327" s="32" t="s">
        <v>453</v>
      </c>
      <c r="F327" s="32" cm="1">
        <f t="array" aca="1" ref="F327" ca="1">IF(Table3[[#This Row],[Stage]]="Closed",0,IF(IFERROR(
  IF(
    COUNTIF(A$2:A$1997, A327) &gt; 1,
    MIN(IF(A$2:A$1997=A327, IF(B$2:B$1997&gt;B327, B$2:B$1997))) - B327,
    TODAY() - Table3[[#This Row],[Date of Update]]
  ),
  TODAY()-Table3[[#This Row],[Date of Update]]
)&lt;=0,
TODAY()-Table3[[#This Row],[Date of Update]],
IFERROR(
  IF(
    COUNTIF(A$2:A$1997, A327) &gt; 1,
    MIN(IF(A$2:A$1997=A327, IF(B$2:B$1997&gt;B327, B$2:B$1997))) - B327,
    TODAY() - Table3[[#This Row],[Date of Update]]
  ),
  TODAY()-Table3[[#This Row],[Date of Update]]
)))</f>
        <v>0</v>
      </c>
      <c r="G327" s="40">
        <f>IF(Table3[[#This Row],[Stage]]="Closed",Table3[[#This Row],[Date of Update]]-(_xlfn.MINIFS(Table3[Date of Update],Table3[Ref], Table3[[#This Row],[Ref]])),"")</f>
        <v>30</v>
      </c>
    </row>
    <row r="328" spans="1:7" x14ac:dyDescent="0.25">
      <c r="A328" s="39" t="s">
        <v>1198</v>
      </c>
      <c r="B328" s="33">
        <v>44933</v>
      </c>
      <c r="C328" s="32" t="s">
        <v>169</v>
      </c>
      <c r="D328" s="32" t="s">
        <v>4</v>
      </c>
      <c r="E328" s="32" t="s">
        <v>453</v>
      </c>
      <c r="F328" s="32" cm="1">
        <f t="array" aca="1" ref="F328" ca="1">IF(Table3[[#This Row],[Stage]]="Closed",0,IF(IFERROR(
  IF(
    COUNTIF(A$2:A$1997, A328) &gt; 1,
    MIN(IF(A$2:A$1997=A328, IF(B$2:B$1997&gt;B328, B$2:B$1997))) - B328,
    TODAY() - Table3[[#This Row],[Date of Update]]
  ),
  TODAY()-Table3[[#This Row],[Date of Update]]
)&lt;=0,
TODAY()-Table3[[#This Row],[Date of Update]],
IFERROR(
  IF(
    COUNTIF(A$2:A$1997, A328) &gt; 1,
    MIN(IF(A$2:A$1997=A328, IF(B$2:B$1997&gt;B328, B$2:B$1997))) - B328,
    TODAY() - Table3[[#This Row],[Date of Update]]
  ),
  TODAY()-Table3[[#This Row],[Date of Update]]
)))</f>
        <v>0</v>
      </c>
      <c r="G328" s="40">
        <f>IF(Table3[[#This Row],[Stage]]="Closed",Table3[[#This Row],[Date of Update]]-(_xlfn.MINIFS(Table3[Date of Update],Table3[Ref], Table3[[#This Row],[Ref]])),"")</f>
        <v>39</v>
      </c>
    </row>
    <row r="329" spans="1:7" x14ac:dyDescent="0.25">
      <c r="A329" s="39" t="s">
        <v>1197</v>
      </c>
      <c r="B329" s="33">
        <v>44933</v>
      </c>
      <c r="C329" s="32" t="s">
        <v>169</v>
      </c>
      <c r="D329" s="32" t="s">
        <v>4</v>
      </c>
      <c r="E329" s="32" t="s">
        <v>453</v>
      </c>
      <c r="F329" s="32" cm="1">
        <f t="array" aca="1" ref="F329" ca="1">IF(Table3[[#This Row],[Stage]]="Closed",0,IF(IFERROR(
  IF(
    COUNTIF(A$2:A$1997, A329) &gt; 1,
    MIN(IF(A$2:A$1997=A329, IF(B$2:B$1997&gt;B329, B$2:B$1997))) - B329,
    TODAY() - Table3[[#This Row],[Date of Update]]
  ),
  TODAY()-Table3[[#This Row],[Date of Update]]
)&lt;=0,
TODAY()-Table3[[#This Row],[Date of Update]],
IFERROR(
  IF(
    COUNTIF(A$2:A$1997, A329) &gt; 1,
    MIN(IF(A$2:A$1997=A329, IF(B$2:B$1997&gt;B329, B$2:B$1997))) - B329,
    TODAY() - Table3[[#This Row],[Date of Update]]
  ),
  TODAY()-Table3[[#This Row],[Date of Update]]
)))</f>
        <v>0</v>
      </c>
      <c r="G329" s="40">
        <f>IF(Table3[[#This Row],[Stage]]="Closed",Table3[[#This Row],[Date of Update]]-(_xlfn.MINIFS(Table3[Date of Update],Table3[Ref], Table3[[#This Row],[Ref]])),"")</f>
        <v>45</v>
      </c>
    </row>
    <row r="330" spans="1:7" x14ac:dyDescent="0.25">
      <c r="A330" s="39" t="s">
        <v>1223</v>
      </c>
      <c r="B330" s="33">
        <v>44936</v>
      </c>
      <c r="C330" s="32" t="s">
        <v>23</v>
      </c>
      <c r="D330" s="32" t="s">
        <v>4</v>
      </c>
      <c r="E330" s="32" t="s">
        <v>535</v>
      </c>
      <c r="F330" s="32" cm="1">
        <f t="array" aca="1" ref="F330" ca="1">IF(Table3[[#This Row],[Stage]]="Closed",0,IF(IFERROR(
  IF(
    COUNTIF(A$2:A$1997, A330) &gt; 1,
    MIN(IF(A$2:A$1997=A330, IF(B$2:B$1997&gt;B330, B$2:B$1997))) - B330,
    TODAY() - Table3[[#This Row],[Date of Update]]
  ),
  TODAY()-Table3[[#This Row],[Date of Update]]
)&lt;=0,
TODAY()-Table3[[#This Row],[Date of Update]],
IFERROR(
  IF(
    COUNTIF(A$2:A$1997, A330) &gt; 1,
    MIN(IF(A$2:A$1997=A330, IF(B$2:B$1997&gt;B330, B$2:B$1997))) - B330,
    TODAY() - Table3[[#This Row],[Date of Update]]
  ),
  TODAY()-Table3[[#This Row],[Date of Update]]
)))</f>
        <v>17</v>
      </c>
      <c r="G330" s="40" t="str">
        <f>IF(Table3[[#This Row],[Stage]]="Closed",Table3[[#This Row],[Date of Update]]-(_xlfn.MINIFS(Table3[Date of Update],Table3[Ref], Table3[[#This Row],[Ref]])),"")</f>
        <v/>
      </c>
    </row>
    <row r="331" spans="1:7" x14ac:dyDescent="0.25">
      <c r="A331" s="39" t="s">
        <v>1217</v>
      </c>
      <c r="B331" s="33">
        <v>44936</v>
      </c>
      <c r="C331" s="32" t="s">
        <v>169</v>
      </c>
      <c r="D331" s="32" t="s">
        <v>4</v>
      </c>
      <c r="E331" s="32" t="s">
        <v>521</v>
      </c>
      <c r="F331" s="32" cm="1">
        <f t="array" aca="1" ref="F331" ca="1">IF(Table3[[#This Row],[Stage]]="Closed",0,IF(IFERROR(
  IF(
    COUNTIF(A$2:A$1997, A331) &gt; 1,
    MIN(IF(A$2:A$1997=A331, IF(B$2:B$1997&gt;B331, B$2:B$1997))) - B331,
    TODAY() - Table3[[#This Row],[Date of Update]]
  ),
  TODAY()-Table3[[#This Row],[Date of Update]]
)&lt;=0,
TODAY()-Table3[[#This Row],[Date of Update]],
IFERROR(
  IF(
    COUNTIF(A$2:A$1997, A331) &gt; 1,
    MIN(IF(A$2:A$1997=A331, IF(B$2:B$1997&gt;B331, B$2:B$1997))) - B331,
    TODAY() - Table3[[#This Row],[Date of Update]]
  ),
  TODAY()-Table3[[#This Row],[Date of Update]]
)))</f>
        <v>0</v>
      </c>
      <c r="G331" s="40">
        <f>IF(Table3[[#This Row],[Stage]]="Closed",Table3[[#This Row],[Date of Update]]-(_xlfn.MINIFS(Table3[Date of Update],Table3[Ref], Table3[[#This Row],[Ref]])),"")</f>
        <v>25</v>
      </c>
    </row>
    <row r="332" spans="1:7" x14ac:dyDescent="0.25">
      <c r="A332" s="39" t="s">
        <v>1216</v>
      </c>
      <c r="B332" s="33">
        <v>44936</v>
      </c>
      <c r="C332" s="32" t="s">
        <v>23</v>
      </c>
      <c r="D332" s="32" t="s">
        <v>4</v>
      </c>
      <c r="E332" s="32" t="s">
        <v>516</v>
      </c>
      <c r="F332" s="32" cm="1">
        <f t="array" aca="1" ref="F332" ca="1">IF(Table3[[#This Row],[Stage]]="Closed",0,IF(IFERROR(
  IF(
    COUNTIF(A$2:A$1997, A332) &gt; 1,
    MIN(IF(A$2:A$1997=A332, IF(B$2:B$1997&gt;B332, B$2:B$1997))) - B332,
    TODAY() - Table3[[#This Row],[Date of Update]]
  ),
  TODAY()-Table3[[#This Row],[Date of Update]]
)&lt;=0,
TODAY()-Table3[[#This Row],[Date of Update]],
IFERROR(
  IF(
    COUNTIF(A$2:A$1997, A332) &gt; 1,
    MIN(IF(A$2:A$1997=A332, IF(B$2:B$1997&gt;B332, B$2:B$1997))) - B332,
    TODAY() - Table3[[#This Row],[Date of Update]]
  ),
  TODAY()-Table3[[#This Row],[Date of Update]]
)))</f>
        <v>10</v>
      </c>
      <c r="G332" s="40" t="str">
        <f>IF(Table3[[#This Row],[Stage]]="Closed",Table3[[#This Row],[Date of Update]]-(_xlfn.MINIFS(Table3[Date of Update],Table3[Ref], Table3[[#This Row],[Ref]])),"")</f>
        <v/>
      </c>
    </row>
    <row r="333" spans="1:7" x14ac:dyDescent="0.25">
      <c r="A333" s="39" t="s">
        <v>1218</v>
      </c>
      <c r="B333" s="33">
        <v>44936</v>
      </c>
      <c r="C333" s="32" t="s">
        <v>169</v>
      </c>
      <c r="D333" s="32" t="s">
        <v>4</v>
      </c>
      <c r="E333" s="32" t="s">
        <v>521</v>
      </c>
      <c r="F333" s="32" cm="1">
        <f t="array" aca="1" ref="F333" ca="1">IF(Table3[[#This Row],[Stage]]="Closed",0,IF(IFERROR(
  IF(
    COUNTIF(A$2:A$1997, A333) &gt; 1,
    MIN(IF(A$2:A$1997=A333, IF(B$2:B$1997&gt;B333, B$2:B$1997))) - B333,
    TODAY() - Table3[[#This Row],[Date of Update]]
  ),
  TODAY()-Table3[[#This Row],[Date of Update]]
)&lt;=0,
TODAY()-Table3[[#This Row],[Date of Update]],
IFERROR(
  IF(
    COUNTIF(A$2:A$1997, A333) &gt; 1,
    MIN(IF(A$2:A$1997=A333, IF(B$2:B$1997&gt;B333, B$2:B$1997))) - B333,
    TODAY() - Table3[[#This Row],[Date of Update]]
  ),
  TODAY()-Table3[[#This Row],[Date of Update]]
)))</f>
        <v>0</v>
      </c>
      <c r="G333" s="40">
        <f>IF(Table3[[#This Row],[Stage]]="Closed",Table3[[#This Row],[Date of Update]]-(_xlfn.MINIFS(Table3[Date of Update],Table3[Ref], Table3[[#This Row],[Ref]])),"")</f>
        <v>21</v>
      </c>
    </row>
    <row r="334" spans="1:7" x14ac:dyDescent="0.25">
      <c r="A334" s="39" t="s">
        <v>1219</v>
      </c>
      <c r="B334" s="33">
        <v>44936</v>
      </c>
      <c r="C334" s="32" t="s">
        <v>169</v>
      </c>
      <c r="D334" s="32" t="s">
        <v>4</v>
      </c>
      <c r="E334" s="32" t="s">
        <v>521</v>
      </c>
      <c r="F334" s="32" cm="1">
        <f t="array" aca="1" ref="F334" ca="1">IF(Table3[[#This Row],[Stage]]="Closed",0,IF(IFERROR(
  IF(
    COUNTIF(A$2:A$1997, A334) &gt; 1,
    MIN(IF(A$2:A$1997=A334, IF(B$2:B$1997&gt;B334, B$2:B$1997))) - B334,
    TODAY() - Table3[[#This Row],[Date of Update]]
  ),
  TODAY()-Table3[[#This Row],[Date of Update]]
)&lt;=0,
TODAY()-Table3[[#This Row],[Date of Update]],
IFERROR(
  IF(
    COUNTIF(A$2:A$1997, A334) &gt; 1,
    MIN(IF(A$2:A$1997=A334, IF(B$2:B$1997&gt;B334, B$2:B$1997))) - B334,
    TODAY() - Table3[[#This Row],[Date of Update]]
  ),
  TODAY()-Table3[[#This Row],[Date of Update]]
)))</f>
        <v>0</v>
      </c>
      <c r="G334" s="40">
        <f>IF(Table3[[#This Row],[Stage]]="Closed",Table3[[#This Row],[Date of Update]]-(_xlfn.MINIFS(Table3[Date of Update],Table3[Ref], Table3[[#This Row],[Ref]])),"")</f>
        <v>21</v>
      </c>
    </row>
    <row r="335" spans="1:7" x14ac:dyDescent="0.25">
      <c r="A335" s="39" t="s">
        <v>1229</v>
      </c>
      <c r="B335" s="33">
        <v>44936</v>
      </c>
      <c r="C335" s="32" t="s">
        <v>23</v>
      </c>
      <c r="D335" s="32" t="s">
        <v>4</v>
      </c>
      <c r="E335" s="32" t="s">
        <v>552</v>
      </c>
      <c r="F335" s="32" cm="1">
        <f t="array" aca="1" ref="F335" ca="1">IF(Table3[[#This Row],[Stage]]="Closed",0,IF(IFERROR(
  IF(
    COUNTIF(A$2:A$1997, A335) &gt; 1,
    MIN(IF(A$2:A$1997=A335, IF(B$2:B$1997&gt;B335, B$2:B$1997))) - B335,
    TODAY() - Table3[[#This Row],[Date of Update]]
  ),
  TODAY()-Table3[[#This Row],[Date of Update]]
)&lt;=0,
TODAY()-Table3[[#This Row],[Date of Update]],
IFERROR(
  IF(
    COUNTIF(A$2:A$1997, A335) &gt; 1,
    MIN(IF(A$2:A$1997=A335, IF(B$2:B$1997&gt;B335, B$2:B$1997))) - B335,
    TODAY() - Table3[[#This Row],[Date of Update]]
  ),
  TODAY()-Table3[[#This Row],[Date of Update]]
)))</f>
        <v>30</v>
      </c>
      <c r="G335" s="40" t="str">
        <f>IF(Table3[[#This Row],[Stage]]="Closed",Table3[[#This Row],[Date of Update]]-(_xlfn.MINIFS(Table3[Date of Update],Table3[Ref], Table3[[#This Row],[Ref]])),"")</f>
        <v/>
      </c>
    </row>
    <row r="336" spans="1:7" x14ac:dyDescent="0.25">
      <c r="A336" s="39" t="s">
        <v>1237</v>
      </c>
      <c r="B336" s="33">
        <v>44937</v>
      </c>
      <c r="C336" s="32" t="s">
        <v>23</v>
      </c>
      <c r="D336" s="32" t="s">
        <v>4</v>
      </c>
      <c r="E336" s="32" t="s">
        <v>521</v>
      </c>
      <c r="F336" s="32" cm="1">
        <f t="array" aca="1" ref="F336" ca="1">IF(Table3[[#This Row],[Stage]]="Closed",0,IF(IFERROR(
  IF(
    COUNTIF(A$2:A$1997, A336) &gt; 1,
    MIN(IF(A$2:A$1997=A336, IF(B$2:B$1997&gt;B336, B$2:B$1997))) - B336,
    TODAY() - Table3[[#This Row],[Date of Update]]
  ),
  TODAY()-Table3[[#This Row],[Date of Update]]
)&lt;=0,
TODAY()-Table3[[#This Row],[Date of Update]],
IFERROR(
  IF(
    COUNTIF(A$2:A$1997, A336) &gt; 1,
    MIN(IF(A$2:A$1997=A336, IF(B$2:B$1997&gt;B336, B$2:B$1997))) - B336,
    TODAY() - Table3[[#This Row],[Date of Update]]
  ),
  TODAY()-Table3[[#This Row],[Date of Update]]
)))</f>
        <v>12</v>
      </c>
      <c r="G336" s="40" t="str">
        <f>IF(Table3[[#This Row],[Stage]]="Closed",Table3[[#This Row],[Date of Update]]-(_xlfn.MINIFS(Table3[Date of Update],Table3[Ref], Table3[[#This Row],[Ref]])),"")</f>
        <v/>
      </c>
    </row>
    <row r="337" spans="1:7" x14ac:dyDescent="0.25">
      <c r="A337" s="39" t="s">
        <v>1238</v>
      </c>
      <c r="B337" s="33">
        <v>44937</v>
      </c>
      <c r="C337" s="32" t="s">
        <v>23</v>
      </c>
      <c r="D337" s="32" t="s">
        <v>4</v>
      </c>
      <c r="E337" s="32" t="s">
        <v>521</v>
      </c>
      <c r="F337" s="32" cm="1">
        <f t="array" aca="1" ref="F337" ca="1">IF(Table3[[#This Row],[Stage]]="Closed",0,IF(IFERROR(
  IF(
    COUNTIF(A$2:A$1997, A337) &gt; 1,
    MIN(IF(A$2:A$1997=A337, IF(B$2:B$1997&gt;B337, B$2:B$1997))) - B337,
    TODAY() - Table3[[#This Row],[Date of Update]]
  ),
  TODAY()-Table3[[#This Row],[Date of Update]]
)&lt;=0,
TODAY()-Table3[[#This Row],[Date of Update]],
IFERROR(
  IF(
    COUNTIF(A$2:A$1997, A337) &gt; 1,
    MIN(IF(A$2:A$1997=A337, IF(B$2:B$1997&gt;B337, B$2:B$1997))) - B337,
    TODAY() - Table3[[#This Row],[Date of Update]]
  ),
  TODAY()-Table3[[#This Row],[Date of Update]]
)))</f>
        <v>12</v>
      </c>
      <c r="G337" s="40" t="str">
        <f>IF(Table3[[#This Row],[Stage]]="Closed",Table3[[#This Row],[Date of Update]]-(_xlfn.MINIFS(Table3[Date of Update],Table3[Ref], Table3[[#This Row],[Ref]])),"")</f>
        <v/>
      </c>
    </row>
    <row r="338" spans="1:7" x14ac:dyDescent="0.25">
      <c r="A338" s="39" t="s">
        <v>1226</v>
      </c>
      <c r="B338" s="33">
        <v>44937</v>
      </c>
      <c r="C338" s="32" t="s">
        <v>23</v>
      </c>
      <c r="D338" s="32" t="s">
        <v>4</v>
      </c>
      <c r="E338" s="32" t="s">
        <v>543</v>
      </c>
      <c r="F338" s="32" cm="1">
        <f t="array" aca="1" ref="F338" ca="1">IF(Table3[[#This Row],[Stage]]="Closed",0,IF(IFERROR(
  IF(
    COUNTIF(A$2:A$1997, A338) &gt; 1,
    MIN(IF(A$2:A$1997=A338, IF(B$2:B$1997&gt;B338, B$2:B$1997))) - B338,
    TODAY() - Table3[[#This Row],[Date of Update]]
  ),
  TODAY()-Table3[[#This Row],[Date of Update]]
)&lt;=0,
TODAY()-Table3[[#This Row],[Date of Update]],
IFERROR(
  IF(
    COUNTIF(A$2:A$1997, A338) &gt; 1,
    MIN(IF(A$2:A$1997=A338, IF(B$2:B$1997&gt;B338, B$2:B$1997))) - B338,
    TODAY() - Table3[[#This Row],[Date of Update]]
  ),
  TODAY()-Table3[[#This Row],[Date of Update]]
)))</f>
        <v>23</v>
      </c>
      <c r="G338" s="40" t="str">
        <f>IF(Table3[[#This Row],[Stage]]="Closed",Table3[[#This Row],[Date of Update]]-(_xlfn.MINIFS(Table3[Date of Update],Table3[Ref], Table3[[#This Row],[Ref]])),"")</f>
        <v/>
      </c>
    </row>
    <row r="339" spans="1:7" x14ac:dyDescent="0.25">
      <c r="A339" s="39" t="s">
        <v>1249</v>
      </c>
      <c r="B339" s="33">
        <v>44937</v>
      </c>
      <c r="C339" s="32" t="s">
        <v>23</v>
      </c>
      <c r="D339" s="32" t="s">
        <v>4</v>
      </c>
      <c r="E339" s="32" t="s">
        <v>595</v>
      </c>
      <c r="F339" s="32" cm="1">
        <f t="array" aca="1" ref="F339" ca="1">IF(Table3[[#This Row],[Stage]]="Closed",0,IF(IFERROR(
  IF(
    COUNTIF(A$2:A$1997, A339) &gt; 1,
    MIN(IF(A$2:A$1997=A339, IF(B$2:B$1997&gt;B339, B$2:B$1997))) - B339,
    TODAY() - Table3[[#This Row],[Date of Update]]
  ),
  TODAY()-Table3[[#This Row],[Date of Update]]
)&lt;=0,
TODAY()-Table3[[#This Row],[Date of Update]],
IFERROR(
  IF(
    COUNTIF(A$2:A$1997, A339) &gt; 1,
    MIN(IF(A$2:A$1997=A339, IF(B$2:B$1997&gt;B339, B$2:B$1997))) - B339,
    TODAY() - Table3[[#This Row],[Date of Update]]
  ),
  TODAY()-Table3[[#This Row],[Date of Update]]
)))</f>
        <v>44</v>
      </c>
      <c r="G339" s="40" t="str">
        <f>IF(Table3[[#This Row],[Stage]]="Closed",Table3[[#This Row],[Date of Update]]-(_xlfn.MINIFS(Table3[Date of Update],Table3[Ref], Table3[[#This Row],[Ref]])),"")</f>
        <v/>
      </c>
    </row>
    <row r="340" spans="1:7" x14ac:dyDescent="0.25">
      <c r="A340" s="39" t="s">
        <v>1208</v>
      </c>
      <c r="B340" s="33">
        <v>44939</v>
      </c>
      <c r="C340" s="32" t="s">
        <v>169</v>
      </c>
      <c r="D340" s="32" t="s">
        <v>4</v>
      </c>
      <c r="E340" s="32" t="s">
        <v>491</v>
      </c>
      <c r="F340" s="32" cm="1">
        <f t="array" aca="1" ref="F340" ca="1">IF(Table3[[#This Row],[Stage]]="Closed",0,IF(IFERROR(
  IF(
    COUNTIF(A$2:A$1997, A340) &gt; 1,
    MIN(IF(A$2:A$1997=A340, IF(B$2:B$1997&gt;B340, B$2:B$1997))) - B340,
    TODAY() - Table3[[#This Row],[Date of Update]]
  ),
  TODAY()-Table3[[#This Row],[Date of Update]]
)&lt;=0,
TODAY()-Table3[[#This Row],[Date of Update]],
IFERROR(
  IF(
    COUNTIF(A$2:A$1997, A340) &gt; 1,
    MIN(IF(A$2:A$1997=A340, IF(B$2:B$1997&gt;B340, B$2:B$1997))) - B340,
    TODAY() - Table3[[#This Row],[Date of Update]]
  ),
  TODAY()-Table3[[#This Row],[Date of Update]]
)))</f>
        <v>0</v>
      </c>
      <c r="G340" s="40">
        <f>IF(Table3[[#This Row],[Stage]]="Closed",Table3[[#This Row],[Date of Update]]-(_xlfn.MINIFS(Table3[Date of Update],Table3[Ref], Table3[[#This Row],[Ref]])),"")</f>
        <v>28</v>
      </c>
    </row>
    <row r="341" spans="1:7" x14ac:dyDescent="0.25">
      <c r="A341" s="39" t="s">
        <v>1207</v>
      </c>
      <c r="B341" s="33">
        <v>44939</v>
      </c>
      <c r="C341" s="32" t="s">
        <v>169</v>
      </c>
      <c r="D341" s="32" t="s">
        <v>4</v>
      </c>
      <c r="E341" s="32" t="s">
        <v>488</v>
      </c>
      <c r="F341" s="32" cm="1">
        <f t="array" aca="1" ref="F341" ca="1">IF(Table3[[#This Row],[Stage]]="Closed",0,IF(IFERROR(
  IF(
    COUNTIF(A$2:A$1997, A341) &gt; 1,
    MIN(IF(A$2:A$1997=A341, IF(B$2:B$1997&gt;B341, B$2:B$1997))) - B341,
    TODAY() - Table3[[#This Row],[Date of Update]]
  ),
  TODAY()-Table3[[#This Row],[Date of Update]]
)&lt;=0,
TODAY()-Table3[[#This Row],[Date of Update]],
IFERROR(
  IF(
    COUNTIF(A$2:A$1997, A341) &gt; 1,
    MIN(IF(A$2:A$1997=A341, IF(B$2:B$1997&gt;B341, B$2:B$1997))) - B341,
    TODAY() - Table3[[#This Row],[Date of Update]]
  ),
  TODAY()-Table3[[#This Row],[Date of Update]]
)))</f>
        <v>0</v>
      </c>
      <c r="G341" s="40">
        <f>IF(Table3[[#This Row],[Stage]]="Closed",Table3[[#This Row],[Date of Update]]-(_xlfn.MINIFS(Table3[Date of Update],Table3[Ref], Table3[[#This Row],[Ref]])),"")</f>
        <v>57</v>
      </c>
    </row>
    <row r="342" spans="1:7" x14ac:dyDescent="0.25">
      <c r="A342" s="39" t="s">
        <v>1239</v>
      </c>
      <c r="B342" s="33">
        <v>44939</v>
      </c>
      <c r="C342" s="32" t="s">
        <v>23</v>
      </c>
      <c r="D342" s="32" t="s">
        <v>4</v>
      </c>
      <c r="E342" s="32"/>
      <c r="F342" s="32" cm="1">
        <f t="array" aca="1" ref="F342" ca="1">IF(Table3[[#This Row],[Stage]]="Closed",0,IF(IFERROR(
  IF(
    COUNTIF(A$2:A$1997, A342) &gt; 1,
    MIN(IF(A$2:A$1997=A342, IF(B$2:B$1997&gt;B342, B$2:B$1997))) - B342,
    TODAY() - Table3[[#This Row],[Date of Update]]
  ),
  TODAY()-Table3[[#This Row],[Date of Update]]
)&lt;=0,
TODAY()-Table3[[#This Row],[Date of Update]],
IFERROR(
  IF(
    COUNTIF(A$2:A$1997, A342) &gt; 1,
    MIN(IF(A$2:A$1997=A342, IF(B$2:B$1997&gt;B342, B$2:B$1997))) - B342,
    TODAY() - Table3[[#This Row],[Date of Update]]
  ),
  TODAY()-Table3[[#This Row],[Date of Update]]
)))</f>
        <v>34</v>
      </c>
      <c r="G342" s="40" t="str">
        <f>IF(Table3[[#This Row],[Stage]]="Closed",Table3[[#This Row],[Date of Update]]-(_xlfn.MINIFS(Table3[Date of Update],Table3[Ref], Table3[[#This Row],[Ref]])),"")</f>
        <v/>
      </c>
    </row>
    <row r="343" spans="1:7" x14ac:dyDescent="0.25">
      <c r="A343" s="39" t="s">
        <v>1209</v>
      </c>
      <c r="B343" s="33">
        <v>44940</v>
      </c>
      <c r="C343" s="32" t="s">
        <v>169</v>
      </c>
      <c r="D343" s="32" t="s">
        <v>4</v>
      </c>
      <c r="E343" s="32" t="s">
        <v>495</v>
      </c>
      <c r="F343" s="32" cm="1">
        <f t="array" aca="1" ref="F343" ca="1">IF(Table3[[#This Row],[Stage]]="Closed",0,IF(IFERROR(
  IF(
    COUNTIF(A$2:A$1997, A343) &gt; 1,
    MIN(IF(A$2:A$1997=A343, IF(B$2:B$1997&gt;B343, B$2:B$1997))) - B343,
    TODAY() - Table3[[#This Row],[Date of Update]]
  ),
  TODAY()-Table3[[#This Row],[Date of Update]]
)&lt;=0,
TODAY()-Table3[[#This Row],[Date of Update]],
IFERROR(
  IF(
    COUNTIF(A$2:A$1997, A343) &gt; 1,
    MIN(IF(A$2:A$1997=A343, IF(B$2:B$1997&gt;B343, B$2:B$1997))) - B343,
    TODAY() - Table3[[#This Row],[Date of Update]]
  ),
  TODAY()-Table3[[#This Row],[Date of Update]]
)))</f>
        <v>0</v>
      </c>
      <c r="G343" s="40">
        <f>IF(Table3[[#This Row],[Stage]]="Closed",Table3[[#This Row],[Date of Update]]-(_xlfn.MINIFS(Table3[Date of Update],Table3[Ref], Table3[[#This Row],[Ref]])),"")</f>
        <v>30</v>
      </c>
    </row>
    <row r="344" spans="1:7" x14ac:dyDescent="0.25">
      <c r="A344" s="39" t="s">
        <v>1242</v>
      </c>
      <c r="B344" s="33">
        <v>44942</v>
      </c>
      <c r="C344" s="32" t="s">
        <v>23</v>
      </c>
      <c r="D344" s="32" t="s">
        <v>4</v>
      </c>
      <c r="E344" s="32"/>
      <c r="F344" s="32" cm="1">
        <f t="array" aca="1" ref="F344" ca="1">IF(Table3[[#This Row],[Stage]]="Closed",0,IF(IFERROR(
  IF(
    COUNTIF(A$2:A$1997, A344) &gt; 1,
    MIN(IF(A$2:A$1997=A344, IF(B$2:B$1997&gt;B344, B$2:B$1997))) - B344,
    TODAY() - Table3[[#This Row],[Date of Update]]
  ),
  TODAY()-Table3[[#This Row],[Date of Update]]
)&lt;=0,
TODAY()-Table3[[#This Row],[Date of Update]],
IFERROR(
  IF(
    COUNTIF(A$2:A$1997, A344) &gt; 1,
    MIN(IF(A$2:A$1997=A344, IF(B$2:B$1997&gt;B344, B$2:B$1997))) - B344,
    TODAY() - Table3[[#This Row],[Date of Update]]
  ),
  TODAY()-Table3[[#This Row],[Date of Update]]
)))</f>
        <v>31</v>
      </c>
      <c r="G344" s="40" t="str">
        <f>IF(Table3[[#This Row],[Stage]]="Closed",Table3[[#This Row],[Date of Update]]-(_xlfn.MINIFS(Table3[Date of Update],Table3[Ref], Table3[[#This Row],[Ref]])),"")</f>
        <v/>
      </c>
    </row>
    <row r="345" spans="1:7" x14ac:dyDescent="0.25">
      <c r="A345" s="39" t="s">
        <v>1243</v>
      </c>
      <c r="B345" s="33">
        <v>44942</v>
      </c>
      <c r="C345" s="32" t="s">
        <v>23</v>
      </c>
      <c r="D345" s="32" t="s">
        <v>4</v>
      </c>
      <c r="E345" s="32"/>
      <c r="F345" s="32" cm="1">
        <f t="array" aca="1" ref="F345" ca="1">IF(Table3[[#This Row],[Stage]]="Closed",0,IF(IFERROR(
  IF(
    COUNTIF(A$2:A$1997, A345) &gt; 1,
    MIN(IF(A$2:A$1997=A345, IF(B$2:B$1997&gt;B345, B$2:B$1997))) - B345,
    TODAY() - Table3[[#This Row],[Date of Update]]
  ),
  TODAY()-Table3[[#This Row],[Date of Update]]
)&lt;=0,
TODAY()-Table3[[#This Row],[Date of Update]],
IFERROR(
  IF(
    COUNTIF(A$2:A$1997, A345) &gt; 1,
    MIN(IF(A$2:A$1997=A345, IF(B$2:B$1997&gt;B345, B$2:B$1997))) - B345,
    TODAY() - Table3[[#This Row],[Date of Update]]
  ),
  TODAY()-Table3[[#This Row],[Date of Update]]
)))</f>
        <v>31</v>
      </c>
      <c r="G345" s="40" t="str">
        <f>IF(Table3[[#This Row],[Stage]]="Closed",Table3[[#This Row],[Date of Update]]-(_xlfn.MINIFS(Table3[Date of Update],Table3[Ref], Table3[[#This Row],[Ref]])),"")</f>
        <v/>
      </c>
    </row>
    <row r="346" spans="1:7" x14ac:dyDescent="0.25">
      <c r="A346" s="39" t="s">
        <v>1240</v>
      </c>
      <c r="B346" s="33">
        <v>44942</v>
      </c>
      <c r="C346" s="32" t="s">
        <v>23</v>
      </c>
      <c r="D346" s="32" t="s">
        <v>4</v>
      </c>
      <c r="E346" s="32" t="s">
        <v>521</v>
      </c>
      <c r="F346" s="32" cm="1">
        <f t="array" aca="1" ref="F346" ca="1">IF(Table3[[#This Row],[Stage]]="Closed",0,IF(IFERROR(
  IF(
    COUNTIF(A$2:A$1997, A346) &gt; 1,
    MIN(IF(A$2:A$1997=A346, IF(B$2:B$1997&gt;B346, B$2:B$1997))) - B346,
    TODAY() - Table3[[#This Row],[Date of Update]]
  ),
  TODAY()-Table3[[#This Row],[Date of Update]]
)&lt;=0,
TODAY()-Table3[[#This Row],[Date of Update]],
IFERROR(
  IF(
    COUNTIF(A$2:A$1997, A346) &gt; 1,
    MIN(IF(A$2:A$1997=A346, IF(B$2:B$1997&gt;B346, B$2:B$1997))) - B346,
    TODAY() - Table3[[#This Row],[Date of Update]]
  ),
  TODAY()-Table3[[#This Row],[Date of Update]]
)))</f>
        <v>7</v>
      </c>
      <c r="G346" s="40" t="str">
        <f>IF(Table3[[#This Row],[Stage]]="Closed",Table3[[#This Row],[Date of Update]]-(_xlfn.MINIFS(Table3[Date of Update],Table3[Ref], Table3[[#This Row],[Ref]])),"")</f>
        <v/>
      </c>
    </row>
    <row r="347" spans="1:7" x14ac:dyDescent="0.25">
      <c r="A347" s="39" t="s">
        <v>1244</v>
      </c>
      <c r="B347" s="33">
        <v>44943</v>
      </c>
      <c r="C347" s="32" t="s">
        <v>23</v>
      </c>
      <c r="D347" s="32" t="s">
        <v>4</v>
      </c>
      <c r="E347" s="32"/>
      <c r="F347" s="32" cm="1">
        <f t="array" aca="1" ref="F347" ca="1">IF(Table3[[#This Row],[Stage]]="Closed",0,IF(IFERROR(
  IF(
    COUNTIF(A$2:A$1997, A347) &gt; 1,
    MIN(IF(A$2:A$1997=A347, IF(B$2:B$1997&gt;B347, B$2:B$1997))) - B347,
    TODAY() - Table3[[#This Row],[Date of Update]]
  ),
  TODAY()-Table3[[#This Row],[Date of Update]]
)&lt;=0,
TODAY()-Table3[[#This Row],[Date of Update]],
IFERROR(
  IF(
    COUNTIF(A$2:A$1997, A347) &gt; 1,
    MIN(IF(A$2:A$1997=A347, IF(B$2:B$1997&gt;B347, B$2:B$1997))) - B347,
    TODAY() - Table3[[#This Row],[Date of Update]]
  ),
  TODAY()-Table3[[#This Row],[Date of Update]]
)))</f>
        <v>43</v>
      </c>
      <c r="G347" s="40" t="str">
        <f>IF(Table3[[#This Row],[Stage]]="Closed",Table3[[#This Row],[Date of Update]]-(_xlfn.MINIFS(Table3[Date of Update],Table3[Ref], Table3[[#This Row],[Ref]])),"")</f>
        <v/>
      </c>
    </row>
    <row r="348" spans="1:7" x14ac:dyDescent="0.25">
      <c r="A348" s="39" t="s">
        <v>1253</v>
      </c>
      <c r="B348" s="33">
        <v>44943</v>
      </c>
      <c r="C348" s="32" t="s">
        <v>23</v>
      </c>
      <c r="D348" s="32" t="s">
        <v>4</v>
      </c>
      <c r="E348" s="32"/>
      <c r="F348" s="32" cm="1">
        <f t="array" aca="1" ref="F348" ca="1">IF(Table3[[#This Row],[Stage]]="Closed",0,IF(IFERROR(
  IF(
    COUNTIF(A$2:A$1997, A348) &gt; 1,
    MIN(IF(A$2:A$1997=A348, IF(B$2:B$1997&gt;B348, B$2:B$1997))) - B348,
    TODAY() - Table3[[#This Row],[Date of Update]]
  ),
  TODAY()-Table3[[#This Row],[Date of Update]]
)&lt;=0,
TODAY()-Table3[[#This Row],[Date of Update]],
IFERROR(
  IF(
    COUNTIF(A$2:A$1997, A348) &gt; 1,
    MIN(IF(A$2:A$1997=A348, IF(B$2:B$1997&gt;B348, B$2:B$1997))) - B348,
    TODAY() - Table3[[#This Row],[Date of Update]]
  ),
  TODAY()-Table3[[#This Row],[Date of Update]]
)))</f>
        <v>62</v>
      </c>
      <c r="G348" s="40" t="str">
        <f>IF(Table3[[#This Row],[Stage]]="Closed",Table3[[#This Row],[Date of Update]]-(_xlfn.MINIFS(Table3[Date of Update],Table3[Ref], Table3[[#This Row],[Ref]])),"")</f>
        <v/>
      </c>
    </row>
    <row r="349" spans="1:7" x14ac:dyDescent="0.25">
      <c r="A349" s="39" t="s">
        <v>1227</v>
      </c>
      <c r="B349" s="33">
        <v>44943</v>
      </c>
      <c r="C349" s="32" t="s">
        <v>23</v>
      </c>
      <c r="D349" s="32" t="s">
        <v>4</v>
      </c>
      <c r="E349" s="32" t="s">
        <v>531</v>
      </c>
      <c r="F349" s="32" cm="1">
        <f t="array" aca="1" ref="F349" ca="1">IF(Table3[[#This Row],[Stage]]="Closed",0,IF(IFERROR(
  IF(
    COUNTIF(A$2:A$1997, A349) &gt; 1,
    MIN(IF(A$2:A$1997=A349, IF(B$2:B$1997&gt;B349, B$2:B$1997))) - B349,
    TODAY() - Table3[[#This Row],[Date of Update]]
  ),
  TODAY()-Table3[[#This Row],[Date of Update]]
)&lt;=0,
TODAY()-Table3[[#This Row],[Date of Update]],
IFERROR(
  IF(
    COUNTIF(A$2:A$1997, A349) &gt; 1,
    MIN(IF(A$2:A$1997=A349, IF(B$2:B$1997&gt;B349, B$2:B$1997))) - B349,
    TODAY() - Table3[[#This Row],[Date of Update]]
  ),
  TODAY()-Table3[[#This Row],[Date of Update]]
)))</f>
        <v>17</v>
      </c>
      <c r="G349" s="40" t="str">
        <f>IF(Table3[[#This Row],[Stage]]="Closed",Table3[[#This Row],[Date of Update]]-(_xlfn.MINIFS(Table3[Date of Update],Table3[Ref], Table3[[#This Row],[Ref]])),"")</f>
        <v/>
      </c>
    </row>
    <row r="350" spans="1:7" x14ac:dyDescent="0.25">
      <c r="A350" s="39" t="s">
        <v>1250</v>
      </c>
      <c r="B350" s="33">
        <v>44943</v>
      </c>
      <c r="C350" s="32" t="s">
        <v>23</v>
      </c>
      <c r="D350" s="32" t="s">
        <v>4</v>
      </c>
      <c r="E350" s="32" t="s">
        <v>55</v>
      </c>
      <c r="F350" s="32" cm="1">
        <f t="array" aca="1" ref="F350" ca="1">IF(Table3[[#This Row],[Stage]]="Closed",0,IF(IFERROR(
  IF(
    COUNTIF(A$2:A$1997, A350) &gt; 1,
    MIN(IF(A$2:A$1997=A350, IF(B$2:B$1997&gt;B350, B$2:B$1997))) - B350,
    TODAY() - Table3[[#This Row],[Date of Update]]
  ),
  TODAY()-Table3[[#This Row],[Date of Update]]
)&lt;=0,
TODAY()-Table3[[#This Row],[Date of Update]],
IFERROR(
  IF(
    COUNTIF(A$2:A$1997, A350) &gt; 1,
    MIN(IF(A$2:A$1997=A350, IF(B$2:B$1997&gt;B350, B$2:B$1997))) - B350,
    TODAY() - Table3[[#This Row],[Date of Update]]
  ),
  TODAY()-Table3[[#This Row],[Date of Update]]
)))</f>
        <v>38</v>
      </c>
      <c r="G350" s="40" t="str">
        <f>IF(Table3[[#This Row],[Stage]]="Closed",Table3[[#This Row],[Date of Update]]-(_xlfn.MINIFS(Table3[Date of Update],Table3[Ref], Table3[[#This Row],[Ref]])),"")</f>
        <v/>
      </c>
    </row>
    <row r="351" spans="1:7" x14ac:dyDescent="0.25">
      <c r="A351" s="39" t="s">
        <v>1254</v>
      </c>
      <c r="B351" s="33">
        <v>44944</v>
      </c>
      <c r="C351" s="32" t="s">
        <v>23</v>
      </c>
      <c r="D351" s="32" t="s">
        <v>4</v>
      </c>
      <c r="E351" s="32" t="s">
        <v>613</v>
      </c>
      <c r="F351" s="32" cm="1">
        <f t="array" aca="1" ref="F351" ca="1">IF(Table3[[#This Row],[Stage]]="Closed",0,IF(IFERROR(
  IF(
    COUNTIF(A$2:A$1997, A351) &gt; 1,
    MIN(IF(A$2:A$1997=A351, IF(B$2:B$1997&gt;B351, B$2:B$1997))) - B351,
    TODAY() - Table3[[#This Row],[Date of Update]]
  ),
  TODAY()-Table3[[#This Row],[Date of Update]]
)&lt;=0,
TODAY()-Table3[[#This Row],[Date of Update]],
IFERROR(
  IF(
    COUNTIF(A$2:A$1997, A351) &gt; 1,
    MIN(IF(A$2:A$1997=A351, IF(B$2:B$1997&gt;B351, B$2:B$1997))) - B351,
    TODAY() - Table3[[#This Row],[Date of Update]]
  ),
  TODAY()-Table3[[#This Row],[Date of Update]]
)))</f>
        <v>92</v>
      </c>
      <c r="G351" s="40" t="str">
        <f>IF(Table3[[#This Row],[Stage]]="Closed",Table3[[#This Row],[Date of Update]]-(_xlfn.MINIFS(Table3[Date of Update],Table3[Ref], Table3[[#This Row],[Ref]])),"")</f>
        <v/>
      </c>
    </row>
    <row r="352" spans="1:7" x14ac:dyDescent="0.25">
      <c r="A352" s="39" t="s">
        <v>1233</v>
      </c>
      <c r="B352" s="33">
        <v>44945</v>
      </c>
      <c r="C352" s="32" t="s">
        <v>169</v>
      </c>
      <c r="D352" s="32" t="s">
        <v>4</v>
      </c>
      <c r="E352" s="32" t="s">
        <v>521</v>
      </c>
      <c r="F352" s="32" cm="1">
        <f t="array" aca="1" ref="F352" ca="1">IF(Table3[[#This Row],[Stage]]="Closed",0,IF(IFERROR(
  IF(
    COUNTIF(A$2:A$1997, A352) &gt; 1,
    MIN(IF(A$2:A$1997=A352, IF(B$2:B$1997&gt;B352, B$2:B$1997))) - B352,
    TODAY() - Table3[[#This Row],[Date of Update]]
  ),
  TODAY()-Table3[[#This Row],[Date of Update]]
)&lt;=0,
TODAY()-Table3[[#This Row],[Date of Update]],
IFERROR(
  IF(
    COUNTIF(A$2:A$1997, A352) &gt; 1,
    MIN(IF(A$2:A$1997=A352, IF(B$2:B$1997&gt;B352, B$2:B$1997))) - B352,
    TODAY() - Table3[[#This Row],[Date of Update]]
  ),
  TODAY()-Table3[[#This Row],[Date of Update]]
)))</f>
        <v>0</v>
      </c>
      <c r="G352" s="40">
        <f>IF(Table3[[#This Row],[Stage]]="Closed",Table3[[#This Row],[Date of Update]]-(_xlfn.MINIFS(Table3[Date of Update],Table3[Ref], Table3[[#This Row],[Ref]])),"")</f>
        <v>15</v>
      </c>
    </row>
    <row r="353" spans="1:7" x14ac:dyDescent="0.25">
      <c r="A353" s="39" t="s">
        <v>1251</v>
      </c>
      <c r="B353" s="33">
        <v>44945</v>
      </c>
      <c r="C353" s="32" t="s">
        <v>23</v>
      </c>
      <c r="D353" s="32" t="s">
        <v>4</v>
      </c>
      <c r="E353" s="32" t="s">
        <v>600</v>
      </c>
      <c r="F353" s="32" cm="1">
        <f t="array" aca="1" ref="F353" ca="1">IF(Table3[[#This Row],[Stage]]="Closed",0,IF(IFERROR(
  IF(
    COUNTIF(A$2:A$1997, A353) &gt; 1,
    MIN(IF(A$2:A$1997=A353, IF(B$2:B$1997&gt;B353, B$2:B$1997))) - B353,
    TODAY() - Table3[[#This Row],[Date of Update]]
  ),
  TODAY()-Table3[[#This Row],[Date of Update]]
)&lt;=0,
TODAY()-Table3[[#This Row],[Date of Update]],
IFERROR(
  IF(
    COUNTIF(A$2:A$1997, A353) &gt; 1,
    MIN(IF(A$2:A$1997=A353, IF(B$2:B$1997&gt;B353, B$2:B$1997))) - B353,
    TODAY() - Table3[[#This Row],[Date of Update]]
  ),
  TODAY()-Table3[[#This Row],[Date of Update]]
)))</f>
        <v>36</v>
      </c>
      <c r="G353" s="40" t="str">
        <f>IF(Table3[[#This Row],[Stage]]="Closed",Table3[[#This Row],[Date of Update]]-(_xlfn.MINIFS(Table3[Date of Update],Table3[Ref], Table3[[#This Row],[Ref]])),"")</f>
        <v/>
      </c>
    </row>
    <row r="354" spans="1:7" x14ac:dyDescent="0.25">
      <c r="A354" s="39" t="s">
        <v>1236</v>
      </c>
      <c r="B354" s="33">
        <v>44945</v>
      </c>
      <c r="C354" s="32" t="s">
        <v>169</v>
      </c>
      <c r="D354" s="32" t="s">
        <v>4</v>
      </c>
      <c r="E354" s="32" t="s">
        <v>521</v>
      </c>
      <c r="F354" s="32" cm="1">
        <f t="array" aca="1" ref="F354" ca="1">IF(Table3[[#This Row],[Stage]]="Closed",0,IF(IFERROR(
  IF(
    COUNTIF(A$2:A$1997, A354) &gt; 1,
    MIN(IF(A$2:A$1997=A354, IF(B$2:B$1997&gt;B354, B$2:B$1997))) - B354,
    TODAY() - Table3[[#This Row],[Date of Update]]
  ),
  TODAY()-Table3[[#This Row],[Date of Update]]
)&lt;=0,
TODAY()-Table3[[#This Row],[Date of Update]],
IFERROR(
  IF(
    COUNTIF(A$2:A$1997, A354) &gt; 1,
    MIN(IF(A$2:A$1997=A354, IF(B$2:B$1997&gt;B354, B$2:B$1997))) - B354,
    TODAY() - Table3[[#This Row],[Date of Update]]
  ),
  TODAY()-Table3[[#This Row],[Date of Update]]
)))</f>
        <v>0</v>
      </c>
      <c r="G354" s="40">
        <f>IF(Table3[[#This Row],[Stage]]="Closed",Table3[[#This Row],[Date of Update]]-(_xlfn.MINIFS(Table3[Date of Update],Table3[Ref], Table3[[#This Row],[Ref]])),"")</f>
        <v>13</v>
      </c>
    </row>
    <row r="355" spans="1:7" x14ac:dyDescent="0.25">
      <c r="A355" s="39" t="s">
        <v>1230</v>
      </c>
      <c r="B355" s="33">
        <v>44945</v>
      </c>
      <c r="C355" s="32" t="s">
        <v>169</v>
      </c>
      <c r="D355" s="32" t="s">
        <v>4</v>
      </c>
      <c r="E355" s="32" t="s">
        <v>521</v>
      </c>
      <c r="F355" s="32" cm="1">
        <f t="array" aca="1" ref="F355" ca="1">IF(Table3[[#This Row],[Stage]]="Closed",0,IF(IFERROR(
  IF(
    COUNTIF(A$2:A$1997, A355) &gt; 1,
    MIN(IF(A$2:A$1997=A355, IF(B$2:B$1997&gt;B355, B$2:B$1997))) - B355,
    TODAY() - Table3[[#This Row],[Date of Update]]
  ),
  TODAY()-Table3[[#This Row],[Date of Update]]
)&lt;=0,
TODAY()-Table3[[#This Row],[Date of Update]],
IFERROR(
  IF(
    COUNTIF(A$2:A$1997, A355) &gt; 1,
    MIN(IF(A$2:A$1997=A355, IF(B$2:B$1997&gt;B355, B$2:B$1997))) - B355,
    TODAY() - Table3[[#This Row],[Date of Update]]
  ),
  TODAY()-Table3[[#This Row],[Date of Update]]
)))</f>
        <v>0</v>
      </c>
      <c r="G355" s="40">
        <f>IF(Table3[[#This Row],[Stage]]="Closed",Table3[[#This Row],[Date of Update]]-(_xlfn.MINIFS(Table3[Date of Update],Table3[Ref], Table3[[#This Row],[Ref]])),"")</f>
        <v>16</v>
      </c>
    </row>
    <row r="356" spans="1:7" x14ac:dyDescent="0.25">
      <c r="A356" s="39" t="s">
        <v>1231</v>
      </c>
      <c r="B356" s="33">
        <v>44945</v>
      </c>
      <c r="C356" s="32" t="s">
        <v>169</v>
      </c>
      <c r="D356" s="32" t="s">
        <v>4</v>
      </c>
      <c r="E356" s="32" t="s">
        <v>521</v>
      </c>
      <c r="F356" s="32" cm="1">
        <f t="array" aca="1" ref="F356" ca="1">IF(Table3[[#This Row],[Stage]]="Closed",0,IF(IFERROR(
  IF(
    COUNTIF(A$2:A$1997, A356) &gt; 1,
    MIN(IF(A$2:A$1997=A356, IF(B$2:B$1997&gt;B356, B$2:B$1997))) - B356,
    TODAY() - Table3[[#This Row],[Date of Update]]
  ),
  TODAY()-Table3[[#This Row],[Date of Update]]
)&lt;=0,
TODAY()-Table3[[#This Row],[Date of Update]],
IFERROR(
  IF(
    COUNTIF(A$2:A$1997, A356) &gt; 1,
    MIN(IF(A$2:A$1997=A356, IF(B$2:B$1997&gt;B356, B$2:B$1997))) - B356,
    TODAY() - Table3[[#This Row],[Date of Update]]
  ),
  TODAY()-Table3[[#This Row],[Date of Update]]
)))</f>
        <v>0</v>
      </c>
      <c r="G356" s="40">
        <f>IF(Table3[[#This Row],[Stage]]="Closed",Table3[[#This Row],[Date of Update]]-(_xlfn.MINIFS(Table3[Date of Update],Table3[Ref], Table3[[#This Row],[Ref]])),"")</f>
        <v>16</v>
      </c>
    </row>
    <row r="357" spans="1:7" x14ac:dyDescent="0.25">
      <c r="A357" s="39" t="s">
        <v>1235</v>
      </c>
      <c r="B357" s="33">
        <v>44945</v>
      </c>
      <c r="C357" s="32" t="s">
        <v>169</v>
      </c>
      <c r="D357" s="32" t="s">
        <v>4</v>
      </c>
      <c r="E357" s="32" t="s">
        <v>521</v>
      </c>
      <c r="F357" s="32" cm="1">
        <f t="array" aca="1" ref="F357" ca="1">IF(Table3[[#This Row],[Stage]]="Closed",0,IF(IFERROR(
  IF(
    COUNTIF(A$2:A$1997, A357) &gt; 1,
    MIN(IF(A$2:A$1997=A357, IF(B$2:B$1997&gt;B357, B$2:B$1997))) - B357,
    TODAY() - Table3[[#This Row],[Date of Update]]
  ),
  TODAY()-Table3[[#This Row],[Date of Update]]
)&lt;=0,
TODAY()-Table3[[#This Row],[Date of Update]],
IFERROR(
  IF(
    COUNTIF(A$2:A$1997, A357) &gt; 1,
    MIN(IF(A$2:A$1997=A357, IF(B$2:B$1997&gt;B357, B$2:B$1997))) - B357,
    TODAY() - Table3[[#This Row],[Date of Update]]
  ),
  TODAY()-Table3[[#This Row],[Date of Update]]
)))</f>
        <v>0</v>
      </c>
      <c r="G357" s="40">
        <f>IF(Table3[[#This Row],[Stage]]="Closed",Table3[[#This Row],[Date of Update]]-(_xlfn.MINIFS(Table3[Date of Update],Table3[Ref], Table3[[#This Row],[Ref]])),"")</f>
        <v>14</v>
      </c>
    </row>
    <row r="358" spans="1:7" x14ac:dyDescent="0.25">
      <c r="A358" s="39" t="s">
        <v>1215</v>
      </c>
      <c r="B358" s="33">
        <v>44946</v>
      </c>
      <c r="C358" s="32" t="s">
        <v>169</v>
      </c>
      <c r="D358" s="32" t="s">
        <v>4</v>
      </c>
      <c r="E358" s="32" t="s">
        <v>514</v>
      </c>
      <c r="F358" s="32" cm="1">
        <f t="array" aca="1" ref="F358" ca="1">IF(Table3[[#This Row],[Stage]]="Closed",0,IF(IFERROR(
  IF(
    COUNTIF(A$2:A$1997, A358) &gt; 1,
    MIN(IF(A$2:A$1997=A358, IF(B$2:B$1997&gt;B358, B$2:B$1997))) - B358,
    TODAY() - Table3[[#This Row],[Date of Update]]
  ),
  TODAY()-Table3[[#This Row],[Date of Update]]
)&lt;=0,
TODAY()-Table3[[#This Row],[Date of Update]],
IFERROR(
  IF(
    COUNTIF(A$2:A$1997, A358) &gt; 1,
    MIN(IF(A$2:A$1997=A358, IF(B$2:B$1997&gt;B358, B$2:B$1997))) - B358,
    TODAY() - Table3[[#This Row],[Date of Update]]
  ),
  TODAY()-Table3[[#This Row],[Date of Update]]
)))</f>
        <v>0</v>
      </c>
      <c r="G358" s="40">
        <f>IF(Table3[[#This Row],[Stage]]="Closed",Table3[[#This Row],[Date of Update]]-(_xlfn.MINIFS(Table3[Date of Update],Table3[Ref], Table3[[#This Row],[Ref]])),"")</f>
        <v>58</v>
      </c>
    </row>
    <row r="359" spans="1:7" x14ac:dyDescent="0.25">
      <c r="A359" s="39" t="s">
        <v>1216</v>
      </c>
      <c r="B359" s="33">
        <v>44946</v>
      </c>
      <c r="C359" s="32" t="s">
        <v>169</v>
      </c>
      <c r="D359" s="32" t="s">
        <v>4</v>
      </c>
      <c r="E359" s="32" t="s">
        <v>516</v>
      </c>
      <c r="F359" s="32" cm="1">
        <f t="array" aca="1" ref="F359" ca="1">IF(Table3[[#This Row],[Stage]]="Closed",0,IF(IFERROR(
  IF(
    COUNTIF(A$2:A$1997, A359) &gt; 1,
    MIN(IF(A$2:A$1997=A359, IF(B$2:B$1997&gt;B359, B$2:B$1997))) - B359,
    TODAY() - Table3[[#This Row],[Date of Update]]
  ),
  TODAY()-Table3[[#This Row],[Date of Update]]
)&lt;=0,
TODAY()-Table3[[#This Row],[Date of Update]],
IFERROR(
  IF(
    COUNTIF(A$2:A$1997, A359) &gt; 1,
    MIN(IF(A$2:A$1997=A359, IF(B$2:B$1997&gt;B359, B$2:B$1997))) - B359,
    TODAY() - Table3[[#This Row],[Date of Update]]
  ),
  TODAY()-Table3[[#This Row],[Date of Update]]
)))</f>
        <v>0</v>
      </c>
      <c r="G359" s="40">
        <f>IF(Table3[[#This Row],[Stage]]="Closed",Table3[[#This Row],[Date of Update]]-(_xlfn.MINIFS(Table3[Date of Update],Table3[Ref], Table3[[#This Row],[Ref]])),"")</f>
        <v>10</v>
      </c>
    </row>
    <row r="360" spans="1:7" x14ac:dyDescent="0.25">
      <c r="A360" s="39" t="s">
        <v>1237</v>
      </c>
      <c r="B360" s="33">
        <v>44949</v>
      </c>
      <c r="C360" s="32" t="s">
        <v>169</v>
      </c>
      <c r="D360" s="32" t="s">
        <v>4</v>
      </c>
      <c r="E360" s="32" t="s">
        <v>521</v>
      </c>
      <c r="F360" s="32" cm="1">
        <f t="array" aca="1" ref="F360" ca="1">IF(Table3[[#This Row],[Stage]]="Closed",0,IF(IFERROR(
  IF(
    COUNTIF(A$2:A$1997, A360) &gt; 1,
    MIN(IF(A$2:A$1997=A360, IF(B$2:B$1997&gt;B360, B$2:B$1997))) - B360,
    TODAY() - Table3[[#This Row],[Date of Update]]
  ),
  TODAY()-Table3[[#This Row],[Date of Update]]
)&lt;=0,
TODAY()-Table3[[#This Row],[Date of Update]],
IFERROR(
  IF(
    COUNTIF(A$2:A$1997, A360) &gt; 1,
    MIN(IF(A$2:A$1997=A360, IF(B$2:B$1997&gt;B360, B$2:B$1997))) - B360,
    TODAY() - Table3[[#This Row],[Date of Update]]
  ),
  TODAY()-Table3[[#This Row],[Date of Update]]
)))</f>
        <v>0</v>
      </c>
      <c r="G360" s="40">
        <f>IF(Table3[[#This Row],[Stage]]="Closed",Table3[[#This Row],[Date of Update]]-(_xlfn.MINIFS(Table3[Date of Update],Table3[Ref], Table3[[#This Row],[Ref]])),"")</f>
        <v>12</v>
      </c>
    </row>
    <row r="361" spans="1:7" x14ac:dyDescent="0.25">
      <c r="A361" s="39" t="s">
        <v>1238</v>
      </c>
      <c r="B361" s="33">
        <v>44949</v>
      </c>
      <c r="C361" s="32" t="s">
        <v>169</v>
      </c>
      <c r="D361" s="32" t="s">
        <v>4</v>
      </c>
      <c r="E361" s="32" t="s">
        <v>521</v>
      </c>
      <c r="F361" s="32" cm="1">
        <f t="array" aca="1" ref="F361" ca="1">IF(Table3[[#This Row],[Stage]]="Closed",0,IF(IFERROR(
  IF(
    COUNTIF(A$2:A$1997, A361) &gt; 1,
    MIN(IF(A$2:A$1997=A361, IF(B$2:B$1997&gt;B361, B$2:B$1997))) - B361,
    TODAY() - Table3[[#This Row],[Date of Update]]
  ),
  TODAY()-Table3[[#This Row],[Date of Update]]
)&lt;=0,
TODAY()-Table3[[#This Row],[Date of Update]],
IFERROR(
  IF(
    COUNTIF(A$2:A$1997, A361) &gt; 1,
    MIN(IF(A$2:A$1997=A361, IF(B$2:B$1997&gt;B361, B$2:B$1997))) - B361,
    TODAY() - Table3[[#This Row],[Date of Update]]
  ),
  TODAY()-Table3[[#This Row],[Date of Update]]
)))</f>
        <v>0</v>
      </c>
      <c r="G361" s="40">
        <f>IF(Table3[[#This Row],[Stage]]="Closed",Table3[[#This Row],[Date of Update]]-(_xlfn.MINIFS(Table3[Date of Update],Table3[Ref], Table3[[#This Row],[Ref]])),"")</f>
        <v>12</v>
      </c>
    </row>
    <row r="362" spans="1:7" x14ac:dyDescent="0.25">
      <c r="A362" s="39" t="s">
        <v>1240</v>
      </c>
      <c r="B362" s="33">
        <v>44949</v>
      </c>
      <c r="C362" s="32" t="s">
        <v>169</v>
      </c>
      <c r="D362" s="32" t="s">
        <v>4</v>
      </c>
      <c r="E362" s="32" t="s">
        <v>521</v>
      </c>
      <c r="F362" s="32" cm="1">
        <f t="array" aca="1" ref="F362" ca="1">IF(Table3[[#This Row],[Stage]]="Closed",0,IF(IFERROR(
  IF(
    COUNTIF(A$2:A$1997, A362) &gt; 1,
    MIN(IF(A$2:A$1997=A362, IF(B$2:B$1997&gt;B362, B$2:B$1997))) - B362,
    TODAY() - Table3[[#This Row],[Date of Update]]
  ),
  TODAY()-Table3[[#This Row],[Date of Update]]
)&lt;=0,
TODAY()-Table3[[#This Row],[Date of Update]],
IFERROR(
  IF(
    COUNTIF(A$2:A$1997, A362) &gt; 1,
    MIN(IF(A$2:A$1997=A362, IF(B$2:B$1997&gt;B362, B$2:B$1997))) - B362,
    TODAY() - Table3[[#This Row],[Date of Update]]
  ),
  TODAY()-Table3[[#This Row],[Date of Update]]
)))</f>
        <v>0</v>
      </c>
      <c r="G362" s="40">
        <f>IF(Table3[[#This Row],[Stage]]="Closed",Table3[[#This Row],[Date of Update]]-(_xlfn.MINIFS(Table3[Date of Update],Table3[Ref], Table3[[#This Row],[Ref]])),"")</f>
        <v>7</v>
      </c>
    </row>
    <row r="363" spans="1:7" x14ac:dyDescent="0.25">
      <c r="A363" s="39" t="s">
        <v>1232</v>
      </c>
      <c r="B363" s="33">
        <v>44949</v>
      </c>
      <c r="C363" s="32" t="s">
        <v>169</v>
      </c>
      <c r="D363" s="32" t="s">
        <v>4</v>
      </c>
      <c r="E363" s="32" t="s">
        <v>521</v>
      </c>
      <c r="F363" s="32" cm="1">
        <f t="array" aca="1" ref="F363" ca="1">IF(Table3[[#This Row],[Stage]]="Closed",0,IF(IFERROR(
  IF(
    COUNTIF(A$2:A$1997, A363) &gt; 1,
    MIN(IF(A$2:A$1997=A363, IF(B$2:B$1997&gt;B363, B$2:B$1997))) - B363,
    TODAY() - Table3[[#This Row],[Date of Update]]
  ),
  TODAY()-Table3[[#This Row],[Date of Update]]
)&lt;=0,
TODAY()-Table3[[#This Row],[Date of Update]],
IFERROR(
  IF(
    COUNTIF(A$2:A$1997, A363) &gt; 1,
    MIN(IF(A$2:A$1997=A363, IF(B$2:B$1997&gt;B363, B$2:B$1997))) - B363,
    TODAY() - Table3[[#This Row],[Date of Update]]
  ),
  TODAY()-Table3[[#This Row],[Date of Update]]
)))</f>
        <v>0</v>
      </c>
      <c r="G363" s="40">
        <f>IF(Table3[[#This Row],[Stage]]="Closed",Table3[[#This Row],[Date of Update]]-(_xlfn.MINIFS(Table3[Date of Update],Table3[Ref], Table3[[#This Row],[Ref]])),"")</f>
        <v>20</v>
      </c>
    </row>
    <row r="364" spans="1:7" x14ac:dyDescent="0.25">
      <c r="A364" s="39" t="s">
        <v>1325</v>
      </c>
      <c r="B364" s="33">
        <v>44951</v>
      </c>
      <c r="C364" s="32" t="s">
        <v>23</v>
      </c>
      <c r="D364" s="32" t="s">
        <v>4</v>
      </c>
      <c r="E364" s="32" t="s">
        <v>745</v>
      </c>
      <c r="F364" s="32" cm="1">
        <f t="array" aca="1" ref="F364" ca="1">IF(Table3[[#This Row],[Stage]]="Closed",0,IF(IFERROR(
  IF(
    COUNTIF(A$2:A$1997, A364) &gt; 1,
    MIN(IF(A$2:A$1997=A364, IF(B$2:B$1997&gt;B364, B$2:B$1997))) - B364,
    TODAY() - Table3[[#This Row],[Date of Update]]
  ),
  TODAY()-Table3[[#This Row],[Date of Update]]
)&lt;=0,
TODAY()-Table3[[#This Row],[Date of Update]],
IFERROR(
  IF(
    COUNTIF(A$2:A$1997, A364) &gt; 1,
    MIN(IF(A$2:A$1997=A364, IF(B$2:B$1997&gt;B364, B$2:B$1997))) - B364,
    TODAY() - Table3[[#This Row],[Date of Update]]
  ),
  TODAY()-Table3[[#This Row],[Date of Update]]
)))</f>
        <v>148</v>
      </c>
      <c r="G364" s="40" t="str">
        <f>IF(Table3[[#This Row],[Stage]]="Closed",Table3[[#This Row],[Date of Update]]-(_xlfn.MINIFS(Table3[Date of Update],Table3[Ref], Table3[[#This Row],[Ref]])),"")</f>
        <v/>
      </c>
    </row>
    <row r="365" spans="1:7" x14ac:dyDescent="0.25">
      <c r="A365" s="39" t="s">
        <v>1256</v>
      </c>
      <c r="B365" s="33">
        <v>44951</v>
      </c>
      <c r="C365" s="32" t="s">
        <v>23</v>
      </c>
      <c r="D365" s="32" t="s">
        <v>4</v>
      </c>
      <c r="E365" s="32" t="s">
        <v>622</v>
      </c>
      <c r="F365" s="32" cm="1">
        <f t="array" aca="1" ref="F365" ca="1">IF(Table3[[#This Row],[Stage]]="Closed",0,IF(IFERROR(
  IF(
    COUNTIF(A$2:A$1997, A365) &gt; 1,
    MIN(IF(A$2:A$1997=A365, IF(B$2:B$1997&gt;B365, B$2:B$1997))) - B365,
    TODAY() - Table3[[#This Row],[Date of Update]]
  ),
  TODAY()-Table3[[#This Row],[Date of Update]]
)&lt;=0,
TODAY()-Table3[[#This Row],[Date of Update]],
IFERROR(
  IF(
    COUNTIF(A$2:A$1997, A365) &gt; 1,
    MIN(IF(A$2:A$1997=A365, IF(B$2:B$1997&gt;B365, B$2:B$1997))) - B365,
    TODAY() - Table3[[#This Row],[Date of Update]]
  ),
  TODAY()-Table3[[#This Row],[Date of Update]]
)))</f>
        <v>36</v>
      </c>
      <c r="G365" s="40" t="str">
        <f>IF(Table3[[#This Row],[Stage]]="Closed",Table3[[#This Row],[Date of Update]]-(_xlfn.MINIFS(Table3[Date of Update],Table3[Ref], Table3[[#This Row],[Ref]])),"")</f>
        <v/>
      </c>
    </row>
    <row r="366" spans="1:7" x14ac:dyDescent="0.25">
      <c r="A366" s="39" t="s">
        <v>1252</v>
      </c>
      <c r="B366" s="33">
        <v>44951</v>
      </c>
      <c r="C366" s="32" t="s">
        <v>23</v>
      </c>
      <c r="D366" s="32" t="s">
        <v>4</v>
      </c>
      <c r="E366" s="32" t="s">
        <v>605</v>
      </c>
      <c r="F366" s="32" cm="1">
        <f t="array" aca="1" ref="F366" ca="1">IF(Table3[[#This Row],[Stage]]="Closed",0,IF(IFERROR(
  IF(
    COUNTIF(A$2:A$1997, A366) &gt; 1,
    MIN(IF(A$2:A$1997=A366, IF(B$2:B$1997&gt;B366, B$2:B$1997))) - B366,
    TODAY() - Table3[[#This Row],[Date of Update]]
  ),
  TODAY()-Table3[[#This Row],[Date of Update]]
)&lt;=0,
TODAY()-Table3[[#This Row],[Date of Update]],
IFERROR(
  IF(
    COUNTIF(A$2:A$1997, A366) &gt; 1,
    MIN(IF(A$2:A$1997=A366, IF(B$2:B$1997&gt;B366, B$2:B$1997))) - B366,
    TODAY() - Table3[[#This Row],[Date of Update]]
  ),
  TODAY()-Table3[[#This Row],[Date of Update]]
)))</f>
        <v>30</v>
      </c>
      <c r="G366" s="40" t="str">
        <f>IF(Table3[[#This Row],[Stage]]="Closed",Table3[[#This Row],[Date of Update]]-(_xlfn.MINIFS(Table3[Date of Update],Table3[Ref], Table3[[#This Row],[Ref]])),"")</f>
        <v/>
      </c>
    </row>
    <row r="367" spans="1:7" x14ac:dyDescent="0.25">
      <c r="A367" s="39" t="s">
        <v>1255</v>
      </c>
      <c r="B367" s="33">
        <v>44951</v>
      </c>
      <c r="C367" s="32" t="s">
        <v>23</v>
      </c>
      <c r="D367" s="32" t="s">
        <v>4</v>
      </c>
      <c r="E367" s="32" t="s">
        <v>617</v>
      </c>
      <c r="F367" s="32" cm="1">
        <f t="array" aca="1" ref="F367" ca="1">IF(Table3[[#This Row],[Stage]]="Closed",0,IF(IFERROR(
  IF(
    COUNTIF(A$2:A$1997, A367) &gt; 1,
    MIN(IF(A$2:A$1997=A367, IF(B$2:B$1997&gt;B367, B$2:B$1997))) - B367,
    TODAY() - Table3[[#This Row],[Date of Update]]
  ),
  TODAY()-Table3[[#This Row],[Date of Update]]
)&lt;=0,
TODAY()-Table3[[#This Row],[Date of Update]],
IFERROR(
  IF(
    COUNTIF(A$2:A$1997, A367) &gt; 1,
    MIN(IF(A$2:A$1997=A367, IF(B$2:B$1997&gt;B367, B$2:B$1997))) - B367,
    TODAY() - Table3[[#This Row],[Date of Update]]
  ),
  TODAY()-Table3[[#This Row],[Date of Update]]
)))</f>
        <v>31</v>
      </c>
      <c r="G367" s="40" t="str">
        <f>IF(Table3[[#This Row],[Stage]]="Closed",Table3[[#This Row],[Date of Update]]-(_xlfn.MINIFS(Table3[Date of Update],Table3[Ref], Table3[[#This Row],[Ref]])),"")</f>
        <v/>
      </c>
    </row>
    <row r="368" spans="1:7" x14ac:dyDescent="0.25">
      <c r="A368" s="39" t="s">
        <v>1223</v>
      </c>
      <c r="B368" s="33">
        <v>44953</v>
      </c>
      <c r="C368" s="32" t="s">
        <v>169</v>
      </c>
      <c r="D368" s="32" t="s">
        <v>4</v>
      </c>
      <c r="E368" s="32" t="s">
        <v>535</v>
      </c>
      <c r="F368" s="32" cm="1">
        <f t="array" aca="1" ref="F368" ca="1">IF(Table3[[#This Row],[Stage]]="Closed",0,IF(IFERROR(
  IF(
    COUNTIF(A$2:A$1997, A368) &gt; 1,
    MIN(IF(A$2:A$1997=A368, IF(B$2:B$1997&gt;B368, B$2:B$1997))) - B368,
    TODAY() - Table3[[#This Row],[Date of Update]]
  ),
  TODAY()-Table3[[#This Row],[Date of Update]]
)&lt;=0,
TODAY()-Table3[[#This Row],[Date of Update]],
IFERROR(
  IF(
    COUNTIF(A$2:A$1997, A368) &gt; 1,
    MIN(IF(A$2:A$1997=A368, IF(B$2:B$1997&gt;B368, B$2:B$1997))) - B368,
    TODAY() - Table3[[#This Row],[Date of Update]]
  ),
  TODAY()-Table3[[#This Row],[Date of Update]]
)))</f>
        <v>0</v>
      </c>
      <c r="G368" s="40">
        <f>IF(Table3[[#This Row],[Stage]]="Closed",Table3[[#This Row],[Date of Update]]-(_xlfn.MINIFS(Table3[Date of Update],Table3[Ref], Table3[[#This Row],[Ref]])),"")</f>
        <v>17</v>
      </c>
    </row>
    <row r="369" spans="1:7" x14ac:dyDescent="0.25">
      <c r="A369" s="39" t="s">
        <v>1222</v>
      </c>
      <c r="B369" s="33">
        <v>44953</v>
      </c>
      <c r="C369" s="32" t="s">
        <v>169</v>
      </c>
      <c r="D369" s="32" t="s">
        <v>4</v>
      </c>
      <c r="E369" s="32" t="s">
        <v>531</v>
      </c>
      <c r="F369" s="32" cm="1">
        <f t="array" aca="1" ref="F369" ca="1">IF(Table3[[#This Row],[Stage]]="Closed",0,IF(IFERROR(
  IF(
    COUNTIF(A$2:A$1997, A369) &gt; 1,
    MIN(IF(A$2:A$1997=A369, IF(B$2:B$1997&gt;B369, B$2:B$1997))) - B369,
    TODAY() - Table3[[#This Row],[Date of Update]]
  ),
  TODAY()-Table3[[#This Row],[Date of Update]]
)&lt;=0,
TODAY()-Table3[[#This Row],[Date of Update]],
IFERROR(
  IF(
    COUNTIF(A$2:A$1997, A369) &gt; 1,
    MIN(IF(A$2:A$1997=A369, IF(B$2:B$1997&gt;B369, B$2:B$1997))) - B369,
    TODAY() - Table3[[#This Row],[Date of Update]]
  ),
  TODAY()-Table3[[#This Row],[Date of Update]]
)))</f>
        <v>0</v>
      </c>
      <c r="G369" s="40">
        <f>IF(Table3[[#This Row],[Stage]]="Closed",Table3[[#This Row],[Date of Update]]-(_xlfn.MINIFS(Table3[Date of Update],Table3[Ref], Table3[[#This Row],[Ref]])),"")</f>
        <v>24</v>
      </c>
    </row>
    <row r="370" spans="1:7" x14ac:dyDescent="0.25">
      <c r="A370" s="39" t="s">
        <v>1299</v>
      </c>
      <c r="B370" s="33">
        <v>44953</v>
      </c>
      <c r="C370" s="32" t="s">
        <v>23</v>
      </c>
      <c r="D370" s="32" t="s">
        <v>4</v>
      </c>
      <c r="E370" s="32" t="s">
        <v>645</v>
      </c>
      <c r="F370" s="32" cm="1">
        <f t="array" aca="1" ref="F370" ca="1">IF(Table3[[#This Row],[Stage]]="Closed",0,IF(IFERROR(
  IF(
    COUNTIF(A$2:A$1997, A370) &gt; 1,
    MIN(IF(A$2:A$1997=A370, IF(B$2:B$1997&gt;B370, B$2:B$1997))) - B370,
    TODAY() - Table3[[#This Row],[Date of Update]]
  ),
  TODAY()-Table3[[#This Row],[Date of Update]]
)&lt;=0,
TODAY()-Table3[[#This Row],[Date of Update]],
IFERROR(
  IF(
    COUNTIF(A$2:A$1997, A370) &gt; 1,
    MIN(IF(A$2:A$1997=A370, IF(B$2:B$1997&gt;B370, B$2:B$1997))) - B370,
    TODAY() - Table3[[#This Row],[Date of Update]]
  ),
  TODAY()-Table3[[#This Row],[Date of Update]]
)))</f>
        <v>95</v>
      </c>
      <c r="G370" s="40" t="str">
        <f>IF(Table3[[#This Row],[Stage]]="Closed",Table3[[#This Row],[Date of Update]]-(_xlfn.MINIFS(Table3[Date of Update],Table3[Ref], Table3[[#This Row],[Ref]])),"")</f>
        <v/>
      </c>
    </row>
    <row r="371" spans="1:7" x14ac:dyDescent="0.25">
      <c r="A371" s="39" t="s">
        <v>1221</v>
      </c>
      <c r="B371" s="33">
        <v>44953</v>
      </c>
      <c r="C371" s="32" t="s">
        <v>169</v>
      </c>
      <c r="D371" s="32" t="s">
        <v>4</v>
      </c>
      <c r="E371" s="32" t="s">
        <v>528</v>
      </c>
      <c r="F371" s="32" cm="1">
        <f t="array" aca="1" ref="F371" ca="1">IF(Table3[[#This Row],[Stage]]="Closed",0,IF(IFERROR(
  IF(
    COUNTIF(A$2:A$1997, A371) &gt; 1,
    MIN(IF(A$2:A$1997=A371, IF(B$2:B$1997&gt;B371, B$2:B$1997))) - B371,
    TODAY() - Table3[[#This Row],[Date of Update]]
  ),
  TODAY()-Table3[[#This Row],[Date of Update]]
)&lt;=0,
TODAY()-Table3[[#This Row],[Date of Update]],
IFERROR(
  IF(
    COUNTIF(A$2:A$1997, A371) &gt; 1,
    MIN(IF(A$2:A$1997=A371, IF(B$2:B$1997&gt;B371, B$2:B$1997))) - B371,
    TODAY() - Table3[[#This Row],[Date of Update]]
  ),
  TODAY()-Table3[[#This Row],[Date of Update]]
)))</f>
        <v>0</v>
      </c>
      <c r="G371" s="40">
        <f>IF(Table3[[#This Row],[Stage]]="Closed",Table3[[#This Row],[Date of Update]]-(_xlfn.MINIFS(Table3[Date of Update],Table3[Ref], Table3[[#This Row],[Ref]])),"")</f>
        <v>184</v>
      </c>
    </row>
    <row r="372" spans="1:7" x14ac:dyDescent="0.25">
      <c r="A372" s="39" t="s">
        <v>1259</v>
      </c>
      <c r="B372" s="33">
        <v>44956</v>
      </c>
      <c r="C372" s="32" t="s">
        <v>23</v>
      </c>
      <c r="D372" s="32" t="s">
        <v>4</v>
      </c>
      <c r="E372" s="32" t="s">
        <v>521</v>
      </c>
      <c r="F372" s="32" cm="1">
        <f t="array" aca="1" ref="F372" ca="1">IF(Table3[[#This Row],[Stage]]="Closed",0,IF(IFERROR(
  IF(
    COUNTIF(A$2:A$1997, A372) &gt; 1,
    MIN(IF(A$2:A$1997=A372, IF(B$2:B$1997&gt;B372, B$2:B$1997))) - B372,
    TODAY() - Table3[[#This Row],[Date of Update]]
  ),
  TODAY()-Table3[[#This Row],[Date of Update]]
)&lt;=0,
TODAY()-Table3[[#This Row],[Date of Update]],
IFERROR(
  IF(
    COUNTIF(A$2:A$1997, A372) &gt; 1,
    MIN(IF(A$2:A$1997=A372, IF(B$2:B$1997&gt;B372, B$2:B$1997))) - B372,
    TODAY() - Table3[[#This Row],[Date of Update]]
  ),
  TODAY()-Table3[[#This Row],[Date of Update]]
)))</f>
        <v>4</v>
      </c>
      <c r="G372" s="40" t="str">
        <f>IF(Table3[[#This Row],[Stage]]="Closed",Table3[[#This Row],[Date of Update]]-(_xlfn.MINIFS(Table3[Date of Update],Table3[Ref], Table3[[#This Row],[Ref]])),"")</f>
        <v/>
      </c>
    </row>
    <row r="373" spans="1:7" x14ac:dyDescent="0.25">
      <c r="A373" s="39" t="s">
        <v>1284</v>
      </c>
      <c r="B373" s="33">
        <v>44958</v>
      </c>
      <c r="C373" s="32" t="s">
        <v>23</v>
      </c>
      <c r="D373" s="32" t="s">
        <v>4</v>
      </c>
      <c r="E373" s="32" t="s">
        <v>679</v>
      </c>
      <c r="F373" s="32" cm="1">
        <f t="array" aca="1" ref="F373" ca="1">IF(Table3[[#This Row],[Stage]]="Closed",0,IF(IFERROR(
  IF(
    COUNTIF(A$2:A$1997, A373) &gt; 1,
    MIN(IF(A$2:A$1997=A373, IF(B$2:B$1997&gt;B373, B$2:B$1997))) - B373,
    TODAY() - Table3[[#This Row],[Date of Update]]
  ),
  TODAY()-Table3[[#This Row],[Date of Update]]
)&lt;=0,
TODAY()-Table3[[#This Row],[Date of Update]],
IFERROR(
  IF(
    COUNTIF(A$2:A$1997, A373) &gt; 1,
    MIN(IF(A$2:A$1997=A373, IF(B$2:B$1997&gt;B373, B$2:B$1997))) - B373,
    TODAY() - Table3[[#This Row],[Date of Update]]
  ),
  TODAY()-Table3[[#This Row],[Date of Update]]
)))</f>
        <v>78</v>
      </c>
      <c r="G373" s="40" t="str">
        <f>IF(Table3[[#This Row],[Stage]]="Closed",Table3[[#This Row],[Date of Update]]-(_xlfn.MINIFS(Table3[Date of Update],Table3[Ref], Table3[[#This Row],[Ref]])),"")</f>
        <v/>
      </c>
    </row>
    <row r="374" spans="1:7" x14ac:dyDescent="0.25">
      <c r="A374" s="39" t="s">
        <v>1285</v>
      </c>
      <c r="B374" s="33">
        <v>44958</v>
      </c>
      <c r="C374" s="32" t="s">
        <v>23</v>
      </c>
      <c r="D374" s="32" t="s">
        <v>4</v>
      </c>
      <c r="E374" s="32" t="s">
        <v>531</v>
      </c>
      <c r="F374" s="32" cm="1">
        <f t="array" aca="1" ref="F374" ca="1">IF(Table3[[#This Row],[Stage]]="Closed",0,IF(IFERROR(
  IF(
    COUNTIF(A$2:A$1997, A374) &gt; 1,
    MIN(IF(A$2:A$1997=A374, IF(B$2:B$1997&gt;B374, B$2:B$1997))) - B374,
    TODAY() - Table3[[#This Row],[Date of Update]]
  ),
  TODAY()-Table3[[#This Row],[Date of Update]]
)&lt;=0,
TODAY()-Table3[[#This Row],[Date of Update]],
IFERROR(
  IF(
    COUNTIF(A$2:A$1997, A374) &gt; 1,
    MIN(IF(A$2:A$1997=A374, IF(B$2:B$1997&gt;B374, B$2:B$1997))) - B374,
    TODAY() - Table3[[#This Row],[Date of Update]]
  ),
  TODAY()-Table3[[#This Row],[Date of Update]]
)))</f>
        <v>78</v>
      </c>
      <c r="G374" s="40" t="str">
        <f>IF(Table3[[#This Row],[Stage]]="Closed",Table3[[#This Row],[Date of Update]]-(_xlfn.MINIFS(Table3[Date of Update],Table3[Ref], Table3[[#This Row],[Ref]])),"")</f>
        <v/>
      </c>
    </row>
    <row r="375" spans="1:7" x14ac:dyDescent="0.25">
      <c r="A375" s="39" t="s">
        <v>1224</v>
      </c>
      <c r="B375" s="33">
        <v>44960</v>
      </c>
      <c r="C375" s="32" t="s">
        <v>169</v>
      </c>
      <c r="D375" s="32" t="s">
        <v>4</v>
      </c>
      <c r="E375" s="32" t="s">
        <v>453</v>
      </c>
      <c r="F375" s="32" cm="1">
        <f t="array" aca="1" ref="F375" ca="1">IF(Table3[[#This Row],[Stage]]="Closed",0,IF(IFERROR(
  IF(
    COUNTIF(A$2:A$1997, A375) &gt; 1,
    MIN(IF(A$2:A$1997=A375, IF(B$2:B$1997&gt;B375, B$2:B$1997))) - B375,
    TODAY() - Table3[[#This Row],[Date of Update]]
  ),
  TODAY()-Table3[[#This Row],[Date of Update]]
)&lt;=0,
TODAY()-Table3[[#This Row],[Date of Update]],
IFERROR(
  IF(
    COUNTIF(A$2:A$1997, A375) &gt; 1,
    MIN(IF(A$2:A$1997=A375, IF(B$2:B$1997&gt;B375, B$2:B$1997))) - B375,
    TODAY() - Table3[[#This Row],[Date of Update]]
  ),
  TODAY()-Table3[[#This Row],[Date of Update]]
)))</f>
        <v>0</v>
      </c>
      <c r="G375" s="40">
        <f>IF(Table3[[#This Row],[Stage]]="Closed",Table3[[#This Row],[Date of Update]]-(_xlfn.MINIFS(Table3[Date of Update],Table3[Ref], Table3[[#This Row],[Ref]])),"")</f>
        <v>234</v>
      </c>
    </row>
    <row r="376" spans="1:7" x14ac:dyDescent="0.25">
      <c r="A376" s="39" t="s">
        <v>1227</v>
      </c>
      <c r="B376" s="33">
        <v>44960</v>
      </c>
      <c r="C376" s="32" t="s">
        <v>169</v>
      </c>
      <c r="D376" s="32" t="s">
        <v>4</v>
      </c>
      <c r="E376" s="32" t="s">
        <v>531</v>
      </c>
      <c r="F376" s="32" cm="1">
        <f t="array" aca="1" ref="F376" ca="1">IF(Table3[[#This Row],[Stage]]="Closed",0,IF(IFERROR(
  IF(
    COUNTIF(A$2:A$1997, A376) &gt; 1,
    MIN(IF(A$2:A$1997=A376, IF(B$2:B$1997&gt;B376, B$2:B$1997))) - B376,
    TODAY() - Table3[[#This Row],[Date of Update]]
  ),
  TODAY()-Table3[[#This Row],[Date of Update]]
)&lt;=0,
TODAY()-Table3[[#This Row],[Date of Update]],
IFERROR(
  IF(
    COUNTIF(A$2:A$1997, A376) &gt; 1,
    MIN(IF(A$2:A$1997=A376, IF(B$2:B$1997&gt;B376, B$2:B$1997))) - B376,
    TODAY() - Table3[[#This Row],[Date of Update]]
  ),
  TODAY()-Table3[[#This Row],[Date of Update]]
)))</f>
        <v>0</v>
      </c>
      <c r="G376" s="40">
        <f>IF(Table3[[#This Row],[Stage]]="Closed",Table3[[#This Row],[Date of Update]]-(_xlfn.MINIFS(Table3[Date of Update],Table3[Ref], Table3[[#This Row],[Ref]])),"")</f>
        <v>17</v>
      </c>
    </row>
    <row r="377" spans="1:7" x14ac:dyDescent="0.25">
      <c r="A377" s="39" t="s">
        <v>1225</v>
      </c>
      <c r="B377" s="33">
        <v>44960</v>
      </c>
      <c r="C377" s="32" t="s">
        <v>169</v>
      </c>
      <c r="D377" s="32" t="s">
        <v>4</v>
      </c>
      <c r="E377" s="32" t="s">
        <v>453</v>
      </c>
      <c r="F377" s="32" cm="1">
        <f t="array" aca="1" ref="F377" ca="1">IF(Table3[[#This Row],[Stage]]="Closed",0,IF(IFERROR(
  IF(
    COUNTIF(A$2:A$1997, A377) &gt; 1,
    MIN(IF(A$2:A$1997=A377, IF(B$2:B$1997&gt;B377, B$2:B$1997))) - B377,
    TODAY() - Table3[[#This Row],[Date of Update]]
  ),
  TODAY()-Table3[[#This Row],[Date of Update]]
)&lt;=0,
TODAY()-Table3[[#This Row],[Date of Update]],
IFERROR(
  IF(
    COUNTIF(A$2:A$1997, A377) &gt; 1,
    MIN(IF(A$2:A$1997=A377, IF(B$2:B$1997&gt;B377, B$2:B$1997))) - B377,
    TODAY() - Table3[[#This Row],[Date of Update]]
  ),
  TODAY()-Table3[[#This Row],[Date of Update]]
)))</f>
        <v>0</v>
      </c>
      <c r="G377" s="40">
        <f>IF(Table3[[#This Row],[Stage]]="Closed",Table3[[#This Row],[Date of Update]]-(_xlfn.MINIFS(Table3[Date of Update],Table3[Ref], Table3[[#This Row],[Ref]])),"")</f>
        <v>31</v>
      </c>
    </row>
    <row r="378" spans="1:7" x14ac:dyDescent="0.25">
      <c r="A378" s="39" t="s">
        <v>1226</v>
      </c>
      <c r="B378" s="33">
        <v>44960</v>
      </c>
      <c r="C378" s="32" t="s">
        <v>169</v>
      </c>
      <c r="D378" s="32" t="s">
        <v>4</v>
      </c>
      <c r="E378" s="32" t="s">
        <v>543</v>
      </c>
      <c r="F378" s="32" cm="1">
        <f t="array" aca="1" ref="F378" ca="1">IF(Table3[[#This Row],[Stage]]="Closed",0,IF(IFERROR(
  IF(
    COUNTIF(A$2:A$1997, A378) &gt; 1,
    MIN(IF(A$2:A$1997=A378, IF(B$2:B$1997&gt;B378, B$2:B$1997))) - B378,
    TODAY() - Table3[[#This Row],[Date of Update]]
  ),
  TODAY()-Table3[[#This Row],[Date of Update]]
)&lt;=0,
TODAY()-Table3[[#This Row],[Date of Update]],
IFERROR(
  IF(
    COUNTIF(A$2:A$1997, A378) &gt; 1,
    MIN(IF(A$2:A$1997=A378, IF(B$2:B$1997&gt;B378, B$2:B$1997))) - B378,
    TODAY() - Table3[[#This Row],[Date of Update]]
  ),
  TODAY()-Table3[[#This Row],[Date of Update]]
)))</f>
        <v>0</v>
      </c>
      <c r="G378" s="40">
        <f>IF(Table3[[#This Row],[Stage]]="Closed",Table3[[#This Row],[Date of Update]]-(_xlfn.MINIFS(Table3[Date of Update],Table3[Ref], Table3[[#This Row],[Ref]])),"")</f>
        <v>23</v>
      </c>
    </row>
    <row r="379" spans="1:7" x14ac:dyDescent="0.25">
      <c r="A379" s="39" t="s">
        <v>1260</v>
      </c>
      <c r="B379" s="33">
        <v>44960</v>
      </c>
      <c r="C379" s="32" t="s">
        <v>23</v>
      </c>
      <c r="D379" s="32" t="s">
        <v>4</v>
      </c>
      <c r="E379" s="32" t="s">
        <v>500</v>
      </c>
      <c r="F379" s="32" cm="1">
        <f t="array" aca="1" ref="F379" ca="1">IF(Table3[[#This Row],[Stage]]="Closed",0,IF(IFERROR(
  IF(
    COUNTIF(A$2:A$1997, A379) &gt; 1,
    MIN(IF(A$2:A$1997=A379, IF(B$2:B$1997&gt;B379, B$2:B$1997))) - B379,
    TODAY() - Table3[[#This Row],[Date of Update]]
  ),
  TODAY()-Table3[[#This Row],[Date of Update]]
)&lt;=0,
TODAY()-Table3[[#This Row],[Date of Update]],
IFERROR(
  IF(
    COUNTIF(A$2:A$1997, A379) &gt; 1,
    MIN(IF(A$2:A$1997=A379, IF(B$2:B$1997&gt;B379, B$2:B$1997))) - B379,
    TODAY() - Table3[[#This Row],[Date of Update]]
  ),
  TODAY()-Table3[[#This Row],[Date of Update]]
)))</f>
        <v>13</v>
      </c>
      <c r="G379" s="40" t="str">
        <f>IF(Table3[[#This Row],[Stage]]="Closed",Table3[[#This Row],[Date of Update]]-(_xlfn.MINIFS(Table3[Date of Update],Table3[Ref], Table3[[#This Row],[Ref]])),"")</f>
        <v/>
      </c>
    </row>
    <row r="380" spans="1:7" x14ac:dyDescent="0.25">
      <c r="A380" s="39" t="s">
        <v>1259</v>
      </c>
      <c r="B380" s="33">
        <v>44960</v>
      </c>
      <c r="C380" s="32" t="s">
        <v>169</v>
      </c>
      <c r="D380" s="32" t="s">
        <v>4</v>
      </c>
      <c r="E380" s="32" t="s">
        <v>521</v>
      </c>
      <c r="F380" s="32" cm="1">
        <f t="array" aca="1" ref="F380" ca="1">IF(Table3[[#This Row],[Stage]]="Closed",0,IF(IFERROR(
  IF(
    COUNTIF(A$2:A$1997, A380) &gt; 1,
    MIN(IF(A$2:A$1997=A380, IF(B$2:B$1997&gt;B380, B$2:B$1997))) - B380,
    TODAY() - Table3[[#This Row],[Date of Update]]
  ),
  TODAY()-Table3[[#This Row],[Date of Update]]
)&lt;=0,
TODAY()-Table3[[#This Row],[Date of Update]],
IFERROR(
  IF(
    COUNTIF(A$2:A$1997, A380) &gt; 1,
    MIN(IF(A$2:A$1997=A380, IF(B$2:B$1997&gt;B380, B$2:B$1997))) - B380,
    TODAY() - Table3[[#This Row],[Date of Update]]
  ),
  TODAY()-Table3[[#This Row],[Date of Update]]
)))</f>
        <v>0</v>
      </c>
      <c r="G380" s="40">
        <f>IF(Table3[[#This Row],[Stage]]="Closed",Table3[[#This Row],[Date of Update]]-(_xlfn.MINIFS(Table3[Date of Update],Table3[Ref], Table3[[#This Row],[Ref]])),"")</f>
        <v>4</v>
      </c>
    </row>
    <row r="381" spans="1:7" x14ac:dyDescent="0.25">
      <c r="A381" s="39" t="s">
        <v>1367</v>
      </c>
      <c r="B381" s="33">
        <v>44961</v>
      </c>
      <c r="C381" s="32" t="s">
        <v>23</v>
      </c>
      <c r="D381" s="32" t="s">
        <v>4</v>
      </c>
      <c r="E381" s="32" t="s">
        <v>453</v>
      </c>
      <c r="F381" s="32" cm="1">
        <f t="array" aca="1" ref="F381" ca="1">IF(Table3[[#This Row],[Stage]]="Closed",0,IF(IFERROR(
  IF(
    COUNTIF(A$2:A$1997, A381) &gt; 1,
    MIN(IF(A$2:A$1997=A381, IF(B$2:B$1997&gt;B381, B$2:B$1997))) - B381,
    TODAY() - Table3[[#This Row],[Date of Update]]
  ),
  TODAY()-Table3[[#This Row],[Date of Update]]
)&lt;=0,
TODAY()-Table3[[#This Row],[Date of Update]],
IFERROR(
  IF(
    COUNTIF(A$2:A$1997, A381) &gt; 1,
    MIN(IF(A$2:A$1997=A381, IF(B$2:B$1997&gt;B381, B$2:B$1997))) - B381,
    TODAY() - Table3[[#This Row],[Date of Update]]
  ),
  TODAY()-Table3[[#This Row],[Date of Update]]
)))</f>
        <v>209</v>
      </c>
      <c r="G381" s="40" t="str">
        <f>IF(Table3[[#This Row],[Stage]]="Closed",Table3[[#This Row],[Date of Update]]-(_xlfn.MINIFS(Table3[Date of Update],Table3[Ref], Table3[[#This Row],[Ref]])),"")</f>
        <v/>
      </c>
    </row>
    <row r="382" spans="1:7" x14ac:dyDescent="0.25">
      <c r="A382" s="39" t="s">
        <v>1261</v>
      </c>
      <c r="B382" s="33">
        <v>44965</v>
      </c>
      <c r="C382" s="32" t="s">
        <v>23</v>
      </c>
      <c r="D382" s="32" t="s">
        <v>4</v>
      </c>
      <c r="E382" s="32" t="s">
        <v>521</v>
      </c>
      <c r="F382" s="32" cm="1">
        <f t="array" aca="1" ref="F382" ca="1">IF(Table3[[#This Row],[Stage]]="Closed",0,IF(IFERROR(
  IF(
    COUNTIF(A$2:A$1997, A382) &gt; 1,
    MIN(IF(A$2:A$1997=A382, IF(B$2:B$1997&gt;B382, B$2:B$1997))) - B382,
    TODAY() - Table3[[#This Row],[Date of Update]]
  ),
  TODAY()-Table3[[#This Row],[Date of Update]]
)&lt;=0,
TODAY()-Table3[[#This Row],[Date of Update]],
IFERROR(
  IF(
    COUNTIF(A$2:A$1997, A382) &gt; 1,
    MIN(IF(A$2:A$1997=A382, IF(B$2:B$1997&gt;B382, B$2:B$1997))) - B382,
    TODAY() - Table3[[#This Row],[Date of Update]]
  ),
  TODAY()-Table3[[#This Row],[Date of Update]]
)))</f>
        <v>6</v>
      </c>
      <c r="G382" s="40" t="str">
        <f>IF(Table3[[#This Row],[Stage]]="Closed",Table3[[#This Row],[Date of Update]]-(_xlfn.MINIFS(Table3[Date of Update],Table3[Ref], Table3[[#This Row],[Ref]])),"")</f>
        <v/>
      </c>
    </row>
    <row r="383" spans="1:7" x14ac:dyDescent="0.25">
      <c r="A383" s="39" t="s">
        <v>1262</v>
      </c>
      <c r="B383" s="33">
        <v>44965</v>
      </c>
      <c r="C383" s="32" t="s">
        <v>23</v>
      </c>
      <c r="D383" s="32" t="s">
        <v>4</v>
      </c>
      <c r="E383" s="32" t="s">
        <v>521</v>
      </c>
      <c r="F383" s="32" cm="1">
        <f t="array" aca="1" ref="F383" ca="1">IF(Table3[[#This Row],[Stage]]="Closed",0,IF(IFERROR(
  IF(
    COUNTIF(A$2:A$1997, A383) &gt; 1,
    MIN(IF(A$2:A$1997=A383, IF(B$2:B$1997&gt;B383, B$2:B$1997))) - B383,
    TODAY() - Table3[[#This Row],[Date of Update]]
  ),
  TODAY()-Table3[[#This Row],[Date of Update]]
)&lt;=0,
TODAY()-Table3[[#This Row],[Date of Update]],
IFERROR(
  IF(
    COUNTIF(A$2:A$1997, A383) &gt; 1,
    MIN(IF(A$2:A$1997=A383, IF(B$2:B$1997&gt;B383, B$2:B$1997))) - B383,
    TODAY() - Table3[[#This Row],[Date of Update]]
  ),
  TODAY()-Table3[[#This Row],[Date of Update]]
)))</f>
        <v>6</v>
      </c>
      <c r="G383" s="40" t="str">
        <f>IF(Table3[[#This Row],[Stage]]="Closed",Table3[[#This Row],[Date of Update]]-(_xlfn.MINIFS(Table3[Date of Update],Table3[Ref], Table3[[#This Row],[Ref]])),"")</f>
        <v/>
      </c>
    </row>
    <row r="384" spans="1:7" x14ac:dyDescent="0.25">
      <c r="A384" s="39" t="s">
        <v>1273</v>
      </c>
      <c r="B384" s="33">
        <v>44965</v>
      </c>
      <c r="C384" s="32" t="s">
        <v>23</v>
      </c>
      <c r="D384" s="32" t="s">
        <v>4</v>
      </c>
      <c r="E384" s="32" t="s">
        <v>500</v>
      </c>
      <c r="F384" s="32" cm="1">
        <f t="array" aca="1" ref="F384" ca="1">IF(Table3[[#This Row],[Stage]]="Closed",0,IF(IFERROR(
  IF(
    COUNTIF(A$2:A$1997, A384) &gt; 1,
    MIN(IF(A$2:A$1997=A384, IF(B$2:B$1997&gt;B384, B$2:B$1997))) - B384,
    TODAY() - Table3[[#This Row],[Date of Update]]
  ),
  TODAY()-Table3[[#This Row],[Date of Update]]
)&lt;=0,
TODAY()-Table3[[#This Row],[Date of Update]],
IFERROR(
  IF(
    COUNTIF(A$2:A$1997, A384) &gt; 1,
    MIN(IF(A$2:A$1997=A384, IF(B$2:B$1997&gt;B384, B$2:B$1997))) - B384,
    TODAY() - Table3[[#This Row],[Date of Update]]
  ),
  TODAY()-Table3[[#This Row],[Date of Update]]
)))</f>
        <v>8</v>
      </c>
      <c r="G384" s="40" t="str">
        <f>IF(Table3[[#This Row],[Stage]]="Closed",Table3[[#This Row],[Date of Update]]-(_xlfn.MINIFS(Table3[Date of Update],Table3[Ref], Table3[[#This Row],[Ref]])),"")</f>
        <v/>
      </c>
    </row>
    <row r="385" spans="1:7" x14ac:dyDescent="0.25">
      <c r="A385" s="39" t="s">
        <v>1263</v>
      </c>
      <c r="B385" s="33">
        <v>44965</v>
      </c>
      <c r="C385" s="32" t="s">
        <v>23</v>
      </c>
      <c r="D385" s="32" t="s">
        <v>4</v>
      </c>
      <c r="E385" s="32" t="s">
        <v>521</v>
      </c>
      <c r="F385" s="32" cm="1">
        <f t="array" aca="1" ref="F385" ca="1">IF(Table3[[#This Row],[Stage]]="Closed",0,IF(IFERROR(
  IF(
    COUNTIF(A$2:A$1997, A385) &gt; 1,
    MIN(IF(A$2:A$1997=A385, IF(B$2:B$1997&gt;B385, B$2:B$1997))) - B385,
    TODAY() - Table3[[#This Row],[Date of Update]]
  ),
  TODAY()-Table3[[#This Row],[Date of Update]]
)&lt;=0,
TODAY()-Table3[[#This Row],[Date of Update]],
IFERROR(
  IF(
    COUNTIF(A$2:A$1997, A385) &gt; 1,
    MIN(IF(A$2:A$1997=A385, IF(B$2:B$1997&gt;B385, B$2:B$1997))) - B385,
    TODAY() - Table3[[#This Row],[Date of Update]]
  ),
  TODAY()-Table3[[#This Row],[Date of Update]]
)))</f>
        <v>6</v>
      </c>
      <c r="G385" s="40" t="str">
        <f>IF(Table3[[#This Row],[Stage]]="Closed",Table3[[#This Row],[Date of Update]]-(_xlfn.MINIFS(Table3[Date of Update],Table3[Ref], Table3[[#This Row],[Ref]])),"")</f>
        <v/>
      </c>
    </row>
    <row r="386" spans="1:7" x14ac:dyDescent="0.25">
      <c r="A386" s="39" t="s">
        <v>1274</v>
      </c>
      <c r="B386" s="33">
        <v>44966</v>
      </c>
      <c r="C386" s="32" t="s">
        <v>23</v>
      </c>
      <c r="D386" s="32" t="s">
        <v>4</v>
      </c>
      <c r="E386" s="32" t="s">
        <v>521</v>
      </c>
      <c r="F386" s="32" cm="1">
        <f t="array" aca="1" ref="F386" ca="1">IF(Table3[[#This Row],[Stage]]="Closed",0,IF(IFERROR(
  IF(
    COUNTIF(A$2:A$1997, A386) &gt; 1,
    MIN(IF(A$2:A$1997=A386, IF(B$2:B$1997&gt;B386, B$2:B$1997))) - B386,
    TODAY() - Table3[[#This Row],[Date of Update]]
  ),
  TODAY()-Table3[[#This Row],[Date of Update]]
)&lt;=0,
TODAY()-Table3[[#This Row],[Date of Update]],
IFERROR(
  IF(
    COUNTIF(A$2:A$1997, A386) &gt; 1,
    MIN(IF(A$2:A$1997=A386, IF(B$2:B$1997&gt;B386, B$2:B$1997))) - B386,
    TODAY() - Table3[[#This Row],[Date of Update]]
  ),
  TODAY()-Table3[[#This Row],[Date of Update]]
)))</f>
        <v>5</v>
      </c>
      <c r="G386" s="40" t="str">
        <f>IF(Table3[[#This Row],[Stage]]="Closed",Table3[[#This Row],[Date of Update]]-(_xlfn.MINIFS(Table3[Date of Update],Table3[Ref], Table3[[#This Row],[Ref]])),"")</f>
        <v/>
      </c>
    </row>
    <row r="387" spans="1:7" x14ac:dyDescent="0.25">
      <c r="A387" s="39" t="s">
        <v>1229</v>
      </c>
      <c r="B387" s="33">
        <v>44966</v>
      </c>
      <c r="C387" s="32" t="s">
        <v>169</v>
      </c>
      <c r="D387" s="32" t="s">
        <v>4</v>
      </c>
      <c r="E387" s="32" t="s">
        <v>552</v>
      </c>
      <c r="F387" s="32" cm="1">
        <f t="array" aca="1" ref="F387" ca="1">IF(Table3[[#This Row],[Stage]]="Closed",0,IF(IFERROR(
  IF(
    COUNTIF(A$2:A$1997, A387) &gt; 1,
    MIN(IF(A$2:A$1997=A387, IF(B$2:B$1997&gt;B387, B$2:B$1997))) - B387,
    TODAY() - Table3[[#This Row],[Date of Update]]
  ),
  TODAY()-Table3[[#This Row],[Date of Update]]
)&lt;=0,
TODAY()-Table3[[#This Row],[Date of Update]],
IFERROR(
  IF(
    COUNTIF(A$2:A$1997, A387) &gt; 1,
    MIN(IF(A$2:A$1997=A387, IF(B$2:B$1997&gt;B387, B$2:B$1997))) - B387,
    TODAY() - Table3[[#This Row],[Date of Update]]
  ),
  TODAY()-Table3[[#This Row],[Date of Update]]
)))</f>
        <v>0</v>
      </c>
      <c r="G387" s="40">
        <f>IF(Table3[[#This Row],[Stage]]="Closed",Table3[[#This Row],[Date of Update]]-(_xlfn.MINIFS(Table3[Date of Update],Table3[Ref], Table3[[#This Row],[Ref]])),"")</f>
        <v>30</v>
      </c>
    </row>
    <row r="388" spans="1:7" x14ac:dyDescent="0.25">
      <c r="A388" s="39" t="s">
        <v>1326</v>
      </c>
      <c r="B388" s="33">
        <v>44970</v>
      </c>
      <c r="C388" s="32" t="s">
        <v>23</v>
      </c>
      <c r="D388" s="32" t="s">
        <v>4</v>
      </c>
      <c r="E388" s="32" t="s">
        <v>748</v>
      </c>
      <c r="F388" s="32" cm="1">
        <f t="array" aca="1" ref="F388" ca="1">IF(Table3[[#This Row],[Stage]]="Closed",0,IF(IFERROR(
  IF(
    COUNTIF(A$2:A$1997, A388) &gt; 1,
    MIN(IF(A$2:A$1997=A388, IF(B$2:B$1997&gt;B388, B$2:B$1997))) - B388,
    TODAY() - Table3[[#This Row],[Date of Update]]
  ),
  TODAY()-Table3[[#This Row],[Date of Update]]
)&lt;=0,
TODAY()-Table3[[#This Row],[Date of Update]],
IFERROR(
  IF(
    COUNTIF(A$2:A$1997, A388) &gt; 1,
    MIN(IF(A$2:A$1997=A388, IF(B$2:B$1997&gt;B388, B$2:B$1997))) - B388,
    TODAY() - Table3[[#This Row],[Date of Update]]
  ),
  TODAY()-Table3[[#This Row],[Date of Update]]
)))</f>
        <v>129</v>
      </c>
      <c r="G388" s="40" t="str">
        <f>IF(Table3[[#This Row],[Stage]]="Closed",Table3[[#This Row],[Date of Update]]-(_xlfn.MINIFS(Table3[Date of Update],Table3[Ref], Table3[[#This Row],[Ref]])),"")</f>
        <v/>
      </c>
    </row>
    <row r="389" spans="1:7" x14ac:dyDescent="0.25">
      <c r="A389" s="39" t="s">
        <v>1541</v>
      </c>
      <c r="B389" s="33">
        <v>44970</v>
      </c>
      <c r="C389" s="32" t="s">
        <v>23</v>
      </c>
      <c r="D389" s="32" t="s">
        <v>4</v>
      </c>
      <c r="E389" s="32" t="s">
        <v>573</v>
      </c>
      <c r="F389" s="32" cm="1">
        <f t="array" aca="1" ref="F389" ca="1">IF(Table3[[#This Row],[Stage]]="Closed",0,IF(IFERROR(
  IF(
    COUNTIF(A$2:A$1997, A389) &gt; 1,
    MIN(IF(A$2:A$1997=A389, IF(B$2:B$1997&gt;B389, B$2:B$1997))) - B389,
    TODAY() - Table3[[#This Row],[Date of Update]]
  ),
  TODAY()-Table3[[#This Row],[Date of Update]]
)&lt;=0,
TODAY()-Table3[[#This Row],[Date of Update]],
IFERROR(
  IF(
    COUNTIF(A$2:A$1997, A389) &gt; 1,
    MIN(IF(A$2:A$1997=A389, IF(B$2:B$1997&gt;B389, B$2:B$1997))) - B389,
    TODAY() - Table3[[#This Row],[Date of Update]]
  ),
  TODAY()-Table3[[#This Row],[Date of Update]]
)))</f>
        <v>4</v>
      </c>
      <c r="G389" s="40" t="str">
        <f>IF(Table3[[#This Row],[Stage]]="Closed",Table3[[#This Row],[Date of Update]]-(_xlfn.MINIFS(Table3[Date of Update],Table3[Ref], Table3[[#This Row],[Ref]])),"")</f>
        <v/>
      </c>
    </row>
    <row r="390" spans="1:7" x14ac:dyDescent="0.25">
      <c r="A390" s="39" t="s">
        <v>1261</v>
      </c>
      <c r="B390" s="33">
        <v>44971</v>
      </c>
      <c r="C390" s="32" t="s">
        <v>169</v>
      </c>
      <c r="D390" s="32" t="s">
        <v>4</v>
      </c>
      <c r="E390" s="32" t="s">
        <v>521</v>
      </c>
      <c r="F390" s="32" cm="1">
        <f t="array" aca="1" ref="F390" ca="1">IF(Table3[[#This Row],[Stage]]="Closed",0,IF(IFERROR(
  IF(
    COUNTIF(A$2:A$1997, A390) &gt; 1,
    MIN(IF(A$2:A$1997=A390, IF(B$2:B$1997&gt;B390, B$2:B$1997))) - B390,
    TODAY() - Table3[[#This Row],[Date of Update]]
  ),
  TODAY()-Table3[[#This Row],[Date of Update]]
)&lt;=0,
TODAY()-Table3[[#This Row],[Date of Update]],
IFERROR(
  IF(
    COUNTIF(A$2:A$1997, A390) &gt; 1,
    MIN(IF(A$2:A$1997=A390, IF(B$2:B$1997&gt;B390, B$2:B$1997))) - B390,
    TODAY() - Table3[[#This Row],[Date of Update]]
  ),
  TODAY()-Table3[[#This Row],[Date of Update]]
)))</f>
        <v>0</v>
      </c>
      <c r="G390" s="40">
        <f>IF(Table3[[#This Row],[Stage]]="Closed",Table3[[#This Row],[Date of Update]]-(_xlfn.MINIFS(Table3[Date of Update],Table3[Ref], Table3[[#This Row],[Ref]])),"")</f>
        <v>6</v>
      </c>
    </row>
    <row r="391" spans="1:7" x14ac:dyDescent="0.25">
      <c r="A391" s="39" t="s">
        <v>1262</v>
      </c>
      <c r="B391" s="33">
        <v>44971</v>
      </c>
      <c r="C391" s="32" t="s">
        <v>169</v>
      </c>
      <c r="D391" s="32" t="s">
        <v>4</v>
      </c>
      <c r="E391" s="32" t="s">
        <v>521</v>
      </c>
      <c r="F391" s="32" cm="1">
        <f t="array" aca="1" ref="F391" ca="1">IF(Table3[[#This Row],[Stage]]="Closed",0,IF(IFERROR(
  IF(
    COUNTIF(A$2:A$1997, A391) &gt; 1,
    MIN(IF(A$2:A$1997=A391, IF(B$2:B$1997&gt;B391, B$2:B$1997))) - B391,
    TODAY() - Table3[[#This Row],[Date of Update]]
  ),
  TODAY()-Table3[[#This Row],[Date of Update]]
)&lt;=0,
TODAY()-Table3[[#This Row],[Date of Update]],
IFERROR(
  IF(
    COUNTIF(A$2:A$1997, A391) &gt; 1,
    MIN(IF(A$2:A$1997=A391, IF(B$2:B$1997&gt;B391, B$2:B$1997))) - B391,
    TODAY() - Table3[[#This Row],[Date of Update]]
  ),
  TODAY()-Table3[[#This Row],[Date of Update]]
)))</f>
        <v>0</v>
      </c>
      <c r="G391" s="40">
        <f>IF(Table3[[#This Row],[Stage]]="Closed",Table3[[#This Row],[Date of Update]]-(_xlfn.MINIFS(Table3[Date of Update],Table3[Ref], Table3[[#This Row],[Ref]])),"")</f>
        <v>6</v>
      </c>
    </row>
    <row r="392" spans="1:7" x14ac:dyDescent="0.25">
      <c r="A392" s="39" t="s">
        <v>1274</v>
      </c>
      <c r="B392" s="33">
        <v>44971</v>
      </c>
      <c r="C392" s="32" t="s">
        <v>169</v>
      </c>
      <c r="D392" s="32" t="s">
        <v>4</v>
      </c>
      <c r="E392" s="32" t="s">
        <v>521</v>
      </c>
      <c r="F392" s="32" cm="1">
        <f t="array" aca="1" ref="F392" ca="1">IF(Table3[[#This Row],[Stage]]="Closed",0,IF(IFERROR(
  IF(
    COUNTIF(A$2:A$1997, A392) &gt; 1,
    MIN(IF(A$2:A$1997=A392, IF(B$2:B$1997&gt;B392, B$2:B$1997))) - B392,
    TODAY() - Table3[[#This Row],[Date of Update]]
  ),
  TODAY()-Table3[[#This Row],[Date of Update]]
)&lt;=0,
TODAY()-Table3[[#This Row],[Date of Update]],
IFERROR(
  IF(
    COUNTIF(A$2:A$1997, A392) &gt; 1,
    MIN(IF(A$2:A$1997=A392, IF(B$2:B$1997&gt;B392, B$2:B$1997))) - B392,
    TODAY() - Table3[[#This Row],[Date of Update]]
  ),
  TODAY()-Table3[[#This Row],[Date of Update]]
)))</f>
        <v>0</v>
      </c>
      <c r="G392" s="40">
        <f>IF(Table3[[#This Row],[Stage]]="Closed",Table3[[#This Row],[Date of Update]]-(_xlfn.MINIFS(Table3[Date of Update],Table3[Ref], Table3[[#This Row],[Ref]])),"")</f>
        <v>5</v>
      </c>
    </row>
    <row r="393" spans="1:7" x14ac:dyDescent="0.25">
      <c r="A393" s="39" t="s">
        <v>1272</v>
      </c>
      <c r="B393" s="33">
        <v>44971</v>
      </c>
      <c r="C393" s="32" t="s">
        <v>23</v>
      </c>
      <c r="D393" s="32" t="s">
        <v>4</v>
      </c>
      <c r="E393" s="32" t="s">
        <v>653</v>
      </c>
      <c r="F393" s="32" cm="1">
        <f t="array" aca="1" ref="F393" ca="1">IF(Table3[[#This Row],[Stage]]="Closed",0,IF(IFERROR(
  IF(
    COUNTIF(A$2:A$1997, A393) &gt; 1,
    MIN(IF(A$2:A$1997=A393, IF(B$2:B$1997&gt;B393, B$2:B$1997))) - B393,
    TODAY() - Table3[[#This Row],[Date of Update]]
  ),
  TODAY()-Table3[[#This Row],[Date of Update]]
)&lt;=0,
TODAY()-Table3[[#This Row],[Date of Update]],
IFERROR(
  IF(
    COUNTIF(A$2:A$1997, A393) &gt; 1,
    MIN(IF(A$2:A$1997=A393, IF(B$2:B$1997&gt;B393, B$2:B$1997))) - B393,
    TODAY() - Table3[[#This Row],[Date of Update]]
  ),
  TODAY()-Table3[[#This Row],[Date of Update]]
)))</f>
        <v>30</v>
      </c>
      <c r="G393" s="40" t="str">
        <f>IF(Table3[[#This Row],[Stage]]="Closed",Table3[[#This Row],[Date of Update]]-(_xlfn.MINIFS(Table3[Date of Update],Table3[Ref], Table3[[#This Row],[Ref]])),"")</f>
        <v/>
      </c>
    </row>
    <row r="394" spans="1:7" x14ac:dyDescent="0.25">
      <c r="A394" s="39" t="s">
        <v>1269</v>
      </c>
      <c r="B394" s="33">
        <v>44971</v>
      </c>
      <c r="C394" s="32" t="s">
        <v>23</v>
      </c>
      <c r="D394" s="32" t="s">
        <v>4</v>
      </c>
      <c r="E394" s="32" t="s">
        <v>645</v>
      </c>
      <c r="F394" s="32" cm="1">
        <f t="array" aca="1" ref="F394" ca="1">IF(Table3[[#This Row],[Stage]]="Closed",0,IF(IFERROR(
  IF(
    COUNTIF(A$2:A$1997, A394) &gt; 1,
    MIN(IF(A$2:A$1997=A394, IF(B$2:B$1997&gt;B394, B$2:B$1997))) - B394,
    TODAY() - Table3[[#This Row],[Date of Update]]
  ),
  TODAY()-Table3[[#This Row],[Date of Update]]
)&lt;=0,
TODAY()-Table3[[#This Row],[Date of Update]],
IFERROR(
  IF(
    COUNTIF(A$2:A$1997, A394) &gt; 1,
    MIN(IF(A$2:A$1997=A394, IF(B$2:B$1997&gt;B394, B$2:B$1997))) - B394,
    TODAY() - Table3[[#This Row],[Date of Update]]
  ),
  TODAY()-Table3[[#This Row],[Date of Update]]
)))</f>
        <v>24</v>
      </c>
      <c r="G394" s="40" t="str">
        <f>IF(Table3[[#This Row],[Stage]]="Closed",Table3[[#This Row],[Date of Update]]-(_xlfn.MINIFS(Table3[Date of Update],Table3[Ref], Table3[[#This Row],[Ref]])),"")</f>
        <v/>
      </c>
    </row>
    <row r="395" spans="1:7" x14ac:dyDescent="0.25">
      <c r="A395" s="39" t="s">
        <v>1347</v>
      </c>
      <c r="B395" s="33">
        <v>44971</v>
      </c>
      <c r="C395" s="32" t="s">
        <v>23</v>
      </c>
      <c r="D395" s="32" t="s">
        <v>4</v>
      </c>
      <c r="E395" s="32" t="s">
        <v>645</v>
      </c>
      <c r="F395" s="32" cm="1">
        <f t="array" aca="1" ref="F395" ca="1">IF(Table3[[#This Row],[Stage]]="Closed",0,IF(IFERROR(
  IF(
    COUNTIF(A$2:A$1997, A395) &gt; 1,
    MIN(IF(A$2:A$1997=A395, IF(B$2:B$1997&gt;B395, B$2:B$1997))) - B395,
    TODAY() - Table3[[#This Row],[Date of Update]]
  ),
  TODAY()-Table3[[#This Row],[Date of Update]]
)&lt;=0,
TODAY()-Table3[[#This Row],[Date of Update]],
IFERROR(
  IF(
    COUNTIF(A$2:A$1997, A395) &gt; 1,
    MIN(IF(A$2:A$1997=A395, IF(B$2:B$1997&gt;B395, B$2:B$1997))) - B395,
    TODAY() - Table3[[#This Row],[Date of Update]]
  ),
  TODAY()-Table3[[#This Row],[Date of Update]]
)))</f>
        <v>164</v>
      </c>
      <c r="G395" s="40" t="str">
        <f>IF(Table3[[#This Row],[Stage]]="Closed",Table3[[#This Row],[Date of Update]]-(_xlfn.MINIFS(Table3[Date of Update],Table3[Ref], Table3[[#This Row],[Ref]])),"")</f>
        <v/>
      </c>
    </row>
    <row r="396" spans="1:7" x14ac:dyDescent="0.25">
      <c r="A396" s="39" t="s">
        <v>1263</v>
      </c>
      <c r="B396" s="33">
        <v>44971</v>
      </c>
      <c r="C396" s="32" t="s">
        <v>169</v>
      </c>
      <c r="D396" s="32" t="s">
        <v>4</v>
      </c>
      <c r="E396" s="32" t="s">
        <v>521</v>
      </c>
      <c r="F396" s="32" cm="1">
        <f t="array" aca="1" ref="F396" ca="1">IF(Table3[[#This Row],[Stage]]="Closed",0,IF(IFERROR(
  IF(
    COUNTIF(A$2:A$1997, A396) &gt; 1,
    MIN(IF(A$2:A$1997=A396, IF(B$2:B$1997&gt;B396, B$2:B$1997))) - B396,
    TODAY() - Table3[[#This Row],[Date of Update]]
  ),
  TODAY()-Table3[[#This Row],[Date of Update]]
)&lt;=0,
TODAY()-Table3[[#This Row],[Date of Update]],
IFERROR(
  IF(
    COUNTIF(A$2:A$1997, A396) &gt; 1,
    MIN(IF(A$2:A$1997=A396, IF(B$2:B$1997&gt;B396, B$2:B$1997))) - B396,
    TODAY() - Table3[[#This Row],[Date of Update]]
  ),
  TODAY()-Table3[[#This Row],[Date of Update]]
)))</f>
        <v>0</v>
      </c>
      <c r="G396" s="40">
        <f>IF(Table3[[#This Row],[Stage]]="Closed",Table3[[#This Row],[Date of Update]]-(_xlfn.MINIFS(Table3[Date of Update],Table3[Ref], Table3[[#This Row],[Ref]])),"")</f>
        <v>6</v>
      </c>
    </row>
    <row r="397" spans="1:7" x14ac:dyDescent="0.25">
      <c r="A397" s="39" t="s">
        <v>1277</v>
      </c>
      <c r="B397" s="33">
        <v>44972</v>
      </c>
      <c r="C397" s="32" t="s">
        <v>23</v>
      </c>
      <c r="D397" s="32" t="s">
        <v>4</v>
      </c>
      <c r="E397" s="32" t="s">
        <v>521</v>
      </c>
      <c r="F397" s="32" cm="1">
        <f t="array" aca="1" ref="F397" ca="1">IF(Table3[[#This Row],[Stage]]="Closed",0,IF(IFERROR(
  IF(
    COUNTIF(A$2:A$1997, A397) &gt; 1,
    MIN(IF(A$2:A$1997=A397, IF(B$2:B$1997&gt;B397, B$2:B$1997))) - B397,
    TODAY() - Table3[[#This Row],[Date of Update]]
  ),
  TODAY()-Table3[[#This Row],[Date of Update]]
)&lt;=0,
TODAY()-Table3[[#This Row],[Date of Update]],
IFERROR(
  IF(
    COUNTIF(A$2:A$1997, A397) &gt; 1,
    MIN(IF(A$2:A$1997=A397, IF(B$2:B$1997&gt;B397, B$2:B$1997))) - B397,
    TODAY() - Table3[[#This Row],[Date of Update]]
  ),
  TODAY()-Table3[[#This Row],[Date of Update]]
)))</f>
        <v>6</v>
      </c>
      <c r="G397" s="40" t="str">
        <f>IF(Table3[[#This Row],[Stage]]="Closed",Table3[[#This Row],[Date of Update]]-(_xlfn.MINIFS(Table3[Date of Update],Table3[Ref], Table3[[#This Row],[Ref]])),"")</f>
        <v/>
      </c>
    </row>
    <row r="398" spans="1:7" x14ac:dyDescent="0.25">
      <c r="A398" s="39" t="s">
        <v>1278</v>
      </c>
      <c r="B398" s="33">
        <v>44972</v>
      </c>
      <c r="C398" s="32" t="s">
        <v>23</v>
      </c>
      <c r="D398" s="32" t="s">
        <v>4</v>
      </c>
      <c r="E398" s="32" t="s">
        <v>521</v>
      </c>
      <c r="F398" s="32" cm="1">
        <f t="array" aca="1" ref="F398" ca="1">IF(Table3[[#This Row],[Stage]]="Closed",0,IF(IFERROR(
  IF(
    COUNTIF(A$2:A$1997, A398) &gt; 1,
    MIN(IF(A$2:A$1997=A398, IF(B$2:B$1997&gt;B398, B$2:B$1997))) - B398,
    TODAY() - Table3[[#This Row],[Date of Update]]
  ),
  TODAY()-Table3[[#This Row],[Date of Update]]
)&lt;=0,
TODAY()-Table3[[#This Row],[Date of Update]],
IFERROR(
  IF(
    COUNTIF(A$2:A$1997, A398) &gt; 1,
    MIN(IF(A$2:A$1997=A398, IF(B$2:B$1997&gt;B398, B$2:B$1997))) - B398,
    TODAY() - Table3[[#This Row],[Date of Update]]
  ),
  TODAY()-Table3[[#This Row],[Date of Update]]
)))</f>
        <v>6</v>
      </c>
      <c r="G398" s="40" t="str">
        <f>IF(Table3[[#This Row],[Stage]]="Closed",Table3[[#This Row],[Date of Update]]-(_xlfn.MINIFS(Table3[Date of Update],Table3[Ref], Table3[[#This Row],[Ref]])),"")</f>
        <v/>
      </c>
    </row>
    <row r="399" spans="1:7" x14ac:dyDescent="0.25">
      <c r="A399" s="39" t="s">
        <v>1220</v>
      </c>
      <c r="B399" s="33">
        <v>44973</v>
      </c>
      <c r="C399" s="32" t="s">
        <v>169</v>
      </c>
      <c r="D399" s="32" t="s">
        <v>4</v>
      </c>
      <c r="E399" s="32" t="s">
        <v>500</v>
      </c>
      <c r="F399" s="32" cm="1">
        <f t="array" aca="1" ref="F399" ca="1">IF(Table3[[#This Row],[Stage]]="Closed",0,IF(IFERROR(
  IF(
    COUNTIF(A$2:A$1997, A399) &gt; 1,
    MIN(IF(A$2:A$1997=A399, IF(B$2:B$1997&gt;B399, B$2:B$1997))) - B399,
    TODAY() - Table3[[#This Row],[Date of Update]]
  ),
  TODAY()-Table3[[#This Row],[Date of Update]]
)&lt;=0,
TODAY()-Table3[[#This Row],[Date of Update]],
IFERROR(
  IF(
    COUNTIF(A$2:A$1997, A399) &gt; 1,
    MIN(IF(A$2:A$1997=A399, IF(B$2:B$1997&gt;B399, B$2:B$1997))) - B399,
    TODAY() - Table3[[#This Row],[Date of Update]]
  ),
  TODAY()-Table3[[#This Row],[Date of Update]]
)))</f>
        <v>0</v>
      </c>
      <c r="G399" s="40">
        <f>IF(Table3[[#This Row],[Stage]]="Closed",Table3[[#This Row],[Date of Update]]-(_xlfn.MINIFS(Table3[Date of Update],Table3[Ref], Table3[[#This Row],[Ref]])),"")</f>
        <v>56</v>
      </c>
    </row>
    <row r="400" spans="1:7" x14ac:dyDescent="0.25">
      <c r="A400" s="39" t="s">
        <v>1279</v>
      </c>
      <c r="B400" s="33">
        <v>44973</v>
      </c>
      <c r="C400" s="32" t="s">
        <v>23</v>
      </c>
      <c r="D400" s="32" t="s">
        <v>4</v>
      </c>
      <c r="E400" s="32" t="s">
        <v>613</v>
      </c>
      <c r="F400" s="32" cm="1">
        <f t="array" aca="1" ref="F400" ca="1">IF(Table3[[#This Row],[Stage]]="Closed",0,IF(IFERROR(
  IF(
    COUNTIF(A$2:A$1997, A400) &gt; 1,
    MIN(IF(A$2:A$1997=A400, IF(B$2:B$1997&gt;B400, B$2:B$1997))) - B400,
    TODAY() - Table3[[#This Row],[Date of Update]]
  ),
  TODAY()-Table3[[#This Row],[Date of Update]]
)&lt;=0,
TODAY()-Table3[[#This Row],[Date of Update]],
IFERROR(
  IF(
    COUNTIF(A$2:A$1997, A400) &gt; 1,
    MIN(IF(A$2:A$1997=A400, IF(B$2:B$1997&gt;B400, B$2:B$1997))) - B400,
    TODAY() - Table3[[#This Row],[Date of Update]]
  ),
  TODAY()-Table3[[#This Row],[Date of Update]]
)))</f>
        <v>63</v>
      </c>
      <c r="G400" s="40" t="str">
        <f>IF(Table3[[#This Row],[Stage]]="Closed",Table3[[#This Row],[Date of Update]]-(_xlfn.MINIFS(Table3[Date of Update],Table3[Ref], Table3[[#This Row],[Ref]])),"")</f>
        <v/>
      </c>
    </row>
    <row r="401" spans="1:7" x14ac:dyDescent="0.25">
      <c r="A401" s="39" t="s">
        <v>1242</v>
      </c>
      <c r="B401" s="33">
        <v>44973</v>
      </c>
      <c r="C401" s="32" t="s">
        <v>169</v>
      </c>
      <c r="D401" s="32" t="s">
        <v>4</v>
      </c>
      <c r="E401" s="32"/>
      <c r="F401" s="32" cm="1">
        <f t="array" aca="1" ref="F401" ca="1">IF(Table3[[#This Row],[Stage]]="Closed",0,IF(IFERROR(
  IF(
    COUNTIF(A$2:A$1997, A401) &gt; 1,
    MIN(IF(A$2:A$1997=A401, IF(B$2:B$1997&gt;B401, B$2:B$1997))) - B401,
    TODAY() - Table3[[#This Row],[Date of Update]]
  ),
  TODAY()-Table3[[#This Row],[Date of Update]]
)&lt;=0,
TODAY()-Table3[[#This Row],[Date of Update]],
IFERROR(
  IF(
    COUNTIF(A$2:A$1997, A401) &gt; 1,
    MIN(IF(A$2:A$1997=A401, IF(B$2:B$1997&gt;B401, B$2:B$1997))) - B401,
    TODAY() - Table3[[#This Row],[Date of Update]]
  ),
  TODAY()-Table3[[#This Row],[Date of Update]]
)))</f>
        <v>0</v>
      </c>
      <c r="G401" s="40">
        <f>IF(Table3[[#This Row],[Stage]]="Closed",Table3[[#This Row],[Date of Update]]-(_xlfn.MINIFS(Table3[Date of Update],Table3[Ref], Table3[[#This Row],[Ref]])),"")</f>
        <v>31</v>
      </c>
    </row>
    <row r="402" spans="1:7" x14ac:dyDescent="0.25">
      <c r="A402" s="39" t="s">
        <v>1273</v>
      </c>
      <c r="B402" s="33">
        <v>44973</v>
      </c>
      <c r="C402" s="32" t="s">
        <v>169</v>
      </c>
      <c r="D402" s="32" t="s">
        <v>4</v>
      </c>
      <c r="E402" s="32" t="s">
        <v>500</v>
      </c>
      <c r="F402" s="32" cm="1">
        <f t="array" aca="1" ref="F402" ca="1">IF(Table3[[#This Row],[Stage]]="Closed",0,IF(IFERROR(
  IF(
    COUNTIF(A$2:A$1997, A402) &gt; 1,
    MIN(IF(A$2:A$1997=A402, IF(B$2:B$1997&gt;B402, B$2:B$1997))) - B402,
    TODAY() - Table3[[#This Row],[Date of Update]]
  ),
  TODAY()-Table3[[#This Row],[Date of Update]]
)&lt;=0,
TODAY()-Table3[[#This Row],[Date of Update]],
IFERROR(
  IF(
    COUNTIF(A$2:A$1997, A402) &gt; 1,
    MIN(IF(A$2:A$1997=A402, IF(B$2:B$1997&gt;B402, B$2:B$1997))) - B402,
    TODAY() - Table3[[#This Row],[Date of Update]]
  ),
  TODAY()-Table3[[#This Row],[Date of Update]]
)))</f>
        <v>0</v>
      </c>
      <c r="G402" s="40">
        <f>IF(Table3[[#This Row],[Stage]]="Closed",Table3[[#This Row],[Date of Update]]-(_xlfn.MINIFS(Table3[Date of Update],Table3[Ref], Table3[[#This Row],[Ref]])),"")</f>
        <v>8</v>
      </c>
    </row>
    <row r="403" spans="1:7" x14ac:dyDescent="0.25">
      <c r="A403" s="39" t="s">
        <v>1211</v>
      </c>
      <c r="B403" s="33">
        <v>44973</v>
      </c>
      <c r="C403" s="32" t="s">
        <v>169</v>
      </c>
      <c r="D403" s="32" t="s">
        <v>4</v>
      </c>
      <c r="E403" s="32" t="s">
        <v>500</v>
      </c>
      <c r="F403" s="32" cm="1">
        <f t="array" aca="1" ref="F403" ca="1">IF(Table3[[#This Row],[Stage]]="Closed",0,IF(IFERROR(
  IF(
    COUNTIF(A$2:A$1997, A403) &gt; 1,
    MIN(IF(A$2:A$1997=A403, IF(B$2:B$1997&gt;B403, B$2:B$1997))) - B403,
    TODAY() - Table3[[#This Row],[Date of Update]]
  ),
  TODAY()-Table3[[#This Row],[Date of Update]]
)&lt;=0,
TODAY()-Table3[[#This Row],[Date of Update]],
IFERROR(
  IF(
    COUNTIF(A$2:A$1997, A403) &gt; 1,
    MIN(IF(A$2:A$1997=A403, IF(B$2:B$1997&gt;B403, B$2:B$1997))) - B403,
    TODAY() - Table3[[#This Row],[Date of Update]]
  ),
  TODAY()-Table3[[#This Row],[Date of Update]]
)))</f>
        <v>0</v>
      </c>
      <c r="G403" s="40">
        <f>IF(Table3[[#This Row],[Stage]]="Closed",Table3[[#This Row],[Date of Update]]-(_xlfn.MINIFS(Table3[Date of Update],Table3[Ref], Table3[[#This Row],[Ref]])),"")</f>
        <v>121</v>
      </c>
    </row>
    <row r="404" spans="1:7" x14ac:dyDescent="0.25">
      <c r="A404" s="39" t="s">
        <v>1260</v>
      </c>
      <c r="B404" s="33">
        <v>44973</v>
      </c>
      <c r="C404" s="32" t="s">
        <v>169</v>
      </c>
      <c r="D404" s="32" t="s">
        <v>4</v>
      </c>
      <c r="E404" s="32" t="s">
        <v>500</v>
      </c>
      <c r="F404" s="32" cm="1">
        <f t="array" aca="1" ref="F404" ca="1">IF(Table3[[#This Row],[Stage]]="Closed",0,IF(IFERROR(
  IF(
    COUNTIF(A$2:A$1997, A404) &gt; 1,
    MIN(IF(A$2:A$1997=A404, IF(B$2:B$1997&gt;B404, B$2:B$1997))) - B404,
    TODAY() - Table3[[#This Row],[Date of Update]]
  ),
  TODAY()-Table3[[#This Row],[Date of Update]]
)&lt;=0,
TODAY()-Table3[[#This Row],[Date of Update]],
IFERROR(
  IF(
    COUNTIF(A$2:A$1997, A404) &gt; 1,
    MIN(IF(A$2:A$1997=A404, IF(B$2:B$1997&gt;B404, B$2:B$1997))) - B404,
    TODAY() - Table3[[#This Row],[Date of Update]]
  ),
  TODAY()-Table3[[#This Row],[Date of Update]]
)))</f>
        <v>0</v>
      </c>
      <c r="G404" s="40">
        <f>IF(Table3[[#This Row],[Stage]]="Closed",Table3[[#This Row],[Date of Update]]-(_xlfn.MINIFS(Table3[Date of Update],Table3[Ref], Table3[[#This Row],[Ref]])),"")</f>
        <v>13</v>
      </c>
    </row>
    <row r="405" spans="1:7" x14ac:dyDescent="0.25">
      <c r="A405" s="39" t="s">
        <v>1239</v>
      </c>
      <c r="B405" s="33">
        <v>44973</v>
      </c>
      <c r="C405" s="32" t="s">
        <v>169</v>
      </c>
      <c r="D405" s="32" t="s">
        <v>4</v>
      </c>
      <c r="E405" s="32"/>
      <c r="F405" s="32" cm="1">
        <f t="array" aca="1" ref="F405" ca="1">IF(Table3[[#This Row],[Stage]]="Closed",0,IF(IFERROR(
  IF(
    COUNTIF(A$2:A$1997, A405) &gt; 1,
    MIN(IF(A$2:A$1997=A405, IF(B$2:B$1997&gt;B405, B$2:B$1997))) - B405,
    TODAY() - Table3[[#This Row],[Date of Update]]
  ),
  TODAY()-Table3[[#This Row],[Date of Update]]
)&lt;=0,
TODAY()-Table3[[#This Row],[Date of Update]],
IFERROR(
  IF(
    COUNTIF(A$2:A$1997, A405) &gt; 1,
    MIN(IF(A$2:A$1997=A405, IF(B$2:B$1997&gt;B405, B$2:B$1997))) - B405,
    TODAY() - Table3[[#This Row],[Date of Update]]
  ),
  TODAY()-Table3[[#This Row],[Date of Update]]
)))</f>
        <v>0</v>
      </c>
      <c r="G405" s="40">
        <f>IF(Table3[[#This Row],[Stage]]="Closed",Table3[[#This Row],[Date of Update]]-(_xlfn.MINIFS(Table3[Date of Update],Table3[Ref], Table3[[#This Row],[Ref]])),"")</f>
        <v>34</v>
      </c>
    </row>
    <row r="406" spans="1:7" x14ac:dyDescent="0.25">
      <c r="A406" s="39" t="s">
        <v>1243</v>
      </c>
      <c r="B406" s="33">
        <v>44973</v>
      </c>
      <c r="C406" s="32" t="s">
        <v>169</v>
      </c>
      <c r="D406" s="32" t="s">
        <v>4</v>
      </c>
      <c r="E406" s="32"/>
      <c r="F406" s="32" cm="1">
        <f t="array" aca="1" ref="F406" ca="1">IF(Table3[[#This Row],[Stage]]="Closed",0,IF(IFERROR(
  IF(
    COUNTIF(A$2:A$1997, A406) &gt; 1,
    MIN(IF(A$2:A$1997=A406, IF(B$2:B$1997&gt;B406, B$2:B$1997))) - B406,
    TODAY() - Table3[[#This Row],[Date of Update]]
  ),
  TODAY()-Table3[[#This Row],[Date of Update]]
)&lt;=0,
TODAY()-Table3[[#This Row],[Date of Update]],
IFERROR(
  IF(
    COUNTIF(A$2:A$1997, A406) &gt; 1,
    MIN(IF(A$2:A$1997=A406, IF(B$2:B$1997&gt;B406, B$2:B$1997))) - B406,
    TODAY() - Table3[[#This Row],[Date of Update]]
  ),
  TODAY()-Table3[[#This Row],[Date of Update]]
)))</f>
        <v>0</v>
      </c>
      <c r="G406" s="40">
        <f>IF(Table3[[#This Row],[Stage]]="Closed",Table3[[#This Row],[Date of Update]]-(_xlfn.MINIFS(Table3[Date of Update],Table3[Ref], Table3[[#This Row],[Ref]])),"")</f>
        <v>31</v>
      </c>
    </row>
    <row r="407" spans="1:7" x14ac:dyDescent="0.25">
      <c r="A407" s="39" t="s">
        <v>1327</v>
      </c>
      <c r="B407" s="33">
        <v>44974</v>
      </c>
      <c r="C407" s="32" t="s">
        <v>23</v>
      </c>
      <c r="D407" s="32" t="s">
        <v>4</v>
      </c>
      <c r="E407" s="32" t="s">
        <v>752</v>
      </c>
      <c r="F407" s="32" cm="1">
        <f t="array" aca="1" ref="F407" ca="1">IF(Table3[[#This Row],[Stage]]="Closed",0,IF(IFERROR(
  IF(
    COUNTIF(A$2:A$1997, A407) &gt; 1,
    MIN(IF(A$2:A$1997=A407, IF(B$2:B$1997&gt;B407, B$2:B$1997))) - B407,
    TODAY() - Table3[[#This Row],[Date of Update]]
  ),
  TODAY()-Table3[[#This Row],[Date of Update]]
)&lt;=0,
TODAY()-Table3[[#This Row],[Date of Update]],
IFERROR(
  IF(
    COUNTIF(A$2:A$1997, A407) &gt; 1,
    MIN(IF(A$2:A$1997=A407, IF(B$2:B$1997&gt;B407, B$2:B$1997))) - B407,
    TODAY() - Table3[[#This Row],[Date of Update]]
  ),
  TODAY()-Table3[[#This Row],[Date of Update]]
)))</f>
        <v>125</v>
      </c>
      <c r="G407" s="40" t="str">
        <f>IF(Table3[[#This Row],[Stage]]="Closed",Table3[[#This Row],[Date of Update]]-(_xlfn.MINIFS(Table3[Date of Update],Table3[Ref], Table3[[#This Row],[Ref]])),"")</f>
        <v/>
      </c>
    </row>
    <row r="408" spans="1:7" x14ac:dyDescent="0.25">
      <c r="A408" s="39" t="s">
        <v>1541</v>
      </c>
      <c r="B408" s="33">
        <v>44974</v>
      </c>
      <c r="C408" s="32" t="s">
        <v>169</v>
      </c>
      <c r="D408" s="32" t="s">
        <v>4</v>
      </c>
      <c r="E408" s="32" t="s">
        <v>573</v>
      </c>
      <c r="F408" s="32" cm="1">
        <f t="array" aca="1" ref="F408" ca="1">IF(Table3[[#This Row],[Stage]]="Closed",0,IF(IFERROR(
  IF(
    COUNTIF(A$2:A$1997, A408) &gt; 1,
    MIN(IF(A$2:A$1997=A408, IF(B$2:B$1997&gt;B408, B$2:B$1997))) - B408,
    TODAY() - Table3[[#This Row],[Date of Update]]
  ),
  TODAY()-Table3[[#This Row],[Date of Update]]
)&lt;=0,
TODAY()-Table3[[#This Row],[Date of Update]],
IFERROR(
  IF(
    COUNTIF(A$2:A$1997, A408) &gt; 1,
    MIN(IF(A$2:A$1997=A408, IF(B$2:B$1997&gt;B408, B$2:B$1997))) - B408,
    TODAY() - Table3[[#This Row],[Date of Update]]
  ),
  TODAY()-Table3[[#This Row],[Date of Update]]
)))</f>
        <v>0</v>
      </c>
      <c r="G408" s="40">
        <f>IF(Table3[[#This Row],[Stage]]="Closed",Table3[[#This Row],[Date of Update]]-(_xlfn.MINIFS(Table3[Date of Update],Table3[Ref], Table3[[#This Row],[Ref]])),"")</f>
        <v>4</v>
      </c>
    </row>
    <row r="409" spans="1:7" x14ac:dyDescent="0.25">
      <c r="A409" s="39" t="s">
        <v>1280</v>
      </c>
      <c r="B409" s="33">
        <v>44977</v>
      </c>
      <c r="C409" s="32" t="s">
        <v>23</v>
      </c>
      <c r="D409" s="32" t="s">
        <v>4</v>
      </c>
      <c r="E409" s="32" t="s">
        <v>521</v>
      </c>
      <c r="F409" s="32" cm="1">
        <f t="array" aca="1" ref="F409" ca="1">IF(Table3[[#This Row],[Stage]]="Closed",0,IF(IFERROR(
  IF(
    COUNTIF(A$2:A$1997, A409) &gt; 1,
    MIN(IF(A$2:A$1997=A409, IF(B$2:B$1997&gt;B409, B$2:B$1997))) - B409,
    TODAY() - Table3[[#This Row],[Date of Update]]
  ),
  TODAY()-Table3[[#This Row],[Date of Update]]
)&lt;=0,
TODAY()-Table3[[#This Row],[Date of Update]],
IFERROR(
  IF(
    COUNTIF(A$2:A$1997, A409) &gt; 1,
    MIN(IF(A$2:A$1997=A409, IF(B$2:B$1997&gt;B409, B$2:B$1997))) - B409,
    TODAY() - Table3[[#This Row],[Date of Update]]
  ),
  TODAY()-Table3[[#This Row],[Date of Update]]
)))</f>
        <v>36</v>
      </c>
      <c r="G409" s="40" t="str">
        <f>IF(Table3[[#This Row],[Stage]]="Closed",Table3[[#This Row],[Date of Update]]-(_xlfn.MINIFS(Table3[Date of Update],Table3[Ref], Table3[[#This Row],[Ref]])),"")</f>
        <v/>
      </c>
    </row>
    <row r="410" spans="1:7" x14ac:dyDescent="0.25">
      <c r="A410" s="39" t="s">
        <v>1277</v>
      </c>
      <c r="B410" s="33">
        <v>44978</v>
      </c>
      <c r="C410" s="32" t="s">
        <v>169</v>
      </c>
      <c r="D410" s="32" t="s">
        <v>4</v>
      </c>
      <c r="E410" s="32" t="s">
        <v>521</v>
      </c>
      <c r="F410" s="32" cm="1">
        <f t="array" aca="1" ref="F410" ca="1">IF(Table3[[#This Row],[Stage]]="Closed",0,IF(IFERROR(
  IF(
    COUNTIF(A$2:A$1997, A410) &gt; 1,
    MIN(IF(A$2:A$1997=A410, IF(B$2:B$1997&gt;B410, B$2:B$1997))) - B410,
    TODAY() - Table3[[#This Row],[Date of Update]]
  ),
  TODAY()-Table3[[#This Row],[Date of Update]]
)&lt;=0,
TODAY()-Table3[[#This Row],[Date of Update]],
IFERROR(
  IF(
    COUNTIF(A$2:A$1997, A410) &gt; 1,
    MIN(IF(A$2:A$1997=A410, IF(B$2:B$1997&gt;B410, B$2:B$1997))) - B410,
    TODAY() - Table3[[#This Row],[Date of Update]]
  ),
  TODAY()-Table3[[#This Row],[Date of Update]]
)))</f>
        <v>0</v>
      </c>
      <c r="G410" s="40">
        <f>IF(Table3[[#This Row],[Stage]]="Closed",Table3[[#This Row],[Date of Update]]-(_xlfn.MINIFS(Table3[Date of Update],Table3[Ref], Table3[[#This Row],[Ref]])),"")</f>
        <v>6</v>
      </c>
    </row>
    <row r="411" spans="1:7" x14ac:dyDescent="0.25">
      <c r="A411" s="39" t="s">
        <v>1257</v>
      </c>
      <c r="B411" s="33">
        <v>44978</v>
      </c>
      <c r="C411" s="32" t="s">
        <v>23</v>
      </c>
      <c r="D411" s="32" t="s">
        <v>4</v>
      </c>
      <c r="E411" s="32" t="s">
        <v>453</v>
      </c>
      <c r="F411" s="32" cm="1">
        <f t="array" aca="1" ref="F411" ca="1">IF(Table3[[#This Row],[Stage]]="Closed",0,IF(IFERROR(
  IF(
    COUNTIF(A$2:A$1997, A411) &gt; 1,
    MIN(IF(A$2:A$1997=A411, IF(B$2:B$1997&gt;B411, B$2:B$1997))) - B411,
    TODAY() - Table3[[#This Row],[Date of Update]]
  ),
  TODAY()-Table3[[#This Row],[Date of Update]]
)&lt;=0,
TODAY()-Table3[[#This Row],[Date of Update]],
IFERROR(
  IF(
    COUNTIF(A$2:A$1997, A411) &gt; 1,
    MIN(IF(A$2:A$1997=A411, IF(B$2:B$1997&gt;B411, B$2:B$1997))) - B411,
    TODAY() - Table3[[#This Row],[Date of Update]]
  ),
  TODAY()-Table3[[#This Row],[Date of Update]]
)))</f>
        <v>9</v>
      </c>
      <c r="G411" s="40" t="str">
        <f>IF(Table3[[#This Row],[Stage]]="Closed",Table3[[#This Row],[Date of Update]]-(_xlfn.MINIFS(Table3[Date of Update],Table3[Ref], Table3[[#This Row],[Ref]])),"")</f>
        <v/>
      </c>
    </row>
    <row r="412" spans="1:7" x14ac:dyDescent="0.25">
      <c r="A412" s="39" t="s">
        <v>1278</v>
      </c>
      <c r="B412" s="33">
        <v>44978</v>
      </c>
      <c r="C412" s="32" t="s">
        <v>169</v>
      </c>
      <c r="D412" s="32" t="s">
        <v>4</v>
      </c>
      <c r="E412" s="32" t="s">
        <v>521</v>
      </c>
      <c r="F412" s="32" cm="1">
        <f t="array" aca="1" ref="F412" ca="1">IF(Table3[[#This Row],[Stage]]="Closed",0,IF(IFERROR(
  IF(
    COUNTIF(A$2:A$1997, A412) &gt; 1,
    MIN(IF(A$2:A$1997=A412, IF(B$2:B$1997&gt;B412, B$2:B$1997))) - B412,
    TODAY() - Table3[[#This Row],[Date of Update]]
  ),
  TODAY()-Table3[[#This Row],[Date of Update]]
)&lt;=0,
TODAY()-Table3[[#This Row],[Date of Update]],
IFERROR(
  IF(
    COUNTIF(A$2:A$1997, A412) &gt; 1,
    MIN(IF(A$2:A$1997=A412, IF(B$2:B$1997&gt;B412, B$2:B$1997))) - B412,
    TODAY() - Table3[[#This Row],[Date of Update]]
  ),
  TODAY()-Table3[[#This Row],[Date of Update]]
)))</f>
        <v>0</v>
      </c>
      <c r="G412" s="40">
        <f>IF(Table3[[#This Row],[Stage]]="Closed",Table3[[#This Row],[Date of Update]]-(_xlfn.MINIFS(Table3[Date of Update],Table3[Ref], Table3[[#This Row],[Ref]])),"")</f>
        <v>6</v>
      </c>
    </row>
    <row r="413" spans="1:7" x14ac:dyDescent="0.25">
      <c r="A413" s="39" t="s">
        <v>1287</v>
      </c>
      <c r="B413" s="33">
        <v>44978</v>
      </c>
      <c r="C413" s="32" t="s">
        <v>23</v>
      </c>
      <c r="D413" s="32" t="s">
        <v>4</v>
      </c>
      <c r="E413" s="32"/>
      <c r="F413" s="32" cm="1">
        <f t="array" aca="1" ref="F413" ca="1">IF(Table3[[#This Row],[Stage]]="Closed",0,IF(IFERROR(
  IF(
    COUNTIF(A$2:A$1997, A413) &gt; 1,
    MIN(IF(A$2:A$1997=A413, IF(B$2:B$1997&gt;B413, B$2:B$1997))) - B413,
    TODAY() - Table3[[#This Row],[Date of Update]]
  ),
  TODAY()-Table3[[#This Row],[Date of Update]]
)&lt;=0,
TODAY()-Table3[[#This Row],[Date of Update]],
IFERROR(
  IF(
    COUNTIF(A$2:A$1997, A413) &gt; 1,
    MIN(IF(A$2:A$1997=A413, IF(B$2:B$1997&gt;B413, B$2:B$1997))) - B413,
    TODAY() - Table3[[#This Row],[Date of Update]]
  ),
  TODAY()-Table3[[#This Row],[Date of Update]]
)))</f>
        <v>58</v>
      </c>
      <c r="G413" s="40" t="str">
        <f>IF(Table3[[#This Row],[Stage]]="Closed",Table3[[#This Row],[Date of Update]]-(_xlfn.MINIFS(Table3[Date of Update],Table3[Ref], Table3[[#This Row],[Ref]])),"")</f>
        <v/>
      </c>
    </row>
    <row r="414" spans="1:7" x14ac:dyDescent="0.25">
      <c r="A414" s="39" t="s">
        <v>1276</v>
      </c>
      <c r="B414" s="33">
        <v>44981</v>
      </c>
      <c r="C414" s="32" t="s">
        <v>23</v>
      </c>
      <c r="D414" s="32" t="s">
        <v>4</v>
      </c>
      <c r="E414" s="32" t="s">
        <v>662</v>
      </c>
      <c r="F414" s="32" cm="1">
        <f t="array" aca="1" ref="F414" ca="1">IF(Table3[[#This Row],[Stage]]="Closed",0,IF(IFERROR(
  IF(
    COUNTIF(A$2:A$1997, A414) &gt; 1,
    MIN(IF(A$2:A$1997=A414, IF(B$2:B$1997&gt;B414, B$2:B$1997))) - B414,
    TODAY() - Table3[[#This Row],[Date of Update]]
  ),
  TODAY()-Table3[[#This Row],[Date of Update]]
)&lt;=0,
TODAY()-Table3[[#This Row],[Date of Update]],
IFERROR(
  IF(
    COUNTIF(A$2:A$1997, A414) &gt; 1,
    MIN(IF(A$2:A$1997=A414, IF(B$2:B$1997&gt;B414, B$2:B$1997))) - B414,
    TODAY() - Table3[[#This Row],[Date of Update]]
  ),
  TODAY()-Table3[[#This Row],[Date of Update]]
)))</f>
        <v>27</v>
      </c>
      <c r="G414" s="40" t="str">
        <f>IF(Table3[[#This Row],[Stage]]="Closed",Table3[[#This Row],[Date of Update]]-(_xlfn.MINIFS(Table3[Date of Update],Table3[Ref], Table3[[#This Row],[Ref]])),"")</f>
        <v/>
      </c>
    </row>
    <row r="415" spans="1:7" x14ac:dyDescent="0.25">
      <c r="A415" s="39" t="s">
        <v>1247</v>
      </c>
      <c r="B415" s="33">
        <v>44981</v>
      </c>
      <c r="C415" s="32" t="s">
        <v>169</v>
      </c>
      <c r="D415" s="32" t="s">
        <v>4</v>
      </c>
      <c r="E415" s="32" t="s">
        <v>580</v>
      </c>
      <c r="F415" s="32" cm="1">
        <f t="array" aca="1" ref="F415" ca="1">IF(Table3[[#This Row],[Stage]]="Closed",0,IF(IFERROR(
  IF(
    COUNTIF(A$2:A$1997, A415) &gt; 1,
    MIN(IF(A$2:A$1997=A415, IF(B$2:B$1997&gt;B415, B$2:B$1997))) - B415,
    TODAY() - Table3[[#This Row],[Date of Update]]
  ),
  TODAY()-Table3[[#This Row],[Date of Update]]
)&lt;=0,
TODAY()-Table3[[#This Row],[Date of Update]],
IFERROR(
  IF(
    COUNTIF(A$2:A$1997, A415) &gt; 1,
    MIN(IF(A$2:A$1997=A415, IF(B$2:B$1997&gt;B415, B$2:B$1997))) - B415,
    TODAY() - Table3[[#This Row],[Date of Update]]
  ),
  TODAY()-Table3[[#This Row],[Date of Update]]
)))</f>
        <v>0</v>
      </c>
      <c r="G415" s="40">
        <f>IF(Table3[[#This Row],[Stage]]="Closed",Table3[[#This Row],[Date of Update]]-(_xlfn.MINIFS(Table3[Date of Update],Table3[Ref], Table3[[#This Row],[Ref]])),"")</f>
        <v>85</v>
      </c>
    </row>
    <row r="416" spans="1:7" x14ac:dyDescent="0.25">
      <c r="A416" s="39" t="s">
        <v>1210</v>
      </c>
      <c r="B416" s="33">
        <v>44981</v>
      </c>
      <c r="C416" s="32" t="s">
        <v>169</v>
      </c>
      <c r="D416" s="32" t="s">
        <v>4</v>
      </c>
      <c r="E416" s="32" t="s">
        <v>498</v>
      </c>
      <c r="F416" s="32" cm="1">
        <f t="array" aca="1" ref="F416" ca="1">IF(Table3[[#This Row],[Stage]]="Closed",0,IF(IFERROR(
  IF(
    COUNTIF(A$2:A$1997, A416) &gt; 1,
    MIN(IF(A$2:A$1997=A416, IF(B$2:B$1997&gt;B416, B$2:B$1997))) - B416,
    TODAY() - Table3[[#This Row],[Date of Update]]
  ),
  TODAY()-Table3[[#This Row],[Date of Update]]
)&lt;=0,
TODAY()-Table3[[#This Row],[Date of Update]],
IFERROR(
  IF(
    COUNTIF(A$2:A$1997, A416) &gt; 1,
    MIN(IF(A$2:A$1997=A416, IF(B$2:B$1997&gt;B416, B$2:B$1997))) - B416,
    TODAY() - Table3[[#This Row],[Date of Update]]
  ),
  TODAY()-Table3[[#This Row],[Date of Update]]
)))</f>
        <v>0</v>
      </c>
      <c r="G416" s="40">
        <f>IF(Table3[[#This Row],[Stage]]="Closed",Table3[[#This Row],[Date of Update]]-(_xlfn.MINIFS(Table3[Date of Update],Table3[Ref], Table3[[#This Row],[Ref]])),"")</f>
        <v>134</v>
      </c>
    </row>
    <row r="417" spans="1:7" x14ac:dyDescent="0.25">
      <c r="A417" s="39" t="s">
        <v>1252</v>
      </c>
      <c r="B417" s="33">
        <v>44981</v>
      </c>
      <c r="C417" s="32" t="s">
        <v>169</v>
      </c>
      <c r="D417" s="32" t="s">
        <v>4</v>
      </c>
      <c r="E417" s="32" t="s">
        <v>605</v>
      </c>
      <c r="F417" s="32" cm="1">
        <f t="array" aca="1" ref="F417" ca="1">IF(Table3[[#This Row],[Stage]]="Closed",0,IF(IFERROR(
  IF(
    COUNTIF(A$2:A$1997, A417) &gt; 1,
    MIN(IF(A$2:A$1997=A417, IF(B$2:B$1997&gt;B417, B$2:B$1997))) - B417,
    TODAY() - Table3[[#This Row],[Date of Update]]
  ),
  TODAY()-Table3[[#This Row],[Date of Update]]
)&lt;=0,
TODAY()-Table3[[#This Row],[Date of Update]],
IFERROR(
  IF(
    COUNTIF(A$2:A$1997, A417) &gt; 1,
    MIN(IF(A$2:A$1997=A417, IF(B$2:B$1997&gt;B417, B$2:B$1997))) - B417,
    TODAY() - Table3[[#This Row],[Date of Update]]
  ),
  TODAY()-Table3[[#This Row],[Date of Update]]
)))</f>
        <v>0</v>
      </c>
      <c r="G417" s="40">
        <f>IF(Table3[[#This Row],[Stage]]="Closed",Table3[[#This Row],[Date of Update]]-(_xlfn.MINIFS(Table3[Date of Update],Table3[Ref], Table3[[#This Row],[Ref]])),"")</f>
        <v>30</v>
      </c>
    </row>
    <row r="418" spans="1:7" x14ac:dyDescent="0.25">
      <c r="A418" s="39" t="s">
        <v>1258</v>
      </c>
      <c r="B418" s="33">
        <v>44981</v>
      </c>
      <c r="C418" s="32" t="s">
        <v>23</v>
      </c>
      <c r="D418" s="32" t="s">
        <v>4</v>
      </c>
      <c r="E418" s="32" t="s">
        <v>627</v>
      </c>
      <c r="F418" s="32" cm="1">
        <f t="array" aca="1" ref="F418" ca="1">IF(Table3[[#This Row],[Stage]]="Closed",0,IF(IFERROR(
  IF(
    COUNTIF(A$2:A$1997, A418) &gt; 1,
    MIN(IF(A$2:A$1997=A418, IF(B$2:B$1997&gt;B418, B$2:B$1997))) - B418,
    TODAY() - Table3[[#This Row],[Date of Update]]
  ),
  TODAY()-Table3[[#This Row],[Date of Update]]
)&lt;=0,
TODAY()-Table3[[#This Row],[Date of Update]],
IFERROR(
  IF(
    COUNTIF(A$2:A$1997, A418) &gt; 1,
    MIN(IF(A$2:A$1997=A418, IF(B$2:B$1997&gt;B418, B$2:B$1997))) - B418,
    TODAY() - Table3[[#This Row],[Date of Update]]
  ),
  TODAY()-Table3[[#This Row],[Date of Update]]
)))</f>
        <v>6</v>
      </c>
      <c r="G418" s="40" t="str">
        <f>IF(Table3[[#This Row],[Stage]]="Closed",Table3[[#This Row],[Date of Update]]-(_xlfn.MINIFS(Table3[Date of Update],Table3[Ref], Table3[[#This Row],[Ref]])),"")</f>
        <v/>
      </c>
    </row>
    <row r="419" spans="1:7" x14ac:dyDescent="0.25">
      <c r="A419" s="39" t="s">
        <v>1251</v>
      </c>
      <c r="B419" s="33">
        <v>44981</v>
      </c>
      <c r="C419" s="32" t="s">
        <v>169</v>
      </c>
      <c r="D419" s="32" t="s">
        <v>4</v>
      </c>
      <c r="E419" s="32" t="s">
        <v>600</v>
      </c>
      <c r="F419" s="32" cm="1">
        <f t="array" aca="1" ref="F419" ca="1">IF(Table3[[#This Row],[Stage]]="Closed",0,IF(IFERROR(
  IF(
    COUNTIF(A$2:A$1997, A419) &gt; 1,
    MIN(IF(A$2:A$1997=A419, IF(B$2:B$1997&gt;B419, B$2:B$1997))) - B419,
    TODAY() - Table3[[#This Row],[Date of Update]]
  ),
  TODAY()-Table3[[#This Row],[Date of Update]]
)&lt;=0,
TODAY()-Table3[[#This Row],[Date of Update]],
IFERROR(
  IF(
    COUNTIF(A$2:A$1997, A419) &gt; 1,
    MIN(IF(A$2:A$1997=A419, IF(B$2:B$1997&gt;B419, B$2:B$1997))) - B419,
    TODAY() - Table3[[#This Row],[Date of Update]]
  ),
  TODAY()-Table3[[#This Row],[Date of Update]]
)))</f>
        <v>0</v>
      </c>
      <c r="G419" s="40">
        <f>IF(Table3[[#This Row],[Stage]]="Closed",Table3[[#This Row],[Date of Update]]-(_xlfn.MINIFS(Table3[Date of Update],Table3[Ref], Table3[[#This Row],[Ref]])),"")</f>
        <v>36</v>
      </c>
    </row>
    <row r="420" spans="1:7" x14ac:dyDescent="0.25">
      <c r="A420" s="39" t="s">
        <v>1248</v>
      </c>
      <c r="B420" s="33">
        <v>44981</v>
      </c>
      <c r="C420" s="32" t="s">
        <v>169</v>
      </c>
      <c r="D420" s="32" t="s">
        <v>4</v>
      </c>
      <c r="E420" s="32" t="s">
        <v>590</v>
      </c>
      <c r="F420" s="32" cm="1">
        <f t="array" aca="1" ref="F420" ca="1">IF(Table3[[#This Row],[Stage]]="Closed",0,IF(IFERROR(
  IF(
    COUNTIF(A$2:A$1997, A420) &gt; 1,
    MIN(IF(A$2:A$1997=A420, IF(B$2:B$1997&gt;B420, B$2:B$1997))) - B420,
    TODAY() - Table3[[#This Row],[Date of Update]]
  ),
  TODAY()-Table3[[#This Row],[Date of Update]]
)&lt;=0,
TODAY()-Table3[[#This Row],[Date of Update]],
IFERROR(
  IF(
    COUNTIF(A$2:A$1997, A420) &gt; 1,
    MIN(IF(A$2:A$1997=A420, IF(B$2:B$1997&gt;B420, B$2:B$1997))) - B420,
    TODAY() - Table3[[#This Row],[Date of Update]]
  ),
  TODAY()-Table3[[#This Row],[Date of Update]]
)))</f>
        <v>0</v>
      </c>
      <c r="G420" s="40">
        <f>IF(Table3[[#This Row],[Stage]]="Closed",Table3[[#This Row],[Date of Update]]-(_xlfn.MINIFS(Table3[Date of Update],Table3[Ref], Table3[[#This Row],[Ref]])),"")</f>
        <v>63</v>
      </c>
    </row>
    <row r="421" spans="1:7" x14ac:dyDescent="0.25">
      <c r="A421" s="39" t="s">
        <v>1246</v>
      </c>
      <c r="B421" s="33">
        <v>44981</v>
      </c>
      <c r="C421" s="32" t="s">
        <v>169</v>
      </c>
      <c r="D421" s="32" t="s">
        <v>4</v>
      </c>
      <c r="E421" s="32" t="s">
        <v>578</v>
      </c>
      <c r="F421" s="32" cm="1">
        <f t="array" aca="1" ref="F421" ca="1">IF(Table3[[#This Row],[Stage]]="Closed",0,IF(IFERROR(
  IF(
    COUNTIF(A$2:A$1997, A421) &gt; 1,
    MIN(IF(A$2:A$1997=A421, IF(B$2:B$1997&gt;B421, B$2:B$1997))) - B421,
    TODAY() - Table3[[#This Row],[Date of Update]]
  ),
  TODAY()-Table3[[#This Row],[Date of Update]]
)&lt;=0,
TODAY()-Table3[[#This Row],[Date of Update]],
IFERROR(
  IF(
    COUNTIF(A$2:A$1997, A421) &gt; 1,
    MIN(IF(A$2:A$1997=A421, IF(B$2:B$1997&gt;B421, B$2:B$1997))) - B421,
    TODAY() - Table3[[#This Row],[Date of Update]]
  ),
  TODAY()-Table3[[#This Row],[Date of Update]]
)))</f>
        <v>0</v>
      </c>
      <c r="G421" s="40">
        <f>IF(Table3[[#This Row],[Stage]]="Closed",Table3[[#This Row],[Date of Update]]-(_xlfn.MINIFS(Table3[Date of Update],Table3[Ref], Table3[[#This Row],[Ref]])),"")</f>
        <v>86</v>
      </c>
    </row>
    <row r="422" spans="1:7" x14ac:dyDescent="0.25">
      <c r="A422" s="39" t="s">
        <v>1245</v>
      </c>
      <c r="B422" s="33">
        <v>44981</v>
      </c>
      <c r="C422" s="32" t="s">
        <v>169</v>
      </c>
      <c r="D422" s="32" t="s">
        <v>4</v>
      </c>
      <c r="E422" s="32" t="s">
        <v>453</v>
      </c>
      <c r="F422" s="32" cm="1">
        <f t="array" aca="1" ref="F422" ca="1">IF(Table3[[#This Row],[Stage]]="Closed",0,IF(IFERROR(
  IF(
    COUNTIF(A$2:A$1997, A422) &gt; 1,
    MIN(IF(A$2:A$1997=A422, IF(B$2:B$1997&gt;B422, B$2:B$1997))) - B422,
    TODAY() - Table3[[#This Row],[Date of Update]]
  ),
  TODAY()-Table3[[#This Row],[Date of Update]]
)&lt;=0,
TODAY()-Table3[[#This Row],[Date of Update]],
IFERROR(
  IF(
    COUNTIF(A$2:A$1997, A422) &gt; 1,
    MIN(IF(A$2:A$1997=A422, IF(B$2:B$1997&gt;B422, B$2:B$1997))) - B422,
    TODAY() - Table3[[#This Row],[Date of Update]]
  ),
  TODAY()-Table3[[#This Row],[Date of Update]]
)))</f>
        <v>0</v>
      </c>
      <c r="G422" s="40">
        <f>IF(Table3[[#This Row],[Stage]]="Closed",Table3[[#This Row],[Date of Update]]-(_xlfn.MINIFS(Table3[Date of Update],Table3[Ref], Table3[[#This Row],[Ref]])),"")</f>
        <v>92</v>
      </c>
    </row>
    <row r="423" spans="1:7" x14ac:dyDescent="0.25">
      <c r="A423" s="39" t="s">
        <v>1250</v>
      </c>
      <c r="B423" s="33">
        <v>44981</v>
      </c>
      <c r="C423" s="32" t="s">
        <v>169</v>
      </c>
      <c r="D423" s="32" t="s">
        <v>4</v>
      </c>
      <c r="E423" s="32" t="s">
        <v>55</v>
      </c>
      <c r="F423" s="32" cm="1">
        <f t="array" aca="1" ref="F423" ca="1">IF(Table3[[#This Row],[Stage]]="Closed",0,IF(IFERROR(
  IF(
    COUNTIF(A$2:A$1997, A423) &gt; 1,
    MIN(IF(A$2:A$1997=A423, IF(B$2:B$1997&gt;B423, B$2:B$1997))) - B423,
    TODAY() - Table3[[#This Row],[Date of Update]]
  ),
  TODAY()-Table3[[#This Row],[Date of Update]]
)&lt;=0,
TODAY()-Table3[[#This Row],[Date of Update]],
IFERROR(
  IF(
    COUNTIF(A$2:A$1997, A423) &gt; 1,
    MIN(IF(A$2:A$1997=A423, IF(B$2:B$1997&gt;B423, B$2:B$1997))) - B423,
    TODAY() - Table3[[#This Row],[Date of Update]]
  ),
  TODAY()-Table3[[#This Row],[Date of Update]]
)))</f>
        <v>0</v>
      </c>
      <c r="G423" s="40">
        <f>IF(Table3[[#This Row],[Stage]]="Closed",Table3[[#This Row],[Date of Update]]-(_xlfn.MINIFS(Table3[Date of Update],Table3[Ref], Table3[[#This Row],[Ref]])),"")</f>
        <v>38</v>
      </c>
    </row>
    <row r="424" spans="1:7" x14ac:dyDescent="0.25">
      <c r="A424" s="39" t="s">
        <v>1538</v>
      </c>
      <c r="B424" s="33">
        <v>44981</v>
      </c>
      <c r="C424" s="32" t="s">
        <v>169</v>
      </c>
      <c r="D424" s="32" t="s">
        <v>4</v>
      </c>
      <c r="E424" s="32" t="s">
        <v>583</v>
      </c>
      <c r="F424" s="32" cm="1">
        <f t="array" aca="1" ref="F424" ca="1">IF(Table3[[#This Row],[Stage]]="Closed",0,IF(IFERROR(
  IF(
    COUNTIF(A$2:A$1997, A424) &gt; 1,
    MIN(IF(A$2:A$1997=A424, IF(B$2:B$1997&gt;B424, B$2:B$1997))) - B424,
    TODAY() - Table3[[#This Row],[Date of Update]]
  ),
  TODAY()-Table3[[#This Row],[Date of Update]]
)&lt;=0,
TODAY()-Table3[[#This Row],[Date of Update]],
IFERROR(
  IF(
    COUNTIF(A$2:A$1997, A424) &gt; 1,
    MIN(IF(A$2:A$1997=A424, IF(B$2:B$1997&gt;B424, B$2:B$1997))) - B424,
    TODAY() - Table3[[#This Row],[Date of Update]]
  ),
  TODAY()-Table3[[#This Row],[Date of Update]]
)))</f>
        <v>0</v>
      </c>
      <c r="G424" s="40">
        <f>IF(Table3[[#This Row],[Stage]]="Closed",Table3[[#This Row],[Date of Update]]-(_xlfn.MINIFS(Table3[Date of Update],Table3[Ref], Table3[[#This Row],[Ref]])),"")</f>
        <v>84</v>
      </c>
    </row>
    <row r="425" spans="1:7" x14ac:dyDescent="0.25">
      <c r="A425" s="39" t="s">
        <v>1539</v>
      </c>
      <c r="B425" s="33">
        <v>44981</v>
      </c>
      <c r="C425" s="32" t="s">
        <v>169</v>
      </c>
      <c r="D425" s="32" t="s">
        <v>4</v>
      </c>
      <c r="E425" s="32" t="s">
        <v>585</v>
      </c>
      <c r="F425" s="32" cm="1">
        <f t="array" aca="1" ref="F425" ca="1">IF(Table3[[#This Row],[Stage]]="Closed",0,IF(IFERROR(
  IF(
    COUNTIF(A$2:A$1997, A425) &gt; 1,
    MIN(IF(A$2:A$1997=A425, IF(B$2:B$1997&gt;B425, B$2:B$1997))) - B425,
    TODAY() - Table3[[#This Row],[Date of Update]]
  ),
  TODAY()-Table3[[#This Row],[Date of Update]]
)&lt;=0,
TODAY()-Table3[[#This Row],[Date of Update]],
IFERROR(
  IF(
    COUNTIF(A$2:A$1997, A425) &gt; 1,
    MIN(IF(A$2:A$1997=A425, IF(B$2:B$1997&gt;B425, B$2:B$1997))) - B425,
    TODAY() - Table3[[#This Row],[Date of Update]]
  ),
  TODAY()-Table3[[#This Row],[Date of Update]]
)))</f>
        <v>0</v>
      </c>
      <c r="G425" s="40">
        <f>IF(Table3[[#This Row],[Stage]]="Closed",Table3[[#This Row],[Date of Update]]-(_xlfn.MINIFS(Table3[Date of Update],Table3[Ref], Table3[[#This Row],[Ref]])),"")</f>
        <v>84</v>
      </c>
    </row>
    <row r="426" spans="1:7" x14ac:dyDescent="0.25">
      <c r="A426" s="39" t="s">
        <v>1249</v>
      </c>
      <c r="B426" s="33">
        <v>44981</v>
      </c>
      <c r="C426" s="32" t="s">
        <v>169</v>
      </c>
      <c r="D426" s="32" t="s">
        <v>4</v>
      </c>
      <c r="E426" s="32" t="s">
        <v>595</v>
      </c>
      <c r="F426" s="32" cm="1">
        <f t="array" aca="1" ref="F426" ca="1">IF(Table3[[#This Row],[Stage]]="Closed",0,IF(IFERROR(
  IF(
    COUNTIF(A$2:A$1997, A426) &gt; 1,
    MIN(IF(A$2:A$1997=A426, IF(B$2:B$1997&gt;B426, B$2:B$1997))) - B426,
    TODAY() - Table3[[#This Row],[Date of Update]]
  ),
  TODAY()-Table3[[#This Row],[Date of Update]]
)&lt;=0,
TODAY()-Table3[[#This Row],[Date of Update]],
IFERROR(
  IF(
    COUNTIF(A$2:A$1997, A426) &gt; 1,
    MIN(IF(A$2:A$1997=A426, IF(B$2:B$1997&gt;B426, B$2:B$1997))) - B426,
    TODAY() - Table3[[#This Row],[Date of Update]]
  ),
  TODAY()-Table3[[#This Row],[Date of Update]]
)))</f>
        <v>0</v>
      </c>
      <c r="G426" s="40">
        <f>IF(Table3[[#This Row],[Stage]]="Closed",Table3[[#This Row],[Date of Update]]-(_xlfn.MINIFS(Table3[Date of Update],Table3[Ref], Table3[[#This Row],[Ref]])),"")</f>
        <v>44</v>
      </c>
    </row>
    <row r="427" spans="1:7" x14ac:dyDescent="0.25">
      <c r="A427" s="39" t="s">
        <v>1255</v>
      </c>
      <c r="B427" s="33">
        <v>44982</v>
      </c>
      <c r="C427" s="32" t="s">
        <v>169</v>
      </c>
      <c r="D427" s="32" t="s">
        <v>4</v>
      </c>
      <c r="E427" s="32" t="s">
        <v>617</v>
      </c>
      <c r="F427" s="32" cm="1">
        <f t="array" aca="1" ref="F427" ca="1">IF(Table3[[#This Row],[Stage]]="Closed",0,IF(IFERROR(
  IF(
    COUNTIF(A$2:A$1997, A427) &gt; 1,
    MIN(IF(A$2:A$1997=A427, IF(B$2:B$1997&gt;B427, B$2:B$1997))) - B427,
    TODAY() - Table3[[#This Row],[Date of Update]]
  ),
  TODAY()-Table3[[#This Row],[Date of Update]]
)&lt;=0,
TODAY()-Table3[[#This Row],[Date of Update]],
IFERROR(
  IF(
    COUNTIF(A$2:A$1997, A427) &gt; 1,
    MIN(IF(A$2:A$1997=A427, IF(B$2:B$1997&gt;B427, B$2:B$1997))) - B427,
    TODAY() - Table3[[#This Row],[Date of Update]]
  ),
  TODAY()-Table3[[#This Row],[Date of Update]]
)))</f>
        <v>0</v>
      </c>
      <c r="G427" s="40">
        <f>IF(Table3[[#This Row],[Stage]]="Closed",Table3[[#This Row],[Date of Update]]-(_xlfn.MINIFS(Table3[Date of Update],Table3[Ref], Table3[[#This Row],[Ref]])),"")</f>
        <v>31</v>
      </c>
    </row>
    <row r="428" spans="1:7" x14ac:dyDescent="0.25">
      <c r="A428" s="39" t="s">
        <v>1270</v>
      </c>
      <c r="B428" s="33">
        <v>44984</v>
      </c>
      <c r="C428" s="32" t="s">
        <v>23</v>
      </c>
      <c r="D428" s="32" t="s">
        <v>4</v>
      </c>
      <c r="E428" s="32" t="s">
        <v>648</v>
      </c>
      <c r="F428" s="32" cm="1">
        <f t="array" aca="1" ref="F428" ca="1">IF(Table3[[#This Row],[Stage]]="Closed",0,IF(IFERROR(
  IF(
    COUNTIF(A$2:A$1997, A428) &gt; 1,
    MIN(IF(A$2:A$1997=A428, IF(B$2:B$1997&gt;B428, B$2:B$1997))) - B428,
    TODAY() - Table3[[#This Row],[Date of Update]]
  ),
  TODAY()-Table3[[#This Row],[Date of Update]]
)&lt;=0,
TODAY()-Table3[[#This Row],[Date of Update]],
IFERROR(
  IF(
    COUNTIF(A$2:A$1997, A428) &gt; 1,
    MIN(IF(A$2:A$1997=A428, IF(B$2:B$1997&gt;B428, B$2:B$1997))) - B428,
    TODAY() - Table3[[#This Row],[Date of Update]]
  ),
  TODAY()-Table3[[#This Row],[Date of Update]]
)))</f>
        <v>11</v>
      </c>
      <c r="G428" s="40" t="str">
        <f>IF(Table3[[#This Row],[Stage]]="Closed",Table3[[#This Row],[Date of Update]]-(_xlfn.MINIFS(Table3[Date of Update],Table3[Ref], Table3[[#This Row],[Ref]])),"")</f>
        <v/>
      </c>
    </row>
    <row r="429" spans="1:7" x14ac:dyDescent="0.25">
      <c r="A429" s="39" t="s">
        <v>1234</v>
      </c>
      <c r="B429" s="33">
        <v>44985</v>
      </c>
      <c r="C429" s="32" t="s">
        <v>169</v>
      </c>
      <c r="D429" s="32" t="s">
        <v>4</v>
      </c>
      <c r="E429" s="32"/>
      <c r="F429" s="32" cm="1">
        <f t="array" aca="1" ref="F429" ca="1">IF(Table3[[#This Row],[Stage]]="Closed",0,IF(IFERROR(
  IF(
    COUNTIF(A$2:A$1997, A429) &gt; 1,
    MIN(IF(A$2:A$1997=A429, IF(B$2:B$1997&gt;B429, B$2:B$1997))) - B429,
    TODAY() - Table3[[#This Row],[Date of Update]]
  ),
  TODAY()-Table3[[#This Row],[Date of Update]]
)&lt;=0,
TODAY()-Table3[[#This Row],[Date of Update]],
IFERROR(
  IF(
    COUNTIF(A$2:A$1997, A429) &gt; 1,
    MIN(IF(A$2:A$1997=A429, IF(B$2:B$1997&gt;B429, B$2:B$1997))) - B429,
    TODAY() - Table3[[#This Row],[Date of Update]]
  ),
  TODAY()-Table3[[#This Row],[Date of Update]]
)))</f>
        <v>0</v>
      </c>
      <c r="G429" s="40">
        <f>IF(Table3[[#This Row],[Stage]]="Closed",Table3[[#This Row],[Date of Update]]-(_xlfn.MINIFS(Table3[Date of Update],Table3[Ref], Table3[[#This Row],[Ref]])),"")</f>
        <v>55</v>
      </c>
    </row>
    <row r="430" spans="1:7" x14ac:dyDescent="0.25">
      <c r="A430" s="39" t="s">
        <v>1244</v>
      </c>
      <c r="B430" s="33">
        <v>44986</v>
      </c>
      <c r="C430" s="32" t="s">
        <v>169</v>
      </c>
      <c r="D430" s="32" t="s">
        <v>4</v>
      </c>
      <c r="E430" s="32"/>
      <c r="F430" s="32" cm="1">
        <f t="array" aca="1" ref="F430" ca="1">IF(Table3[[#This Row],[Stage]]="Closed",0,IF(IFERROR(
  IF(
    COUNTIF(A$2:A$1997, A430) &gt; 1,
    MIN(IF(A$2:A$1997=A430, IF(B$2:B$1997&gt;B430, B$2:B$1997))) - B430,
    TODAY() - Table3[[#This Row],[Date of Update]]
  ),
  TODAY()-Table3[[#This Row],[Date of Update]]
)&lt;=0,
TODAY()-Table3[[#This Row],[Date of Update]],
IFERROR(
  IF(
    COUNTIF(A$2:A$1997, A430) &gt; 1,
    MIN(IF(A$2:A$1997=A430, IF(B$2:B$1997&gt;B430, B$2:B$1997))) - B430,
    TODAY() - Table3[[#This Row],[Date of Update]]
  ),
  TODAY()-Table3[[#This Row],[Date of Update]]
)))</f>
        <v>0</v>
      </c>
      <c r="G430" s="40">
        <f>IF(Table3[[#This Row],[Stage]]="Closed",Table3[[#This Row],[Date of Update]]-(_xlfn.MINIFS(Table3[Date of Update],Table3[Ref], Table3[[#This Row],[Ref]])),"")</f>
        <v>43</v>
      </c>
    </row>
    <row r="431" spans="1:7" x14ac:dyDescent="0.25">
      <c r="A431" s="39" t="s">
        <v>1256</v>
      </c>
      <c r="B431" s="33">
        <v>44987</v>
      </c>
      <c r="C431" s="32" t="s">
        <v>169</v>
      </c>
      <c r="D431" s="32" t="s">
        <v>4</v>
      </c>
      <c r="E431" s="32" t="s">
        <v>622</v>
      </c>
      <c r="F431" s="32" cm="1">
        <f t="array" aca="1" ref="F431" ca="1">IF(Table3[[#This Row],[Stage]]="Closed",0,IF(IFERROR(
  IF(
    COUNTIF(A$2:A$1997, A431) &gt; 1,
    MIN(IF(A$2:A$1997=A431, IF(B$2:B$1997&gt;B431, B$2:B$1997))) - B431,
    TODAY() - Table3[[#This Row],[Date of Update]]
  ),
  TODAY()-Table3[[#This Row],[Date of Update]]
)&lt;=0,
TODAY()-Table3[[#This Row],[Date of Update]],
IFERROR(
  IF(
    COUNTIF(A$2:A$1997, A431) &gt; 1,
    MIN(IF(A$2:A$1997=A431, IF(B$2:B$1997&gt;B431, B$2:B$1997))) - B431,
    TODAY() - Table3[[#This Row],[Date of Update]]
  ),
  TODAY()-Table3[[#This Row],[Date of Update]]
)))</f>
        <v>0</v>
      </c>
      <c r="G431" s="40">
        <f>IF(Table3[[#This Row],[Stage]]="Closed",Table3[[#This Row],[Date of Update]]-(_xlfn.MINIFS(Table3[Date of Update],Table3[Ref], Table3[[#This Row],[Ref]])),"")</f>
        <v>36</v>
      </c>
    </row>
    <row r="432" spans="1:7" x14ac:dyDescent="0.25">
      <c r="A432" s="39" t="s">
        <v>1300</v>
      </c>
      <c r="B432" s="33">
        <v>44987</v>
      </c>
      <c r="C432" s="32" t="s">
        <v>23</v>
      </c>
      <c r="D432" s="32" t="s">
        <v>4</v>
      </c>
      <c r="E432" s="32" t="s">
        <v>412</v>
      </c>
      <c r="F432" s="32" cm="1">
        <f t="array" aca="1" ref="F432" ca="1">IF(Table3[[#This Row],[Stage]]="Closed",0,IF(IFERROR(
  IF(
    COUNTIF(A$2:A$1997, A432) &gt; 1,
    MIN(IF(A$2:A$1997=A432, IF(B$2:B$1997&gt;B432, B$2:B$1997))) - B432,
    TODAY() - Table3[[#This Row],[Date of Update]]
  ),
  TODAY()-Table3[[#This Row],[Date of Update]]
)&lt;=0,
TODAY()-Table3[[#This Row],[Date of Update]],
IFERROR(
  IF(
    COUNTIF(A$2:A$1997, A432) &gt; 1,
    MIN(IF(A$2:A$1997=A432, IF(B$2:B$1997&gt;B432, B$2:B$1997))) - B432,
    TODAY() - Table3[[#This Row],[Date of Update]]
  ),
  TODAY()-Table3[[#This Row],[Date of Update]]
)))</f>
        <v>61</v>
      </c>
      <c r="G432" s="40" t="str">
        <f>IF(Table3[[#This Row],[Stage]]="Closed",Table3[[#This Row],[Date of Update]]-(_xlfn.MINIFS(Table3[Date of Update],Table3[Ref], Table3[[#This Row],[Ref]])),"")</f>
        <v/>
      </c>
    </row>
    <row r="433" spans="1:7" x14ac:dyDescent="0.25">
      <c r="A433" s="39" t="s">
        <v>1258</v>
      </c>
      <c r="B433" s="33">
        <v>44987</v>
      </c>
      <c r="C433" s="32" t="s">
        <v>169</v>
      </c>
      <c r="D433" s="32" t="s">
        <v>4</v>
      </c>
      <c r="E433" s="32" t="s">
        <v>627</v>
      </c>
      <c r="F433" s="32" cm="1">
        <f t="array" aca="1" ref="F433" ca="1">IF(Table3[[#This Row],[Stage]]="Closed",0,IF(IFERROR(
  IF(
    COUNTIF(A$2:A$1997, A433) &gt; 1,
    MIN(IF(A$2:A$1997=A433, IF(B$2:B$1997&gt;B433, B$2:B$1997))) - B433,
    TODAY() - Table3[[#This Row],[Date of Update]]
  ),
  TODAY()-Table3[[#This Row],[Date of Update]]
)&lt;=0,
TODAY()-Table3[[#This Row],[Date of Update]],
IFERROR(
  IF(
    COUNTIF(A$2:A$1997, A433) &gt; 1,
    MIN(IF(A$2:A$1997=A433, IF(B$2:B$1997&gt;B433, B$2:B$1997))) - B433,
    TODAY() - Table3[[#This Row],[Date of Update]]
  ),
  TODAY()-Table3[[#This Row],[Date of Update]]
)))</f>
        <v>0</v>
      </c>
      <c r="G433" s="40">
        <f>IF(Table3[[#This Row],[Stage]]="Closed",Table3[[#This Row],[Date of Update]]-(_xlfn.MINIFS(Table3[Date of Update],Table3[Ref], Table3[[#This Row],[Ref]])),"")</f>
        <v>6</v>
      </c>
    </row>
    <row r="434" spans="1:7" x14ac:dyDescent="0.25">
      <c r="A434" s="39" t="s">
        <v>1516</v>
      </c>
      <c r="B434" s="33">
        <v>44987</v>
      </c>
      <c r="C434" s="32" t="s">
        <v>169</v>
      </c>
      <c r="D434" s="32" t="s">
        <v>4</v>
      </c>
      <c r="E434" s="32" t="s">
        <v>453</v>
      </c>
      <c r="F434" s="32" cm="1">
        <f t="array" aca="1" ref="F434" ca="1">IF(Table3[[#This Row],[Stage]]="Closed",0,IF(IFERROR(
  IF(
    COUNTIF(A$2:A$1997, A434) &gt; 1,
    MIN(IF(A$2:A$1997=A434, IF(B$2:B$1997&gt;B434, B$2:B$1997))) - B434,
    TODAY() - Table3[[#This Row],[Date of Update]]
  ),
  TODAY()-Table3[[#This Row],[Date of Update]]
)&lt;=0,
TODAY()-Table3[[#This Row],[Date of Update]],
IFERROR(
  IF(
    COUNTIF(A$2:A$1997, A434) &gt; 1,
    MIN(IF(A$2:A$1997=A434, IF(B$2:B$1997&gt;B434, B$2:B$1997))) - B434,
    TODAY() - Table3[[#This Row],[Date of Update]]
  ),
  TODAY()-Table3[[#This Row],[Date of Update]]
)))</f>
        <v>0</v>
      </c>
      <c r="G434" s="40">
        <f>IF(Table3[[#This Row],[Stage]]="Closed",Table3[[#This Row],[Date of Update]]-(_xlfn.MINIFS(Table3[Date of Update],Table3[Ref], Table3[[#This Row],[Ref]])),"")</f>
        <v>218</v>
      </c>
    </row>
    <row r="435" spans="1:7" x14ac:dyDescent="0.25">
      <c r="A435" s="39" t="s">
        <v>1522</v>
      </c>
      <c r="B435" s="33">
        <v>44987</v>
      </c>
      <c r="C435" s="32" t="s">
        <v>23</v>
      </c>
      <c r="D435" s="32" t="s">
        <v>4</v>
      </c>
      <c r="E435" s="32" t="s">
        <v>650</v>
      </c>
      <c r="F435" s="32" cm="1">
        <f t="array" aca="1" ref="F435" ca="1">IF(Table3[[#This Row],[Stage]]="Closed",0,IF(IFERROR(
  IF(
    COUNTIF(A$2:A$1997, A435) &gt; 1,
    MIN(IF(A$2:A$1997=A435, IF(B$2:B$1997&gt;B435, B$2:B$1997))) - B435,
    TODAY() - Table3[[#This Row],[Date of Update]]
  ),
  TODAY()-Table3[[#This Row],[Date of Update]]
)&lt;=0,
TODAY()-Table3[[#This Row],[Date of Update]],
IFERROR(
  IF(
    COUNTIF(A$2:A$1997, A435) &gt; 1,
    MIN(IF(A$2:A$1997=A435, IF(B$2:B$1997&gt;B435, B$2:B$1997))) - B435,
    TODAY() - Table3[[#This Row],[Date of Update]]
  ),
  TODAY()-Table3[[#This Row],[Date of Update]]
)))</f>
        <v>8</v>
      </c>
      <c r="G435" s="40" t="str">
        <f>IF(Table3[[#This Row],[Stage]]="Closed",Table3[[#This Row],[Date of Update]]-(_xlfn.MINIFS(Table3[Date of Update],Table3[Ref], Table3[[#This Row],[Ref]])),"")</f>
        <v/>
      </c>
    </row>
    <row r="436" spans="1:7" x14ac:dyDescent="0.25">
      <c r="A436" s="39" t="s">
        <v>1288</v>
      </c>
      <c r="B436" s="33">
        <v>44987</v>
      </c>
      <c r="C436" s="32" t="s">
        <v>23</v>
      </c>
      <c r="D436" s="32" t="s">
        <v>4</v>
      </c>
      <c r="E436" s="32" t="s">
        <v>690</v>
      </c>
      <c r="F436" s="32" cm="1">
        <f t="array" aca="1" ref="F436" ca="1">IF(Table3[[#This Row],[Stage]]="Closed",0,IF(IFERROR(
  IF(
    COUNTIF(A$2:A$1997, A436) &gt; 1,
    MIN(IF(A$2:A$1997=A436, IF(B$2:B$1997&gt;B436, B$2:B$1997))) - B436,
    TODAY() - Table3[[#This Row],[Date of Update]]
  ),
  TODAY()-Table3[[#This Row],[Date of Update]]
)&lt;=0,
TODAY()-Table3[[#This Row],[Date of Update]],
IFERROR(
  IF(
    COUNTIF(A$2:A$1997, A436) &gt; 1,
    MIN(IF(A$2:A$1997=A436, IF(B$2:B$1997&gt;B436, B$2:B$1997))) - B436,
    TODAY() - Table3[[#This Row],[Date of Update]]
  ),
  TODAY()-Table3[[#This Row],[Date of Update]]
)))</f>
        <v>49</v>
      </c>
      <c r="G436" s="40" t="str">
        <f>IF(Table3[[#This Row],[Stage]]="Closed",Table3[[#This Row],[Date of Update]]-(_xlfn.MINIFS(Table3[Date of Update],Table3[Ref], Table3[[#This Row],[Ref]])),"")</f>
        <v/>
      </c>
    </row>
    <row r="437" spans="1:7" x14ac:dyDescent="0.25">
      <c r="A437" s="39" t="s">
        <v>1257</v>
      </c>
      <c r="B437" s="33">
        <v>44987</v>
      </c>
      <c r="C437" s="32" t="s">
        <v>169</v>
      </c>
      <c r="D437" s="32" t="s">
        <v>4</v>
      </c>
      <c r="E437" s="32" t="s">
        <v>453</v>
      </c>
      <c r="F437" s="32" cm="1">
        <f t="array" aca="1" ref="F437" ca="1">IF(Table3[[#This Row],[Stage]]="Closed",0,IF(IFERROR(
  IF(
    COUNTIF(A$2:A$1997, A437) &gt; 1,
    MIN(IF(A$2:A$1997=A437, IF(B$2:B$1997&gt;B437, B$2:B$1997))) - B437,
    TODAY() - Table3[[#This Row],[Date of Update]]
  ),
  TODAY()-Table3[[#This Row],[Date of Update]]
)&lt;=0,
TODAY()-Table3[[#This Row],[Date of Update]],
IFERROR(
  IF(
    COUNTIF(A$2:A$1997, A437) &gt; 1,
    MIN(IF(A$2:A$1997=A437, IF(B$2:B$1997&gt;B437, B$2:B$1997))) - B437,
    TODAY() - Table3[[#This Row],[Date of Update]]
  ),
  TODAY()-Table3[[#This Row],[Date of Update]]
)))</f>
        <v>0</v>
      </c>
      <c r="G437" s="40">
        <f>IF(Table3[[#This Row],[Stage]]="Closed",Table3[[#This Row],[Date of Update]]-(_xlfn.MINIFS(Table3[Date of Update],Table3[Ref], Table3[[#This Row],[Ref]])),"")</f>
        <v>9</v>
      </c>
    </row>
    <row r="438" spans="1:7" x14ac:dyDescent="0.25">
      <c r="A438" s="39" t="s">
        <v>1172</v>
      </c>
      <c r="B438" s="33">
        <v>44988</v>
      </c>
      <c r="C438" s="32" t="s">
        <v>169</v>
      </c>
      <c r="D438" s="32" t="s">
        <v>4</v>
      </c>
      <c r="E438" s="32" t="s">
        <v>398</v>
      </c>
      <c r="F438" s="32" cm="1">
        <f t="array" aca="1" ref="F438" ca="1">IF(Table3[[#This Row],[Stage]]="Closed",0,IF(IFERROR(
  IF(
    COUNTIF(A$2:A$1997, A438) &gt; 1,
    MIN(IF(A$2:A$1997=A438, IF(B$2:B$1997&gt;B438, B$2:B$1997))) - B438,
    TODAY() - Table3[[#This Row],[Date of Update]]
  ),
  TODAY()-Table3[[#This Row],[Date of Update]]
)&lt;=0,
TODAY()-Table3[[#This Row],[Date of Update]],
IFERROR(
  IF(
    COUNTIF(A$2:A$1997, A438) &gt; 1,
    MIN(IF(A$2:A$1997=A438, IF(B$2:B$1997&gt;B438, B$2:B$1997))) - B438,
    TODAY() - Table3[[#This Row],[Date of Update]]
  ),
  TODAY()-Table3[[#This Row],[Date of Update]]
)))</f>
        <v>0</v>
      </c>
      <c r="G438" s="40">
        <f>IF(Table3[[#This Row],[Stage]]="Closed",Table3[[#This Row],[Date of Update]]-(_xlfn.MINIFS(Table3[Date of Update],Table3[Ref], Table3[[#This Row],[Ref]])),"")</f>
        <v>172</v>
      </c>
    </row>
    <row r="439" spans="1:7" x14ac:dyDescent="0.25">
      <c r="A439" s="39" t="s">
        <v>1530</v>
      </c>
      <c r="B439" s="33">
        <v>44988</v>
      </c>
      <c r="C439" s="32" t="s">
        <v>169</v>
      </c>
      <c r="D439" s="32" t="s">
        <v>4</v>
      </c>
      <c r="E439" s="32" t="s">
        <v>387</v>
      </c>
      <c r="F439" s="32" cm="1">
        <f t="array" aca="1" ref="F439" ca="1">IF(Table3[[#This Row],[Stage]]="Closed",0,IF(IFERROR(
  IF(
    COUNTIF(A$2:A$1997, A439) &gt; 1,
    MIN(IF(A$2:A$1997=A439, IF(B$2:B$1997&gt;B439, B$2:B$1997))) - B439,
    TODAY() - Table3[[#This Row],[Date of Update]]
  ),
  TODAY()-Table3[[#This Row],[Date of Update]]
)&lt;=0,
TODAY()-Table3[[#This Row],[Date of Update]],
IFERROR(
  IF(
    COUNTIF(A$2:A$1997, A439) &gt; 1,
    MIN(IF(A$2:A$1997=A439, IF(B$2:B$1997&gt;B439, B$2:B$1997))) - B439,
    TODAY() - Table3[[#This Row],[Date of Update]]
  ),
  TODAY()-Table3[[#This Row],[Date of Update]]
)))</f>
        <v>0</v>
      </c>
      <c r="G439" s="40">
        <f>IF(Table3[[#This Row],[Stage]]="Closed",Table3[[#This Row],[Date of Update]]-(_xlfn.MINIFS(Table3[Date of Update],Table3[Ref], Table3[[#This Row],[Ref]])),"")</f>
        <v>175</v>
      </c>
    </row>
    <row r="440" spans="1:7" x14ac:dyDescent="0.25">
      <c r="A440" s="39" t="s">
        <v>1531</v>
      </c>
      <c r="B440" s="33">
        <v>44988</v>
      </c>
      <c r="C440" s="32" t="s">
        <v>169</v>
      </c>
      <c r="D440" s="32" t="s">
        <v>4</v>
      </c>
      <c r="E440" s="32" t="s">
        <v>387</v>
      </c>
      <c r="F440" s="32" cm="1">
        <f t="array" aca="1" ref="F440" ca="1">IF(Table3[[#This Row],[Stage]]="Closed",0,IF(IFERROR(
  IF(
    COUNTIF(A$2:A$1997, A440) &gt; 1,
    MIN(IF(A$2:A$1997=A440, IF(B$2:B$1997&gt;B440, B$2:B$1997))) - B440,
    TODAY() - Table3[[#This Row],[Date of Update]]
  ),
  TODAY()-Table3[[#This Row],[Date of Update]]
)&lt;=0,
TODAY()-Table3[[#This Row],[Date of Update]],
IFERROR(
  IF(
    COUNTIF(A$2:A$1997, A440) &gt; 1,
    MIN(IF(A$2:A$1997=A440, IF(B$2:B$1997&gt;B440, B$2:B$1997))) - B440,
    TODAY() - Table3[[#This Row],[Date of Update]]
  ),
  TODAY()-Table3[[#This Row],[Date of Update]]
)))</f>
        <v>0</v>
      </c>
      <c r="G440" s="40">
        <f>IF(Table3[[#This Row],[Stage]]="Closed",Table3[[#This Row],[Date of Update]]-(_xlfn.MINIFS(Table3[Date of Update],Table3[Ref], Table3[[#This Row],[Ref]])),"")</f>
        <v>175</v>
      </c>
    </row>
    <row r="441" spans="1:7" x14ac:dyDescent="0.25">
      <c r="A441" s="39" t="s">
        <v>1532</v>
      </c>
      <c r="B441" s="33">
        <v>44988</v>
      </c>
      <c r="C441" s="32" t="s">
        <v>169</v>
      </c>
      <c r="D441" s="32" t="s">
        <v>4</v>
      </c>
      <c r="E441" s="32" t="s">
        <v>409</v>
      </c>
      <c r="F441" s="32" cm="1">
        <f t="array" aca="1" ref="F441" ca="1">IF(Table3[[#This Row],[Stage]]="Closed",0,IF(IFERROR(
  IF(
    COUNTIF(A$2:A$1997, A441) &gt; 1,
    MIN(IF(A$2:A$1997=A441, IF(B$2:B$1997&gt;B441, B$2:B$1997))) - B441,
    TODAY() - Table3[[#This Row],[Date of Update]]
  ),
  TODAY()-Table3[[#This Row],[Date of Update]]
)&lt;=0,
TODAY()-Table3[[#This Row],[Date of Update]],
IFERROR(
  IF(
    COUNTIF(A$2:A$1997, A441) &gt; 1,
    MIN(IF(A$2:A$1997=A441, IF(B$2:B$1997&gt;B441, B$2:B$1997))) - B441,
    TODAY() - Table3[[#This Row],[Date of Update]]
  ),
  TODAY()-Table3[[#This Row],[Date of Update]]
)))</f>
        <v>0</v>
      </c>
      <c r="G441" s="40">
        <f>IF(Table3[[#This Row],[Stage]]="Closed",Table3[[#This Row],[Date of Update]]-(_xlfn.MINIFS(Table3[Date of Update],Table3[Ref], Table3[[#This Row],[Ref]])),"")</f>
        <v>169</v>
      </c>
    </row>
    <row r="442" spans="1:7" x14ac:dyDescent="0.25">
      <c r="A442" s="39" t="s">
        <v>1175</v>
      </c>
      <c r="B442" s="33">
        <v>44988</v>
      </c>
      <c r="C442" s="32" t="s">
        <v>169</v>
      </c>
      <c r="D442" s="32" t="s">
        <v>4</v>
      </c>
      <c r="E442" s="32" t="s">
        <v>406</v>
      </c>
      <c r="F442" s="32" cm="1">
        <f t="array" aca="1" ref="F442" ca="1">IF(Table3[[#This Row],[Stage]]="Closed",0,IF(IFERROR(
  IF(
    COUNTIF(A$2:A$1997, A442) &gt; 1,
    MIN(IF(A$2:A$1997=A442, IF(B$2:B$1997&gt;B442, B$2:B$1997))) - B442,
    TODAY() - Table3[[#This Row],[Date of Update]]
  ),
  TODAY()-Table3[[#This Row],[Date of Update]]
)&lt;=0,
TODAY()-Table3[[#This Row],[Date of Update]],
IFERROR(
  IF(
    COUNTIF(A$2:A$1997, A442) &gt; 1,
    MIN(IF(A$2:A$1997=A442, IF(B$2:B$1997&gt;B442, B$2:B$1997))) - B442,
    TODAY() - Table3[[#This Row],[Date of Update]]
  ),
  TODAY()-Table3[[#This Row],[Date of Update]]
)))</f>
        <v>0</v>
      </c>
      <c r="G442" s="40">
        <f>IF(Table3[[#This Row],[Stage]]="Closed",Table3[[#This Row],[Date of Update]]-(_xlfn.MINIFS(Table3[Date of Update],Table3[Ref], Table3[[#This Row],[Ref]])),"")</f>
        <v>171</v>
      </c>
    </row>
    <row r="443" spans="1:7" x14ac:dyDescent="0.25">
      <c r="A443" s="39" t="s">
        <v>1289</v>
      </c>
      <c r="B443" s="33">
        <v>44992</v>
      </c>
      <c r="C443" s="32" t="s">
        <v>23</v>
      </c>
      <c r="D443" s="32" t="s">
        <v>4</v>
      </c>
      <c r="E443" s="32" t="s">
        <v>531</v>
      </c>
      <c r="F443" s="32" cm="1">
        <f t="array" aca="1" ref="F443" ca="1">IF(Table3[[#This Row],[Stage]]="Closed",0,IF(IFERROR(
  IF(
    COUNTIF(A$2:A$1997, A443) &gt; 1,
    MIN(IF(A$2:A$1997=A443, IF(B$2:B$1997&gt;B443, B$2:B$1997))) - B443,
    TODAY() - Table3[[#This Row],[Date of Update]]
  ),
  TODAY()-Table3[[#This Row],[Date of Update]]
)&lt;=0,
TODAY()-Table3[[#This Row],[Date of Update]],
IFERROR(
  IF(
    COUNTIF(A$2:A$1997, A443) &gt; 1,
    MIN(IF(A$2:A$1997=A443, IF(B$2:B$1997&gt;B443, B$2:B$1997))) - B443,
    TODAY() - Table3[[#This Row],[Date of Update]]
  ),
  TODAY()-Table3[[#This Row],[Date of Update]]
)))</f>
        <v>44</v>
      </c>
      <c r="G443" s="40" t="str">
        <f>IF(Table3[[#This Row],[Stage]]="Closed",Table3[[#This Row],[Date of Update]]-(_xlfn.MINIFS(Table3[Date of Update],Table3[Ref], Table3[[#This Row],[Ref]])),"")</f>
        <v/>
      </c>
    </row>
    <row r="444" spans="1:7" x14ac:dyDescent="0.25">
      <c r="A444" s="39" t="s">
        <v>1264</v>
      </c>
      <c r="B444" s="33">
        <v>44993</v>
      </c>
      <c r="C444" s="32" t="s">
        <v>169</v>
      </c>
      <c r="D444" s="32" t="s">
        <v>4</v>
      </c>
      <c r="E444" s="32" t="s">
        <v>639</v>
      </c>
      <c r="F444" s="32" cm="1">
        <f t="array" aca="1" ref="F444" ca="1">IF(Table3[[#This Row],[Stage]]="Closed",0,IF(IFERROR(
  IF(
    COUNTIF(A$2:A$1997, A444) &gt; 1,
    MIN(IF(A$2:A$1997=A444, IF(B$2:B$1997&gt;B444, B$2:B$1997))) - B444,
    TODAY() - Table3[[#This Row],[Date of Update]]
  ),
  TODAY()-Table3[[#This Row],[Date of Update]]
)&lt;=0,
TODAY()-Table3[[#This Row],[Date of Update]],
IFERROR(
  IF(
    COUNTIF(A$2:A$1997, A444) &gt; 1,
    MIN(IF(A$2:A$1997=A444, IF(B$2:B$1997&gt;B444, B$2:B$1997))) - B444,
    TODAY() - Table3[[#This Row],[Date of Update]]
  ),
  TODAY()-Table3[[#This Row],[Date of Update]]
)))</f>
        <v>0</v>
      </c>
      <c r="G444" s="40">
        <f>IF(Table3[[#This Row],[Stage]]="Closed",Table3[[#This Row],[Date of Update]]-(_xlfn.MINIFS(Table3[Date of Update],Table3[Ref], Table3[[#This Row],[Ref]])),"")</f>
        <v>224</v>
      </c>
    </row>
    <row r="445" spans="1:7" x14ac:dyDescent="0.25">
      <c r="A445" s="39" t="s">
        <v>1328</v>
      </c>
      <c r="B445" s="33">
        <v>44993</v>
      </c>
      <c r="C445" s="32" t="s">
        <v>23</v>
      </c>
      <c r="D445" s="32" t="s">
        <v>4</v>
      </c>
      <c r="E445" s="32" t="s">
        <v>756</v>
      </c>
      <c r="F445" s="32" cm="1">
        <f t="array" aca="1" ref="F445" ca="1">IF(Table3[[#This Row],[Stage]]="Closed",0,IF(IFERROR(
  IF(
    COUNTIF(A$2:A$1997, A445) &gt; 1,
    MIN(IF(A$2:A$1997=A445, IF(B$2:B$1997&gt;B445, B$2:B$1997))) - B445,
    TODAY() - Table3[[#This Row],[Date of Update]]
  ),
  TODAY()-Table3[[#This Row],[Date of Update]]
)&lt;=0,
TODAY()-Table3[[#This Row],[Date of Update]],
IFERROR(
  IF(
    COUNTIF(A$2:A$1997, A445) &gt; 1,
    MIN(IF(A$2:A$1997=A445, IF(B$2:B$1997&gt;B445, B$2:B$1997))) - B445,
    TODAY() - Table3[[#This Row],[Date of Update]]
  ),
  TODAY()-Table3[[#This Row],[Date of Update]]
)))</f>
        <v>106</v>
      </c>
      <c r="G445" s="40" t="str">
        <f>IF(Table3[[#This Row],[Stage]]="Closed",Table3[[#This Row],[Date of Update]]-(_xlfn.MINIFS(Table3[Date of Update],Table3[Ref], Table3[[#This Row],[Ref]])),"")</f>
        <v/>
      </c>
    </row>
    <row r="446" spans="1:7" x14ac:dyDescent="0.25">
      <c r="A446" s="39" t="s">
        <v>1265</v>
      </c>
      <c r="B446" s="33">
        <v>44993</v>
      </c>
      <c r="C446" s="32" t="s">
        <v>169</v>
      </c>
      <c r="D446" s="32" t="s">
        <v>4</v>
      </c>
      <c r="E446" s="32" t="s">
        <v>639</v>
      </c>
      <c r="F446" s="32" cm="1">
        <f t="array" aca="1" ref="F446" ca="1">IF(Table3[[#This Row],[Stage]]="Closed",0,IF(IFERROR(
  IF(
    COUNTIF(A$2:A$1997, A446) &gt; 1,
    MIN(IF(A$2:A$1997=A446, IF(B$2:B$1997&gt;B446, B$2:B$1997))) - B446,
    TODAY() - Table3[[#This Row],[Date of Update]]
  ),
  TODAY()-Table3[[#This Row],[Date of Update]]
)&lt;=0,
TODAY()-Table3[[#This Row],[Date of Update]],
IFERROR(
  IF(
    COUNTIF(A$2:A$1997, A446) &gt; 1,
    MIN(IF(A$2:A$1997=A446, IF(B$2:B$1997&gt;B446, B$2:B$1997))) - B446,
    TODAY() - Table3[[#This Row],[Date of Update]]
  ),
  TODAY()-Table3[[#This Row],[Date of Update]]
)))</f>
        <v>0</v>
      </c>
      <c r="G446" s="40">
        <f>IF(Table3[[#This Row],[Stage]]="Closed",Table3[[#This Row],[Date of Update]]-(_xlfn.MINIFS(Table3[Date of Update],Table3[Ref], Table3[[#This Row],[Ref]])),"")</f>
        <v>167</v>
      </c>
    </row>
    <row r="447" spans="1:7" x14ac:dyDescent="0.25">
      <c r="A447" s="39" t="s">
        <v>1368</v>
      </c>
      <c r="B447" s="33">
        <v>44993</v>
      </c>
      <c r="C447" s="32" t="s">
        <v>23</v>
      </c>
      <c r="D447" s="32" t="s">
        <v>4</v>
      </c>
      <c r="E447" s="32" t="s">
        <v>453</v>
      </c>
      <c r="F447" s="32" cm="1">
        <f t="array" aca="1" ref="F447" ca="1">IF(Table3[[#This Row],[Stage]]="Closed",0,IF(IFERROR(
  IF(
    COUNTIF(A$2:A$1997, A447) &gt; 1,
    MIN(IF(A$2:A$1997=A447, IF(B$2:B$1997&gt;B447, B$2:B$1997))) - B447,
    TODAY() - Table3[[#This Row],[Date of Update]]
  ),
  TODAY()-Table3[[#This Row],[Date of Update]]
)&lt;=0,
TODAY()-Table3[[#This Row],[Date of Update]],
IFERROR(
  IF(
    COUNTIF(A$2:A$1997, A447) &gt; 1,
    MIN(IF(A$2:A$1997=A447, IF(B$2:B$1997&gt;B447, B$2:B$1997))) - B447,
    TODAY() - Table3[[#This Row],[Date of Update]]
  ),
  TODAY()-Table3[[#This Row],[Date of Update]]
)))</f>
        <v>177</v>
      </c>
      <c r="G447" s="40" t="str">
        <f>IF(Table3[[#This Row],[Stage]]="Closed",Table3[[#This Row],[Date of Update]]-(_xlfn.MINIFS(Table3[Date of Update],Table3[Ref], Table3[[#This Row],[Ref]])),"")</f>
        <v/>
      </c>
    </row>
    <row r="448" spans="1:7" x14ac:dyDescent="0.25">
      <c r="A448" s="39" t="s">
        <v>1283</v>
      </c>
      <c r="B448" s="33">
        <v>44993</v>
      </c>
      <c r="C448" s="32" t="s">
        <v>23</v>
      </c>
      <c r="D448" s="32" t="s">
        <v>4</v>
      </c>
      <c r="E448" s="32" t="s">
        <v>521</v>
      </c>
      <c r="F448" s="32" cm="1">
        <f t="array" aca="1" ref="F448" ca="1">IF(Table3[[#This Row],[Stage]]="Closed",0,IF(IFERROR(
  IF(
    COUNTIF(A$2:A$1997, A448) &gt; 1,
    MIN(IF(A$2:A$1997=A448, IF(B$2:B$1997&gt;B448, B$2:B$1997))) - B448,
    TODAY() - Table3[[#This Row],[Date of Update]]
  ),
  TODAY()-Table3[[#This Row],[Date of Update]]
)&lt;=0,
TODAY()-Table3[[#This Row],[Date of Update]],
IFERROR(
  IF(
    COUNTIF(A$2:A$1997, A448) &gt; 1,
    MIN(IF(A$2:A$1997=A448, IF(B$2:B$1997&gt;B448, B$2:B$1997))) - B448,
    TODAY() - Table3[[#This Row],[Date of Update]]
  ),
  TODAY()-Table3[[#This Row],[Date of Update]]
)))</f>
        <v>12</v>
      </c>
      <c r="G448" s="40" t="str">
        <f>IF(Table3[[#This Row],[Stage]]="Closed",Table3[[#This Row],[Date of Update]]-(_xlfn.MINIFS(Table3[Date of Update],Table3[Ref], Table3[[#This Row],[Ref]])),"")</f>
        <v/>
      </c>
    </row>
    <row r="449" spans="1:7" x14ac:dyDescent="0.25">
      <c r="A449" s="39" t="s">
        <v>1521</v>
      </c>
      <c r="B449" s="33">
        <v>44994</v>
      </c>
      <c r="C449" s="32" t="s">
        <v>169</v>
      </c>
      <c r="D449" s="32" t="s">
        <v>4</v>
      </c>
      <c r="E449" s="32" t="s">
        <v>453</v>
      </c>
      <c r="F449" s="32" cm="1">
        <f t="array" aca="1" ref="F449" ca="1">IF(Table3[[#This Row],[Stage]]="Closed",0,IF(IFERROR(
  IF(
    COUNTIF(A$2:A$1997, A449) &gt; 1,
    MIN(IF(A$2:A$1997=A449, IF(B$2:B$1997&gt;B449, B$2:B$1997))) - B449,
    TODAY() - Table3[[#This Row],[Date of Update]]
  ),
  TODAY()-Table3[[#This Row],[Date of Update]]
)&lt;=0,
TODAY()-Table3[[#This Row],[Date of Update]],
IFERROR(
  IF(
    COUNTIF(A$2:A$1997, A449) &gt; 1,
    MIN(IF(A$2:A$1997=A449, IF(B$2:B$1997&gt;B449, B$2:B$1997))) - B449,
    TODAY() - Table3[[#This Row],[Date of Update]]
  ),
  TODAY()-Table3[[#This Row],[Date of Update]]
)))</f>
        <v>0</v>
      </c>
      <c r="G449" s="40">
        <f>IF(Table3[[#This Row],[Stage]]="Closed",Table3[[#This Row],[Date of Update]]-(_xlfn.MINIFS(Table3[Date of Update],Table3[Ref], Table3[[#This Row],[Ref]])),"")</f>
        <v>161</v>
      </c>
    </row>
    <row r="450" spans="1:7" x14ac:dyDescent="0.25">
      <c r="A450" s="39" t="s">
        <v>1266</v>
      </c>
      <c r="B450" s="33">
        <v>44994</v>
      </c>
      <c r="C450" s="32" t="s">
        <v>169</v>
      </c>
      <c r="D450" s="32" t="s">
        <v>4</v>
      </c>
      <c r="E450" s="32" t="s">
        <v>453</v>
      </c>
      <c r="F450" s="32" cm="1">
        <f t="array" aca="1" ref="F450" ca="1">IF(Table3[[#This Row],[Stage]]="Closed",0,IF(IFERROR(
  IF(
    COUNTIF(A$2:A$1997, A450) &gt; 1,
    MIN(IF(A$2:A$1997=A450, IF(B$2:B$1997&gt;B450, B$2:B$1997))) - B450,
    TODAY() - Table3[[#This Row],[Date of Update]]
  ),
  TODAY()-Table3[[#This Row],[Date of Update]]
)&lt;=0,
TODAY()-Table3[[#This Row],[Date of Update]],
IFERROR(
  IF(
    COUNTIF(A$2:A$1997, A450) &gt; 1,
    MIN(IF(A$2:A$1997=A450, IF(B$2:B$1997&gt;B450, B$2:B$1997))) - B450,
    TODAY() - Table3[[#This Row],[Date of Update]]
  ),
  TODAY()-Table3[[#This Row],[Date of Update]]
)))</f>
        <v>0</v>
      </c>
      <c r="G450" s="40">
        <f>IF(Table3[[#This Row],[Stage]]="Closed",Table3[[#This Row],[Date of Update]]-(_xlfn.MINIFS(Table3[Date of Update],Table3[Ref], Table3[[#This Row],[Ref]])),"")</f>
        <v>142</v>
      </c>
    </row>
    <row r="451" spans="1:7" x14ac:dyDescent="0.25">
      <c r="A451" s="39" t="s">
        <v>1534</v>
      </c>
      <c r="B451" s="33">
        <v>44994</v>
      </c>
      <c r="C451" s="32" t="s">
        <v>169</v>
      </c>
      <c r="D451" s="32" t="s">
        <v>4</v>
      </c>
      <c r="E451" s="32" t="s">
        <v>453</v>
      </c>
      <c r="F451" s="32" cm="1">
        <f t="array" aca="1" ref="F451" ca="1">IF(Table3[[#This Row],[Stage]]="Closed",0,IF(IFERROR(
  IF(
    COUNTIF(A$2:A$1997, A451) &gt; 1,
    MIN(IF(A$2:A$1997=A451, IF(B$2:B$1997&gt;B451, B$2:B$1997))) - B451,
    TODAY() - Table3[[#This Row],[Date of Update]]
  ),
  TODAY()-Table3[[#This Row],[Date of Update]]
)&lt;=0,
TODAY()-Table3[[#This Row],[Date of Update]],
IFERROR(
  IF(
    COUNTIF(A$2:A$1997, A451) &gt; 1,
    MIN(IF(A$2:A$1997=A451, IF(B$2:B$1997&gt;B451, B$2:B$1997))) - B451,
    TODAY() - Table3[[#This Row],[Date of Update]]
  ),
  TODAY()-Table3[[#This Row],[Date of Update]]
)))</f>
        <v>0</v>
      </c>
      <c r="G451" s="40">
        <f>IF(Table3[[#This Row],[Stage]]="Closed",Table3[[#This Row],[Date of Update]]-(_xlfn.MINIFS(Table3[Date of Update],Table3[Ref], Table3[[#This Row],[Ref]])),"")</f>
        <v>225</v>
      </c>
    </row>
    <row r="452" spans="1:7" x14ac:dyDescent="0.25">
      <c r="A452" s="39" t="s">
        <v>1268</v>
      </c>
      <c r="B452" s="33">
        <v>44995</v>
      </c>
      <c r="C452" s="32" t="s">
        <v>169</v>
      </c>
      <c r="D452" s="32" t="s">
        <v>4</v>
      </c>
      <c r="E452" s="32" t="s">
        <v>639</v>
      </c>
      <c r="F452" s="32" cm="1">
        <f t="array" aca="1" ref="F452" ca="1">IF(Table3[[#This Row],[Stage]]="Closed",0,IF(IFERROR(
  IF(
    COUNTIF(A$2:A$1997, A452) &gt; 1,
    MIN(IF(A$2:A$1997=A452, IF(B$2:B$1997&gt;B452, B$2:B$1997))) - B452,
    TODAY() - Table3[[#This Row],[Date of Update]]
  ),
  TODAY()-Table3[[#This Row],[Date of Update]]
)&lt;=0,
TODAY()-Table3[[#This Row],[Date of Update]],
IFERROR(
  IF(
    COUNTIF(A$2:A$1997, A452) &gt; 1,
    MIN(IF(A$2:A$1997=A452, IF(B$2:B$1997&gt;B452, B$2:B$1997))) - B452,
    TODAY() - Table3[[#This Row],[Date of Update]]
  ),
  TODAY()-Table3[[#This Row],[Date of Update]]
)))</f>
        <v>0</v>
      </c>
      <c r="G452" s="40">
        <f>IF(Table3[[#This Row],[Stage]]="Closed",Table3[[#This Row],[Date of Update]]-(_xlfn.MINIFS(Table3[Date of Update],Table3[Ref], Table3[[#This Row],[Ref]])),"")</f>
        <v>133</v>
      </c>
    </row>
    <row r="453" spans="1:7" x14ac:dyDescent="0.25">
      <c r="A453" s="39" t="s">
        <v>1267</v>
      </c>
      <c r="B453" s="33">
        <v>44995</v>
      </c>
      <c r="C453" s="32" t="s">
        <v>169</v>
      </c>
      <c r="D453" s="32" t="s">
        <v>4</v>
      </c>
      <c r="E453" s="32" t="s">
        <v>639</v>
      </c>
      <c r="F453" s="32" cm="1">
        <f t="array" aca="1" ref="F453" ca="1">IF(Table3[[#This Row],[Stage]]="Closed",0,IF(IFERROR(
  IF(
    COUNTIF(A$2:A$1997, A453) &gt; 1,
    MIN(IF(A$2:A$1997=A453, IF(B$2:B$1997&gt;B453, B$2:B$1997))) - B453,
    TODAY() - Table3[[#This Row],[Date of Update]]
  ),
  TODAY()-Table3[[#This Row],[Date of Update]]
)&lt;=0,
TODAY()-Table3[[#This Row],[Date of Update]],
IFERROR(
  IF(
    COUNTIF(A$2:A$1997, A453) &gt; 1,
    MIN(IF(A$2:A$1997=A453, IF(B$2:B$1997&gt;B453, B$2:B$1997))) - B453,
    TODAY() - Table3[[#This Row],[Date of Update]]
  ),
  TODAY()-Table3[[#This Row],[Date of Update]]
)))</f>
        <v>0</v>
      </c>
      <c r="G453" s="40">
        <f>IF(Table3[[#This Row],[Stage]]="Closed",Table3[[#This Row],[Date of Update]]-(_xlfn.MINIFS(Table3[Date of Update],Table3[Ref], Table3[[#This Row],[Ref]])),"")</f>
        <v>235</v>
      </c>
    </row>
    <row r="454" spans="1:7" x14ac:dyDescent="0.25">
      <c r="A454" s="39" t="s">
        <v>1270</v>
      </c>
      <c r="B454" s="33">
        <v>44995</v>
      </c>
      <c r="C454" s="32" t="s">
        <v>169</v>
      </c>
      <c r="D454" s="32" t="s">
        <v>4</v>
      </c>
      <c r="E454" s="32" t="s">
        <v>648</v>
      </c>
      <c r="F454" s="32" cm="1">
        <f t="array" aca="1" ref="F454" ca="1">IF(Table3[[#This Row],[Stage]]="Closed",0,IF(IFERROR(
  IF(
    COUNTIF(A$2:A$1997, A454) &gt; 1,
    MIN(IF(A$2:A$1997=A454, IF(B$2:B$1997&gt;B454, B$2:B$1997))) - B454,
    TODAY() - Table3[[#This Row],[Date of Update]]
  ),
  TODAY()-Table3[[#This Row],[Date of Update]]
)&lt;=0,
TODAY()-Table3[[#This Row],[Date of Update]],
IFERROR(
  IF(
    COUNTIF(A$2:A$1997, A454) &gt; 1,
    MIN(IF(A$2:A$1997=A454, IF(B$2:B$1997&gt;B454, B$2:B$1997))) - B454,
    TODAY() - Table3[[#This Row],[Date of Update]]
  ),
  TODAY()-Table3[[#This Row],[Date of Update]]
)))</f>
        <v>0</v>
      </c>
      <c r="G454" s="40">
        <f>IF(Table3[[#This Row],[Stage]]="Closed",Table3[[#This Row],[Date of Update]]-(_xlfn.MINIFS(Table3[Date of Update],Table3[Ref], Table3[[#This Row],[Ref]])),"")</f>
        <v>11</v>
      </c>
    </row>
    <row r="455" spans="1:7" x14ac:dyDescent="0.25">
      <c r="A455" s="39" t="s">
        <v>1522</v>
      </c>
      <c r="B455" s="33">
        <v>44995</v>
      </c>
      <c r="C455" s="32" t="s">
        <v>169</v>
      </c>
      <c r="D455" s="32" t="s">
        <v>4</v>
      </c>
      <c r="E455" s="32" t="s">
        <v>650</v>
      </c>
      <c r="F455" s="32" cm="1">
        <f t="array" aca="1" ref="F455" ca="1">IF(Table3[[#This Row],[Stage]]="Closed",0,IF(IFERROR(
  IF(
    COUNTIF(A$2:A$1997, A455) &gt; 1,
    MIN(IF(A$2:A$1997=A455, IF(B$2:B$1997&gt;B455, B$2:B$1997))) - B455,
    TODAY() - Table3[[#This Row],[Date of Update]]
  ),
  TODAY()-Table3[[#This Row],[Date of Update]]
)&lt;=0,
TODAY()-Table3[[#This Row],[Date of Update]],
IFERROR(
  IF(
    COUNTIF(A$2:A$1997, A455) &gt; 1,
    MIN(IF(A$2:A$1997=A455, IF(B$2:B$1997&gt;B455, B$2:B$1997))) - B455,
    TODAY() - Table3[[#This Row],[Date of Update]]
  ),
  TODAY()-Table3[[#This Row],[Date of Update]]
)))</f>
        <v>0</v>
      </c>
      <c r="G455" s="40">
        <f>IF(Table3[[#This Row],[Stage]]="Closed",Table3[[#This Row],[Date of Update]]-(_xlfn.MINIFS(Table3[Date of Update],Table3[Ref], Table3[[#This Row],[Ref]])),"")</f>
        <v>8</v>
      </c>
    </row>
    <row r="456" spans="1:7" x14ac:dyDescent="0.25">
      <c r="A456" s="39" t="s">
        <v>1269</v>
      </c>
      <c r="B456" s="33">
        <v>44995</v>
      </c>
      <c r="C456" s="32" t="s">
        <v>169</v>
      </c>
      <c r="D456" s="32" t="s">
        <v>4</v>
      </c>
      <c r="E456" s="32" t="s">
        <v>645</v>
      </c>
      <c r="F456" s="32" cm="1">
        <f t="array" aca="1" ref="F456" ca="1">IF(Table3[[#This Row],[Stage]]="Closed",0,IF(IFERROR(
  IF(
    COUNTIF(A$2:A$1997, A456) &gt; 1,
    MIN(IF(A$2:A$1997=A456, IF(B$2:B$1997&gt;B456, B$2:B$1997))) - B456,
    TODAY() - Table3[[#This Row],[Date of Update]]
  ),
  TODAY()-Table3[[#This Row],[Date of Update]]
)&lt;=0,
TODAY()-Table3[[#This Row],[Date of Update]],
IFERROR(
  IF(
    COUNTIF(A$2:A$1997, A456) &gt; 1,
    MIN(IF(A$2:A$1997=A456, IF(B$2:B$1997&gt;B456, B$2:B$1997))) - B456,
    TODAY() - Table3[[#This Row],[Date of Update]]
  ),
  TODAY()-Table3[[#This Row],[Date of Update]]
)))</f>
        <v>0</v>
      </c>
      <c r="G456" s="40">
        <f>IF(Table3[[#This Row],[Stage]]="Closed",Table3[[#This Row],[Date of Update]]-(_xlfn.MINIFS(Table3[Date of Update],Table3[Ref], Table3[[#This Row],[Ref]])),"")</f>
        <v>24</v>
      </c>
    </row>
    <row r="457" spans="1:7" x14ac:dyDescent="0.25">
      <c r="A457" s="39" t="s">
        <v>1286</v>
      </c>
      <c r="B457" s="33">
        <v>45000</v>
      </c>
      <c r="C457" s="32" t="s">
        <v>23</v>
      </c>
      <c r="D457" s="32" t="s">
        <v>4</v>
      </c>
      <c r="E457" s="32" t="s">
        <v>521</v>
      </c>
      <c r="F457" s="32" cm="1">
        <f t="array" aca="1" ref="F457" ca="1">IF(Table3[[#This Row],[Stage]]="Closed",0,IF(IFERROR(
  IF(
    COUNTIF(A$2:A$1997, A457) &gt; 1,
    MIN(IF(A$2:A$1997=A457, IF(B$2:B$1997&gt;B457, B$2:B$1997))) - B457,
    TODAY() - Table3[[#This Row],[Date of Update]]
  ),
  TODAY()-Table3[[#This Row],[Date of Update]]
)&lt;=0,
TODAY()-Table3[[#This Row],[Date of Update]],
IFERROR(
  IF(
    COUNTIF(A$2:A$1997, A457) &gt; 1,
    MIN(IF(A$2:A$1997=A457, IF(B$2:B$1997&gt;B457, B$2:B$1997))) - B457,
    TODAY() - Table3[[#This Row],[Date of Update]]
  ),
  TODAY()-Table3[[#This Row],[Date of Update]]
)))</f>
        <v>13</v>
      </c>
      <c r="G457" s="40" t="str">
        <f>IF(Table3[[#This Row],[Stage]]="Closed",Table3[[#This Row],[Date of Update]]-(_xlfn.MINIFS(Table3[Date of Update],Table3[Ref], Table3[[#This Row],[Ref]])),"")</f>
        <v/>
      </c>
    </row>
    <row r="458" spans="1:7" x14ac:dyDescent="0.25">
      <c r="A458" s="39" t="s">
        <v>1290</v>
      </c>
      <c r="B458" s="33">
        <v>45000</v>
      </c>
      <c r="C458" s="32" t="s">
        <v>23</v>
      </c>
      <c r="D458" s="32" t="s">
        <v>4</v>
      </c>
      <c r="E458" s="32" t="s">
        <v>694</v>
      </c>
      <c r="F458" s="32" cm="1">
        <f t="array" aca="1" ref="F458" ca="1">IF(Table3[[#This Row],[Stage]]="Closed",0,IF(IFERROR(
  IF(
    COUNTIF(A$2:A$1997, A458) &gt; 1,
    MIN(IF(A$2:A$1997=A458, IF(B$2:B$1997&gt;B458, B$2:B$1997))) - B458,
    TODAY() - Table3[[#This Row],[Date of Update]]
  ),
  TODAY()-Table3[[#This Row],[Date of Update]]
)&lt;=0,
TODAY()-Table3[[#This Row],[Date of Update]],
IFERROR(
  IF(
    COUNTIF(A$2:A$1997, A458) &gt; 1,
    MIN(IF(A$2:A$1997=A458, IF(B$2:B$1997&gt;B458, B$2:B$1997))) - B458,
    TODAY() - Table3[[#This Row],[Date of Update]]
  ),
  TODAY()-Table3[[#This Row],[Date of Update]]
)))</f>
        <v>36</v>
      </c>
      <c r="G458" s="40" t="str">
        <f>IF(Table3[[#This Row],[Stage]]="Closed",Table3[[#This Row],[Date of Update]]-(_xlfn.MINIFS(Table3[Date of Update],Table3[Ref], Table3[[#This Row],[Ref]])),"")</f>
        <v/>
      </c>
    </row>
    <row r="459" spans="1:7" x14ac:dyDescent="0.25">
      <c r="A459" s="39" t="s">
        <v>1291</v>
      </c>
      <c r="B459" s="33">
        <v>45001</v>
      </c>
      <c r="C459" s="32" t="s">
        <v>23</v>
      </c>
      <c r="D459" s="32" t="s">
        <v>4</v>
      </c>
      <c r="E459" s="32"/>
      <c r="F459" s="32" cm="1">
        <f t="array" aca="1" ref="F459" ca="1">IF(Table3[[#This Row],[Stage]]="Closed",0,IF(IFERROR(
  IF(
    COUNTIF(A$2:A$1997, A459) &gt; 1,
    MIN(IF(A$2:A$1997=A459, IF(B$2:B$1997&gt;B459, B$2:B$1997))) - B459,
    TODAY() - Table3[[#This Row],[Date of Update]]
  ),
  TODAY()-Table3[[#This Row],[Date of Update]]
)&lt;=0,
TODAY()-Table3[[#This Row],[Date of Update]],
IFERROR(
  IF(
    COUNTIF(A$2:A$1997, A459) &gt; 1,
    MIN(IF(A$2:A$1997=A459, IF(B$2:B$1997&gt;B459, B$2:B$1997))) - B459,
    TODAY() - Table3[[#This Row],[Date of Update]]
  ),
  TODAY()-Table3[[#This Row],[Date of Update]]
)))</f>
        <v>35</v>
      </c>
      <c r="G459" s="40" t="str">
        <f>IF(Table3[[#This Row],[Stage]]="Closed",Table3[[#This Row],[Date of Update]]-(_xlfn.MINIFS(Table3[Date of Update],Table3[Ref], Table3[[#This Row],[Ref]])),"")</f>
        <v/>
      </c>
    </row>
    <row r="460" spans="1:7" x14ac:dyDescent="0.25">
      <c r="A460" s="39" t="s">
        <v>1292</v>
      </c>
      <c r="B460" s="33">
        <v>45001</v>
      </c>
      <c r="C460" s="32" t="s">
        <v>23</v>
      </c>
      <c r="D460" s="32" t="s">
        <v>4</v>
      </c>
      <c r="E460" s="32"/>
      <c r="F460" s="32" cm="1">
        <f t="array" aca="1" ref="F460" ca="1">IF(Table3[[#This Row],[Stage]]="Closed",0,IF(IFERROR(
  IF(
    COUNTIF(A$2:A$1997, A460) &gt; 1,
    MIN(IF(A$2:A$1997=A460, IF(B$2:B$1997&gt;B460, B$2:B$1997))) - B460,
    TODAY() - Table3[[#This Row],[Date of Update]]
  ),
  TODAY()-Table3[[#This Row],[Date of Update]]
)&lt;=0,
TODAY()-Table3[[#This Row],[Date of Update]],
IFERROR(
  IF(
    COUNTIF(A$2:A$1997, A460) &gt; 1,
    MIN(IF(A$2:A$1997=A460, IF(B$2:B$1997&gt;B460, B$2:B$1997))) - B460,
    TODAY() - Table3[[#This Row],[Date of Update]]
  ),
  TODAY()-Table3[[#This Row],[Date of Update]]
)))</f>
        <v>35</v>
      </c>
      <c r="G460" s="40" t="str">
        <f>IF(Table3[[#This Row],[Stage]]="Closed",Table3[[#This Row],[Date of Update]]-(_xlfn.MINIFS(Table3[Date of Update],Table3[Ref], Table3[[#This Row],[Ref]])),"")</f>
        <v/>
      </c>
    </row>
    <row r="461" spans="1:7" x14ac:dyDescent="0.25">
      <c r="A461" s="39" t="s">
        <v>1380</v>
      </c>
      <c r="B461" s="33">
        <v>45001</v>
      </c>
      <c r="C461" s="32" t="s">
        <v>23</v>
      </c>
      <c r="D461" s="32" t="s">
        <v>4</v>
      </c>
      <c r="E461" s="32" t="s">
        <v>865</v>
      </c>
      <c r="F461" s="32" cm="1">
        <f t="array" aca="1" ref="F461" ca="1">IF(Table3[[#This Row],[Stage]]="Closed",0,IF(IFERROR(
  IF(
    COUNTIF(A$2:A$1997, A461) &gt; 1,
    MIN(IF(A$2:A$1997=A461, IF(B$2:B$1997&gt;B461, B$2:B$1997))) - B461,
    TODAY() - Table3[[#This Row],[Date of Update]]
  ),
  TODAY()-Table3[[#This Row],[Date of Update]]
)&lt;=0,
TODAY()-Table3[[#This Row],[Date of Update]],
IFERROR(
  IF(
    COUNTIF(A$2:A$1997, A461) &gt; 1,
    MIN(IF(A$2:A$1997=A461, IF(B$2:B$1997&gt;B461, B$2:B$1997))) - B461,
    TODAY() - Table3[[#This Row],[Date of Update]]
  ),
  TODAY()-Table3[[#This Row],[Date of Update]]
)))</f>
        <v>210</v>
      </c>
      <c r="G461" s="40" t="str">
        <f>IF(Table3[[#This Row],[Stage]]="Closed",Table3[[#This Row],[Date of Update]]-(_xlfn.MINIFS(Table3[Date of Update],Table3[Ref], Table3[[#This Row],[Ref]])),"")</f>
        <v/>
      </c>
    </row>
    <row r="462" spans="1:7" x14ac:dyDescent="0.25">
      <c r="A462" s="39" t="s">
        <v>1272</v>
      </c>
      <c r="B462" s="33">
        <v>45001</v>
      </c>
      <c r="C462" s="32" t="s">
        <v>169</v>
      </c>
      <c r="D462" s="32" t="s">
        <v>4</v>
      </c>
      <c r="E462" s="32" t="s">
        <v>653</v>
      </c>
      <c r="F462" s="32" cm="1">
        <f t="array" aca="1" ref="F462" ca="1">IF(Table3[[#This Row],[Stage]]="Closed",0,IF(IFERROR(
  IF(
    COUNTIF(A$2:A$1997, A462) &gt; 1,
    MIN(IF(A$2:A$1997=A462, IF(B$2:B$1997&gt;B462, B$2:B$1997))) - B462,
    TODAY() - Table3[[#This Row],[Date of Update]]
  ),
  TODAY()-Table3[[#This Row],[Date of Update]]
)&lt;=0,
TODAY()-Table3[[#This Row],[Date of Update]],
IFERROR(
  IF(
    COUNTIF(A$2:A$1997, A462) &gt; 1,
    MIN(IF(A$2:A$1997=A462, IF(B$2:B$1997&gt;B462, B$2:B$1997))) - B462,
    TODAY() - Table3[[#This Row],[Date of Update]]
  ),
  TODAY()-Table3[[#This Row],[Date of Update]]
)))</f>
        <v>0</v>
      </c>
      <c r="G462" s="40">
        <f>IF(Table3[[#This Row],[Stage]]="Closed",Table3[[#This Row],[Date of Update]]-(_xlfn.MINIFS(Table3[Date of Update],Table3[Ref], Table3[[#This Row],[Ref]])),"")</f>
        <v>30</v>
      </c>
    </row>
    <row r="463" spans="1:7" x14ac:dyDescent="0.25">
      <c r="A463" s="39" t="s">
        <v>1253</v>
      </c>
      <c r="B463" s="33">
        <v>45005</v>
      </c>
      <c r="C463" s="32" t="s">
        <v>169</v>
      </c>
      <c r="D463" s="32" t="s">
        <v>4</v>
      </c>
      <c r="E463" s="32"/>
      <c r="F463" s="32" cm="1">
        <f t="array" aca="1" ref="F463" ca="1">IF(Table3[[#This Row],[Stage]]="Closed",0,IF(IFERROR(
  IF(
    COUNTIF(A$2:A$1997, A463) &gt; 1,
    MIN(IF(A$2:A$1997=A463, IF(B$2:B$1997&gt;B463, B$2:B$1997))) - B463,
    TODAY() - Table3[[#This Row],[Date of Update]]
  ),
  TODAY()-Table3[[#This Row],[Date of Update]]
)&lt;=0,
TODAY()-Table3[[#This Row],[Date of Update]],
IFERROR(
  IF(
    COUNTIF(A$2:A$1997, A463) &gt; 1,
    MIN(IF(A$2:A$1997=A463, IF(B$2:B$1997&gt;B463, B$2:B$1997))) - B463,
    TODAY() - Table3[[#This Row],[Date of Update]]
  ),
  TODAY()-Table3[[#This Row],[Date of Update]]
)))</f>
        <v>0</v>
      </c>
      <c r="G463" s="40">
        <f>IF(Table3[[#This Row],[Stage]]="Closed",Table3[[#This Row],[Date of Update]]-(_xlfn.MINIFS(Table3[Date of Update],Table3[Ref], Table3[[#This Row],[Ref]])),"")</f>
        <v>62</v>
      </c>
    </row>
    <row r="464" spans="1:7" x14ac:dyDescent="0.25">
      <c r="A464" s="39" t="s">
        <v>1283</v>
      </c>
      <c r="B464" s="33">
        <v>45005</v>
      </c>
      <c r="C464" s="32" t="s">
        <v>169</v>
      </c>
      <c r="D464" s="32" t="s">
        <v>4</v>
      </c>
      <c r="E464" s="32" t="s">
        <v>521</v>
      </c>
      <c r="F464" s="32" cm="1">
        <f t="array" aca="1" ref="F464" ca="1">IF(Table3[[#This Row],[Stage]]="Closed",0,IF(IFERROR(
  IF(
    COUNTIF(A$2:A$1997, A464) &gt; 1,
    MIN(IF(A$2:A$1997=A464, IF(B$2:B$1997&gt;B464, B$2:B$1997))) - B464,
    TODAY() - Table3[[#This Row],[Date of Update]]
  ),
  TODAY()-Table3[[#This Row],[Date of Update]]
)&lt;=0,
TODAY()-Table3[[#This Row],[Date of Update]],
IFERROR(
  IF(
    COUNTIF(A$2:A$1997, A464) &gt; 1,
    MIN(IF(A$2:A$1997=A464, IF(B$2:B$1997&gt;B464, B$2:B$1997))) - B464,
    TODAY() - Table3[[#This Row],[Date of Update]]
  ),
  TODAY()-Table3[[#This Row],[Date of Update]]
)))</f>
        <v>0</v>
      </c>
      <c r="G464" s="40">
        <f>IF(Table3[[#This Row],[Stage]]="Closed",Table3[[#This Row],[Date of Update]]-(_xlfn.MINIFS(Table3[Date of Update],Table3[Ref], Table3[[#This Row],[Ref]])),"")</f>
        <v>12</v>
      </c>
    </row>
    <row r="465" spans="1:7" x14ac:dyDescent="0.25">
      <c r="A465" s="39" t="s">
        <v>1301</v>
      </c>
      <c r="B465" s="33">
        <v>45005</v>
      </c>
      <c r="C465" s="32" t="s">
        <v>23</v>
      </c>
      <c r="D465" s="32" t="s">
        <v>4</v>
      </c>
      <c r="E465" s="32" t="s">
        <v>712</v>
      </c>
      <c r="F465" s="32" cm="1">
        <f t="array" aca="1" ref="F465" ca="1">IF(Table3[[#This Row],[Stage]]="Closed",0,IF(IFERROR(
  IF(
    COUNTIF(A$2:A$1997, A465) &gt; 1,
    MIN(IF(A$2:A$1997=A465, IF(B$2:B$1997&gt;B465, B$2:B$1997))) - B465,
    TODAY() - Table3[[#This Row],[Date of Update]]
  ),
  TODAY()-Table3[[#This Row],[Date of Update]]
)&lt;=0,
TODAY()-Table3[[#This Row],[Date of Update]],
IFERROR(
  IF(
    COUNTIF(A$2:A$1997, A465) &gt; 1,
    MIN(IF(A$2:A$1997=A465, IF(B$2:B$1997&gt;B465, B$2:B$1997))) - B465,
    TODAY() - Table3[[#This Row],[Date of Update]]
  ),
  TODAY()-Table3[[#This Row],[Date of Update]]
)))</f>
        <v>58</v>
      </c>
      <c r="G465" s="40" t="str">
        <f>IF(Table3[[#This Row],[Stage]]="Closed",Table3[[#This Row],[Date of Update]]-(_xlfn.MINIFS(Table3[Date of Update],Table3[Ref], Table3[[#This Row],[Ref]])),"")</f>
        <v/>
      </c>
    </row>
    <row r="466" spans="1:7" x14ac:dyDescent="0.25">
      <c r="A466" s="39" t="s">
        <v>1517</v>
      </c>
      <c r="B466" s="33">
        <v>45007</v>
      </c>
      <c r="C466" s="32" t="s">
        <v>23</v>
      </c>
      <c r="D466" s="32" t="s">
        <v>4</v>
      </c>
      <c r="E466" s="32" t="s">
        <v>453</v>
      </c>
      <c r="F466" s="32" cm="1">
        <f t="array" aca="1" ref="F466" ca="1">IF(Table3[[#This Row],[Stage]]="Closed",0,IF(IFERROR(
  IF(
    COUNTIF(A$2:A$1997, A466) &gt; 1,
    MIN(IF(A$2:A$1997=A466, IF(B$2:B$1997&gt;B466, B$2:B$1997))) - B466,
    TODAY() - Table3[[#This Row],[Date of Update]]
  ),
  TODAY()-Table3[[#This Row],[Date of Update]]
)&lt;=0,
TODAY()-Table3[[#This Row],[Date of Update]],
IFERROR(
  IF(
    COUNTIF(A$2:A$1997, A466) &gt; 1,
    MIN(IF(A$2:A$1997=A466, IF(B$2:B$1997&gt;B466, B$2:B$1997))) - B466,
    TODAY() - Table3[[#This Row],[Date of Update]]
  ),
  TODAY()-Table3[[#This Row],[Date of Update]]
)))</f>
        <v>728</v>
      </c>
      <c r="G466" s="40" t="str">
        <f>IF(Table3[[#This Row],[Stage]]="Closed",Table3[[#This Row],[Date of Update]]-(_xlfn.MINIFS(Table3[Date of Update],Table3[Ref], Table3[[#This Row],[Ref]])),"")</f>
        <v/>
      </c>
    </row>
    <row r="467" spans="1:7" x14ac:dyDescent="0.25">
      <c r="A467" s="39" t="s">
        <v>1517</v>
      </c>
      <c r="B467" s="33">
        <v>45007</v>
      </c>
      <c r="C467" s="32" t="s">
        <v>169</v>
      </c>
      <c r="D467" s="32" t="s">
        <v>4</v>
      </c>
      <c r="E467" s="32" t="s">
        <v>453</v>
      </c>
      <c r="F467" s="32" cm="1">
        <f t="array" aca="1" ref="F467" ca="1">IF(Table3[[#This Row],[Stage]]="Closed",0,IF(IFERROR(
  IF(
    COUNTIF(A$2:A$1997, A467) &gt; 1,
    MIN(IF(A$2:A$1997=A467, IF(B$2:B$1997&gt;B467, B$2:B$1997))) - B467,
    TODAY() - Table3[[#This Row],[Date of Update]]
  ),
  TODAY()-Table3[[#This Row],[Date of Update]]
)&lt;=0,
TODAY()-Table3[[#This Row],[Date of Update]],
IFERROR(
  IF(
    COUNTIF(A$2:A$1997, A467) &gt; 1,
    MIN(IF(A$2:A$1997=A467, IF(B$2:B$1997&gt;B467, B$2:B$1997))) - B467,
    TODAY() - Table3[[#This Row],[Date of Update]]
  ),
  TODAY()-Table3[[#This Row],[Date of Update]]
)))</f>
        <v>0</v>
      </c>
      <c r="G467" s="40">
        <f>IF(Table3[[#This Row],[Stage]]="Closed",Table3[[#This Row],[Date of Update]]-(_xlfn.MINIFS(Table3[Date of Update],Table3[Ref], Table3[[#This Row],[Ref]])),"")</f>
        <v>0</v>
      </c>
    </row>
    <row r="468" spans="1:7" x14ac:dyDescent="0.25">
      <c r="A468" s="39" t="s">
        <v>1276</v>
      </c>
      <c r="B468" s="33">
        <v>45008</v>
      </c>
      <c r="C468" s="32" t="s">
        <v>169</v>
      </c>
      <c r="D468" s="32" t="s">
        <v>4</v>
      </c>
      <c r="E468" s="32" t="s">
        <v>662</v>
      </c>
      <c r="F468" s="32" cm="1">
        <f t="array" aca="1" ref="F468" ca="1">IF(Table3[[#This Row],[Stage]]="Closed",0,IF(IFERROR(
  IF(
    COUNTIF(A$2:A$1997, A468) &gt; 1,
    MIN(IF(A$2:A$1997=A468, IF(B$2:B$1997&gt;B468, B$2:B$1997))) - B468,
    TODAY() - Table3[[#This Row],[Date of Update]]
  ),
  TODAY()-Table3[[#This Row],[Date of Update]]
)&lt;=0,
TODAY()-Table3[[#This Row],[Date of Update]],
IFERROR(
  IF(
    COUNTIF(A$2:A$1997, A468) &gt; 1,
    MIN(IF(A$2:A$1997=A468, IF(B$2:B$1997&gt;B468, B$2:B$1997))) - B468,
    TODAY() - Table3[[#This Row],[Date of Update]]
  ),
  TODAY()-Table3[[#This Row],[Date of Update]]
)))</f>
        <v>0</v>
      </c>
      <c r="G468" s="40">
        <f>IF(Table3[[#This Row],[Stage]]="Closed",Table3[[#This Row],[Date of Update]]-(_xlfn.MINIFS(Table3[Date of Update],Table3[Ref], Table3[[#This Row],[Ref]])),"")</f>
        <v>27</v>
      </c>
    </row>
    <row r="469" spans="1:7" x14ac:dyDescent="0.25">
      <c r="A469" s="39" t="s">
        <v>1294</v>
      </c>
      <c r="B469" s="33">
        <v>45008</v>
      </c>
      <c r="C469" s="32" t="s">
        <v>23</v>
      </c>
      <c r="D469" s="32" t="s">
        <v>4</v>
      </c>
      <c r="E469" s="32" t="s">
        <v>521</v>
      </c>
      <c r="F469" s="32" cm="1">
        <f t="array" aca="1" ref="F469" ca="1">IF(Table3[[#This Row],[Stage]]="Closed",0,IF(IFERROR(
  IF(
    COUNTIF(A$2:A$1997, A469) &gt; 1,
    MIN(IF(A$2:A$1997=A469, IF(B$2:B$1997&gt;B469, B$2:B$1997))) - B469,
    TODAY() - Table3[[#This Row],[Date of Update]]
  ),
  TODAY()-Table3[[#This Row],[Date of Update]]
)&lt;=0,
TODAY()-Table3[[#This Row],[Date of Update]],
IFERROR(
  IF(
    COUNTIF(A$2:A$1997, A469) &gt; 1,
    MIN(IF(A$2:A$1997=A469, IF(B$2:B$1997&gt;B469, B$2:B$1997))) - B469,
    TODAY() - Table3[[#This Row],[Date of Update]]
  ),
  TODAY()-Table3[[#This Row],[Date of Update]]
)))</f>
        <v>5</v>
      </c>
      <c r="G469" s="40" t="str">
        <f>IF(Table3[[#This Row],[Stage]]="Closed",Table3[[#This Row],[Date of Update]]-(_xlfn.MINIFS(Table3[Date of Update],Table3[Ref], Table3[[#This Row],[Ref]])),"")</f>
        <v/>
      </c>
    </row>
    <row r="470" spans="1:7" x14ac:dyDescent="0.25">
      <c r="A470" s="39" t="s">
        <v>1275</v>
      </c>
      <c r="B470" s="33">
        <v>45008</v>
      </c>
      <c r="C470" s="32" t="s">
        <v>169</v>
      </c>
      <c r="D470" s="32" t="s">
        <v>4</v>
      </c>
      <c r="E470" s="32" t="s">
        <v>660</v>
      </c>
      <c r="F470" s="32" cm="1">
        <f t="array" aca="1" ref="F470" ca="1">IF(Table3[[#This Row],[Stage]]="Closed",0,IF(IFERROR(
  IF(
    COUNTIF(A$2:A$1997, A470) &gt; 1,
    MIN(IF(A$2:A$1997=A470, IF(B$2:B$1997&gt;B470, B$2:B$1997))) - B470,
    TODAY() - Table3[[#This Row],[Date of Update]]
  ),
  TODAY()-Table3[[#This Row],[Date of Update]]
)&lt;=0,
TODAY()-Table3[[#This Row],[Date of Update]],
IFERROR(
  IF(
    COUNTIF(A$2:A$1997, A470) &gt; 1,
    MIN(IF(A$2:A$1997=A470, IF(B$2:B$1997&gt;B470, B$2:B$1997))) - B470,
    TODAY() - Table3[[#This Row],[Date of Update]]
  ),
  TODAY()-Table3[[#This Row],[Date of Update]]
)))</f>
        <v>0</v>
      </c>
      <c r="G470" s="40">
        <f>IF(Table3[[#This Row],[Stage]]="Closed",Table3[[#This Row],[Date of Update]]-(_xlfn.MINIFS(Table3[Date of Update],Table3[Ref], Table3[[#This Row],[Ref]])),"")</f>
        <v>79</v>
      </c>
    </row>
    <row r="471" spans="1:7" x14ac:dyDescent="0.25">
      <c r="A471" s="39" t="s">
        <v>1286</v>
      </c>
      <c r="B471" s="33">
        <v>45013</v>
      </c>
      <c r="C471" s="32" t="s">
        <v>169</v>
      </c>
      <c r="D471" s="32" t="s">
        <v>4</v>
      </c>
      <c r="E471" s="32" t="s">
        <v>521</v>
      </c>
      <c r="F471" s="32" cm="1">
        <f t="array" aca="1" ref="F471" ca="1">IF(Table3[[#This Row],[Stage]]="Closed",0,IF(IFERROR(
  IF(
    COUNTIF(A$2:A$1997, A471) &gt; 1,
    MIN(IF(A$2:A$1997=A471, IF(B$2:B$1997&gt;B471, B$2:B$1997))) - B471,
    TODAY() - Table3[[#This Row],[Date of Update]]
  ),
  TODAY()-Table3[[#This Row],[Date of Update]]
)&lt;=0,
TODAY()-Table3[[#This Row],[Date of Update]],
IFERROR(
  IF(
    COUNTIF(A$2:A$1997, A471) &gt; 1,
    MIN(IF(A$2:A$1997=A471, IF(B$2:B$1997&gt;B471, B$2:B$1997))) - B471,
    TODAY() - Table3[[#This Row],[Date of Update]]
  ),
  TODAY()-Table3[[#This Row],[Date of Update]]
)))</f>
        <v>0</v>
      </c>
      <c r="G471" s="40">
        <f>IF(Table3[[#This Row],[Stage]]="Closed",Table3[[#This Row],[Date of Update]]-(_xlfn.MINIFS(Table3[Date of Update],Table3[Ref], Table3[[#This Row],[Ref]])),"")</f>
        <v>13</v>
      </c>
    </row>
    <row r="472" spans="1:7" x14ac:dyDescent="0.25">
      <c r="A472" s="39" t="s">
        <v>1294</v>
      </c>
      <c r="B472" s="33">
        <v>45013</v>
      </c>
      <c r="C472" s="32" t="s">
        <v>169</v>
      </c>
      <c r="D472" s="32" t="s">
        <v>4</v>
      </c>
      <c r="E472" s="32" t="s">
        <v>521</v>
      </c>
      <c r="F472" s="32" cm="1">
        <f t="array" aca="1" ref="F472" ca="1">IF(Table3[[#This Row],[Stage]]="Closed",0,IF(IFERROR(
  IF(
    COUNTIF(A$2:A$1997, A472) &gt; 1,
    MIN(IF(A$2:A$1997=A472, IF(B$2:B$1997&gt;B472, B$2:B$1997))) - B472,
    TODAY() - Table3[[#This Row],[Date of Update]]
  ),
  TODAY()-Table3[[#This Row],[Date of Update]]
)&lt;=0,
TODAY()-Table3[[#This Row],[Date of Update]],
IFERROR(
  IF(
    COUNTIF(A$2:A$1997, A472) &gt; 1,
    MIN(IF(A$2:A$1997=A472, IF(B$2:B$1997&gt;B472, B$2:B$1997))) - B472,
    TODAY() - Table3[[#This Row],[Date of Update]]
  ),
  TODAY()-Table3[[#This Row],[Date of Update]]
)))</f>
        <v>0</v>
      </c>
      <c r="G472" s="40">
        <f>IF(Table3[[#This Row],[Stage]]="Closed",Table3[[#This Row],[Date of Update]]-(_xlfn.MINIFS(Table3[Date of Update],Table3[Ref], Table3[[#This Row],[Ref]])),"")</f>
        <v>5</v>
      </c>
    </row>
    <row r="473" spans="1:7" x14ac:dyDescent="0.25">
      <c r="A473" s="39" t="s">
        <v>1280</v>
      </c>
      <c r="B473" s="33">
        <v>45013</v>
      </c>
      <c r="C473" s="32" t="s">
        <v>169</v>
      </c>
      <c r="D473" s="32" t="s">
        <v>4</v>
      </c>
      <c r="E473" s="32" t="s">
        <v>521</v>
      </c>
      <c r="F473" s="32" cm="1">
        <f t="array" aca="1" ref="F473" ca="1">IF(Table3[[#This Row],[Stage]]="Closed",0,IF(IFERROR(
  IF(
    COUNTIF(A$2:A$1997, A473) &gt; 1,
    MIN(IF(A$2:A$1997=A473, IF(B$2:B$1997&gt;B473, B$2:B$1997))) - B473,
    TODAY() - Table3[[#This Row],[Date of Update]]
  ),
  TODAY()-Table3[[#This Row],[Date of Update]]
)&lt;=0,
TODAY()-Table3[[#This Row],[Date of Update]],
IFERROR(
  IF(
    COUNTIF(A$2:A$1997, A473) &gt; 1,
    MIN(IF(A$2:A$1997=A473, IF(B$2:B$1997&gt;B473, B$2:B$1997))) - B473,
    TODAY() - Table3[[#This Row],[Date of Update]]
  ),
  TODAY()-Table3[[#This Row],[Date of Update]]
)))</f>
        <v>0</v>
      </c>
      <c r="G473" s="40">
        <f>IF(Table3[[#This Row],[Stage]]="Closed",Table3[[#This Row],[Date of Update]]-(_xlfn.MINIFS(Table3[Date of Update],Table3[Ref], Table3[[#This Row],[Ref]])),"")</f>
        <v>36</v>
      </c>
    </row>
    <row r="474" spans="1:7" x14ac:dyDescent="0.25">
      <c r="A474" s="39" t="s">
        <v>1295</v>
      </c>
      <c r="B474" s="33">
        <v>45014</v>
      </c>
      <c r="C474" s="32" t="s">
        <v>23</v>
      </c>
      <c r="D474" s="32" t="s">
        <v>4</v>
      </c>
      <c r="E474" s="32" t="s">
        <v>521</v>
      </c>
      <c r="F474" s="32" cm="1">
        <f t="array" aca="1" ref="F474" ca="1">IF(Table3[[#This Row],[Stage]]="Closed",0,IF(IFERROR(
  IF(
    COUNTIF(A$2:A$1997, A474) &gt; 1,
    MIN(IF(A$2:A$1997=A474, IF(B$2:B$1997&gt;B474, B$2:B$1997))) - B474,
    TODAY() - Table3[[#This Row],[Date of Update]]
  ),
  TODAY()-Table3[[#This Row],[Date of Update]]
)&lt;=0,
TODAY()-Table3[[#This Row],[Date of Update]],
IFERROR(
  IF(
    COUNTIF(A$2:A$1997, A474) &gt; 1,
    MIN(IF(A$2:A$1997=A474, IF(B$2:B$1997&gt;B474, B$2:B$1997))) - B474,
    TODAY() - Table3[[#This Row],[Date of Update]]
  ),
  TODAY()-Table3[[#This Row],[Date of Update]]
)))</f>
        <v>2</v>
      </c>
      <c r="G474" s="40" t="str">
        <f>IF(Table3[[#This Row],[Stage]]="Closed",Table3[[#This Row],[Date of Update]]-(_xlfn.MINIFS(Table3[Date of Update],Table3[Ref], Table3[[#This Row],[Ref]])),"")</f>
        <v/>
      </c>
    </row>
    <row r="475" spans="1:7" x14ac:dyDescent="0.25">
      <c r="A475" s="39" t="s">
        <v>1295</v>
      </c>
      <c r="B475" s="33">
        <v>45016</v>
      </c>
      <c r="C475" s="32" t="s">
        <v>169</v>
      </c>
      <c r="D475" s="32" t="s">
        <v>4</v>
      </c>
      <c r="E475" s="32" t="s">
        <v>521</v>
      </c>
      <c r="F475" s="32" cm="1">
        <f t="array" aca="1" ref="F475" ca="1">IF(Table3[[#This Row],[Stage]]="Closed",0,IF(IFERROR(
  IF(
    COUNTIF(A$2:A$1997, A475) &gt; 1,
    MIN(IF(A$2:A$1997=A475, IF(B$2:B$1997&gt;B475, B$2:B$1997))) - B475,
    TODAY() - Table3[[#This Row],[Date of Update]]
  ),
  TODAY()-Table3[[#This Row],[Date of Update]]
)&lt;=0,
TODAY()-Table3[[#This Row],[Date of Update]],
IFERROR(
  IF(
    COUNTIF(A$2:A$1997, A475) &gt; 1,
    MIN(IF(A$2:A$1997=A475, IF(B$2:B$1997&gt;B475, B$2:B$1997))) - B475,
    TODAY() - Table3[[#This Row],[Date of Update]]
  ),
  TODAY()-Table3[[#This Row],[Date of Update]]
)))</f>
        <v>0</v>
      </c>
      <c r="G475" s="40">
        <f>IF(Table3[[#This Row],[Stage]]="Closed",Table3[[#This Row],[Date of Update]]-(_xlfn.MINIFS(Table3[Date of Update],Table3[Ref], Table3[[#This Row],[Ref]])),"")</f>
        <v>2</v>
      </c>
    </row>
    <row r="476" spans="1:7" x14ac:dyDescent="0.25">
      <c r="A476" s="39" t="s">
        <v>1302</v>
      </c>
      <c r="B476" s="33">
        <v>45019</v>
      </c>
      <c r="C476" s="32" t="s">
        <v>23</v>
      </c>
      <c r="D476" s="32" t="s">
        <v>4</v>
      </c>
      <c r="E476" s="32" t="s">
        <v>531</v>
      </c>
      <c r="F476" s="32" cm="1">
        <f t="array" aca="1" ref="F476" ca="1">IF(Table3[[#This Row],[Stage]]="Closed",0,IF(IFERROR(
  IF(
    COUNTIF(A$2:A$1997, A476) &gt; 1,
    MIN(IF(A$2:A$1997=A476, IF(B$2:B$1997&gt;B476, B$2:B$1997))) - B476,
    TODAY() - Table3[[#This Row],[Date of Update]]
  ),
  TODAY()-Table3[[#This Row],[Date of Update]]
)&lt;=0,
TODAY()-Table3[[#This Row],[Date of Update]],
IFERROR(
  IF(
    COUNTIF(A$2:A$1997, A476) &gt; 1,
    MIN(IF(A$2:A$1997=A476, IF(B$2:B$1997&gt;B476, B$2:B$1997))) - B476,
    TODAY() - Table3[[#This Row],[Date of Update]]
  ),
  TODAY()-Table3[[#This Row],[Date of Update]]
)))</f>
        <v>46</v>
      </c>
      <c r="G476" s="40" t="str">
        <f>IF(Table3[[#This Row],[Stage]]="Closed",Table3[[#This Row],[Date of Update]]-(_xlfn.MINIFS(Table3[Date of Update],Table3[Ref], Table3[[#This Row],[Ref]])),"")</f>
        <v/>
      </c>
    </row>
    <row r="477" spans="1:7" x14ac:dyDescent="0.25">
      <c r="A477" s="39" t="s">
        <v>1296</v>
      </c>
      <c r="B477" s="33">
        <v>45027</v>
      </c>
      <c r="C477" s="32" t="s">
        <v>23</v>
      </c>
      <c r="D477" s="32" t="s">
        <v>4</v>
      </c>
      <c r="E477" s="32" t="s">
        <v>521</v>
      </c>
      <c r="F477" s="32" cm="1">
        <f t="array" aca="1" ref="F477" ca="1">IF(Table3[[#This Row],[Stage]]="Closed",0,IF(IFERROR(
  IF(
    COUNTIF(A$2:A$1997, A477) &gt; 1,
    MIN(IF(A$2:A$1997=A477, IF(B$2:B$1997&gt;B477, B$2:B$1997))) - B477,
    TODAY() - Table3[[#This Row],[Date of Update]]
  ),
  TODAY()-Table3[[#This Row],[Date of Update]]
)&lt;=0,
TODAY()-Table3[[#This Row],[Date of Update]],
IFERROR(
  IF(
    COUNTIF(A$2:A$1997, A477) &gt; 1,
    MIN(IF(A$2:A$1997=A477, IF(B$2:B$1997&gt;B477, B$2:B$1997))) - B477,
    TODAY() - Table3[[#This Row],[Date of Update]]
  ),
  TODAY()-Table3[[#This Row],[Date of Update]]
)))</f>
        <v>14</v>
      </c>
      <c r="G477" s="40" t="str">
        <f>IF(Table3[[#This Row],[Stage]]="Closed",Table3[[#This Row],[Date of Update]]-(_xlfn.MINIFS(Table3[Date of Update],Table3[Ref], Table3[[#This Row],[Ref]])),"")</f>
        <v/>
      </c>
    </row>
    <row r="478" spans="1:7" x14ac:dyDescent="0.25">
      <c r="A478" s="39" t="s">
        <v>1297</v>
      </c>
      <c r="B478" s="33">
        <v>45027</v>
      </c>
      <c r="C478" s="32" t="s">
        <v>23</v>
      </c>
      <c r="D478" s="32" t="s">
        <v>4</v>
      </c>
      <c r="E478" s="32" t="s">
        <v>521</v>
      </c>
      <c r="F478" s="32" cm="1">
        <f t="array" aca="1" ref="F478" ca="1">IF(Table3[[#This Row],[Stage]]="Closed",0,IF(IFERROR(
  IF(
    COUNTIF(A$2:A$1997, A478) &gt; 1,
    MIN(IF(A$2:A$1997=A478, IF(B$2:B$1997&gt;B478, B$2:B$1997))) - B478,
    TODAY() - Table3[[#This Row],[Date of Update]]
  ),
  TODAY()-Table3[[#This Row],[Date of Update]]
)&lt;=0,
TODAY()-Table3[[#This Row],[Date of Update]],
IFERROR(
  IF(
    COUNTIF(A$2:A$1997, A478) &gt; 1,
    MIN(IF(A$2:A$1997=A478, IF(B$2:B$1997&gt;B478, B$2:B$1997))) - B478,
    TODAY() - Table3[[#This Row],[Date of Update]]
  ),
  TODAY()-Table3[[#This Row],[Date of Update]]
)))</f>
        <v>14</v>
      </c>
      <c r="G478" s="40" t="str">
        <f>IF(Table3[[#This Row],[Stage]]="Closed",Table3[[#This Row],[Date of Update]]-(_xlfn.MINIFS(Table3[Date of Update],Table3[Ref], Table3[[#This Row],[Ref]])),"")</f>
        <v/>
      </c>
    </row>
    <row r="479" spans="1:7" x14ac:dyDescent="0.25">
      <c r="A479" s="39" t="s">
        <v>1303</v>
      </c>
      <c r="B479" s="33">
        <v>45027</v>
      </c>
      <c r="C479" s="32" t="s">
        <v>23</v>
      </c>
      <c r="D479" s="32" t="s">
        <v>4</v>
      </c>
      <c r="E479" s="32" t="s">
        <v>521</v>
      </c>
      <c r="F479" s="32" cm="1">
        <f t="array" aca="1" ref="F479" ca="1">IF(Table3[[#This Row],[Stage]]="Closed",0,IF(IFERROR(
  IF(
    COUNTIF(A$2:A$1997, A479) &gt; 1,
    MIN(IF(A$2:A$1997=A479, IF(B$2:B$1997&gt;B479, B$2:B$1997))) - B479,
    TODAY() - Table3[[#This Row],[Date of Update]]
  ),
  TODAY()-Table3[[#This Row],[Date of Update]]
)&lt;=0,
TODAY()-Table3[[#This Row],[Date of Update]],
IFERROR(
  IF(
    COUNTIF(A$2:A$1997, A479) &gt; 1,
    MIN(IF(A$2:A$1997=A479, IF(B$2:B$1997&gt;B479, B$2:B$1997))) - B479,
    TODAY() - Table3[[#This Row],[Date of Update]]
  ),
  TODAY()-Table3[[#This Row],[Date of Update]]
)))</f>
        <v>14</v>
      </c>
      <c r="G479" s="40" t="str">
        <f>IF(Table3[[#This Row],[Stage]]="Closed",Table3[[#This Row],[Date of Update]]-(_xlfn.MINIFS(Table3[Date of Update],Table3[Ref], Table3[[#This Row],[Ref]])),"")</f>
        <v/>
      </c>
    </row>
    <row r="480" spans="1:7" x14ac:dyDescent="0.25">
      <c r="A480" s="39" t="s">
        <v>1329</v>
      </c>
      <c r="B480" s="33">
        <v>45027</v>
      </c>
      <c r="C480" s="32" t="s">
        <v>23</v>
      </c>
      <c r="D480" s="32" t="s">
        <v>4</v>
      </c>
      <c r="E480" s="32" t="s">
        <v>759</v>
      </c>
      <c r="F480" s="32" cm="1">
        <f t="array" aca="1" ref="F480" ca="1">IF(Table3[[#This Row],[Stage]]="Closed",0,IF(IFERROR(
  IF(
    COUNTIF(A$2:A$1997, A480) &gt; 1,
    MIN(IF(A$2:A$1997=A480, IF(B$2:B$1997&gt;B480, B$2:B$1997))) - B480,
    TODAY() - Table3[[#This Row],[Date of Update]]
  ),
  TODAY()-Table3[[#This Row],[Date of Update]]
)&lt;=0,
TODAY()-Table3[[#This Row],[Date of Update]],
IFERROR(
  IF(
    COUNTIF(A$2:A$1997, A480) &gt; 1,
    MIN(IF(A$2:A$1997=A480, IF(B$2:B$1997&gt;B480, B$2:B$1997))) - B480,
    TODAY() - Table3[[#This Row],[Date of Update]]
  ),
  TODAY()-Table3[[#This Row],[Date of Update]]
)))</f>
        <v>72</v>
      </c>
      <c r="G480" s="40" t="str">
        <f>IF(Table3[[#This Row],[Stage]]="Closed",Table3[[#This Row],[Date of Update]]-(_xlfn.MINIFS(Table3[Date of Update],Table3[Ref], Table3[[#This Row],[Ref]])),"")</f>
        <v/>
      </c>
    </row>
    <row r="481" spans="1:7" x14ac:dyDescent="0.25">
      <c r="A481" s="39" t="s">
        <v>1448</v>
      </c>
      <c r="B481" s="33">
        <v>45028</v>
      </c>
      <c r="C481" s="32" t="s">
        <v>23</v>
      </c>
      <c r="D481" s="32" t="s">
        <v>4</v>
      </c>
      <c r="E481" s="32" t="s">
        <v>999</v>
      </c>
      <c r="F481" s="32" cm="1">
        <f t="array" aca="1" ref="F481" ca="1">IF(Table3[[#This Row],[Stage]]="Closed",0,IF(IFERROR(
  IF(
    COUNTIF(A$2:A$1997, A481) &gt; 1,
    MIN(IF(A$2:A$1997=A481, IF(B$2:B$1997&gt;B481, B$2:B$1997))) - B481,
    TODAY() - Table3[[#This Row],[Date of Update]]
  ),
  TODAY()-Table3[[#This Row],[Date of Update]]
)&lt;=0,
TODAY()-Table3[[#This Row],[Date of Update]],
IFERROR(
  IF(
    COUNTIF(A$2:A$1997, A481) &gt; 1,
    MIN(IF(A$2:A$1997=A481, IF(B$2:B$1997&gt;B481, B$2:B$1997))) - B481,
    TODAY() - Table3[[#This Row],[Date of Update]]
  ),
  TODAY()-Table3[[#This Row],[Date of Update]]
)))</f>
        <v>406</v>
      </c>
      <c r="G481" s="40" t="str">
        <f>IF(Table3[[#This Row],[Stage]]="Closed",Table3[[#This Row],[Date of Update]]-(_xlfn.MINIFS(Table3[Date of Update],Table3[Ref], Table3[[#This Row],[Ref]])),"")</f>
        <v/>
      </c>
    </row>
    <row r="482" spans="1:7" x14ac:dyDescent="0.25">
      <c r="A482" s="39" t="s">
        <v>1338</v>
      </c>
      <c r="B482" s="33">
        <v>45028</v>
      </c>
      <c r="C482" s="32" t="s">
        <v>23</v>
      </c>
      <c r="D482" s="32" t="s">
        <v>4</v>
      </c>
      <c r="E482" s="32" t="s">
        <v>775</v>
      </c>
      <c r="F482" s="32" cm="1">
        <f t="array" aca="1" ref="F482" ca="1">IF(Table3[[#This Row],[Stage]]="Closed",0,IF(IFERROR(
  IF(
    COUNTIF(A$2:A$1997, A482) &gt; 1,
    MIN(IF(A$2:A$1997=A482, IF(B$2:B$1997&gt;B482, B$2:B$1997))) - B482,
    TODAY() - Table3[[#This Row],[Date of Update]]
  ),
  TODAY()-Table3[[#This Row],[Date of Update]]
)&lt;=0,
TODAY()-Table3[[#This Row],[Date of Update]],
IFERROR(
  IF(
    COUNTIF(A$2:A$1997, A482) &gt; 1,
    MIN(IF(A$2:A$1997=A482, IF(B$2:B$1997&gt;B482, B$2:B$1997))) - B482,
    TODAY() - Table3[[#This Row],[Date of Update]]
  ),
  TODAY()-Table3[[#This Row],[Date of Update]]
)))</f>
        <v>92</v>
      </c>
      <c r="G482" s="40" t="str">
        <f>IF(Table3[[#This Row],[Stage]]="Closed",Table3[[#This Row],[Date of Update]]-(_xlfn.MINIFS(Table3[Date of Update],Table3[Ref], Table3[[#This Row],[Ref]])),"")</f>
        <v/>
      </c>
    </row>
    <row r="483" spans="1:7" x14ac:dyDescent="0.25">
      <c r="A483" s="39" t="s">
        <v>1351</v>
      </c>
      <c r="B483" s="33">
        <v>45028</v>
      </c>
      <c r="C483" s="32" t="s">
        <v>23</v>
      </c>
      <c r="D483" s="32" t="s">
        <v>4</v>
      </c>
      <c r="E483" s="32" t="s">
        <v>810</v>
      </c>
      <c r="F483" s="32" cm="1">
        <f t="array" aca="1" ref="F483" ca="1">IF(Table3[[#This Row],[Stage]]="Closed",0,IF(IFERROR(
  IF(
    COUNTIF(A$2:A$1997, A483) &gt; 1,
    MIN(IF(A$2:A$1997=A483, IF(B$2:B$1997&gt;B483, B$2:B$1997))) - B483,
    TODAY() - Table3[[#This Row],[Date of Update]]
  ),
  TODAY()-Table3[[#This Row],[Date of Update]]
)&lt;=0,
TODAY()-Table3[[#This Row],[Date of Update]],
IFERROR(
  IF(
    COUNTIF(A$2:A$1997, A483) &gt; 1,
    MIN(IF(A$2:A$1997=A483, IF(B$2:B$1997&gt;B483, B$2:B$1997))) - B483,
    TODAY() - Table3[[#This Row],[Date of Update]]
  ),
  TODAY()-Table3[[#This Row],[Date of Update]]
)))</f>
        <v>114</v>
      </c>
      <c r="G483" s="40" t="str">
        <f>IF(Table3[[#This Row],[Stage]]="Closed",Table3[[#This Row],[Date of Update]]-(_xlfn.MINIFS(Table3[Date of Update],Table3[Ref], Table3[[#This Row],[Ref]])),"")</f>
        <v/>
      </c>
    </row>
    <row r="484" spans="1:7" x14ac:dyDescent="0.25">
      <c r="A484" s="39" t="s">
        <v>1381</v>
      </c>
      <c r="B484" s="33">
        <v>45028</v>
      </c>
      <c r="C484" s="32" t="s">
        <v>23</v>
      </c>
      <c r="D484" s="32" t="s">
        <v>4</v>
      </c>
      <c r="E484" s="32" t="s">
        <v>865</v>
      </c>
      <c r="F484" s="32" cm="1">
        <f t="array" aca="1" ref="F484" ca="1">IF(Table3[[#This Row],[Stage]]="Closed",0,IF(IFERROR(
  IF(
    COUNTIF(A$2:A$1997, A484) &gt; 1,
    MIN(IF(A$2:A$1997=A484, IF(B$2:B$1997&gt;B484, B$2:B$1997))) - B484,
    TODAY() - Table3[[#This Row],[Date of Update]]
  ),
  TODAY()-Table3[[#This Row],[Date of Update]]
)&lt;=0,
TODAY()-Table3[[#This Row],[Date of Update]],
IFERROR(
  IF(
    COUNTIF(A$2:A$1997, A484) &gt; 1,
    MIN(IF(A$2:A$1997=A484, IF(B$2:B$1997&gt;B484, B$2:B$1997))) - B484,
    TODAY() - Table3[[#This Row],[Date of Update]]
  ),
  TODAY()-Table3[[#This Row],[Date of Update]]
)))</f>
        <v>183</v>
      </c>
      <c r="G484" s="40" t="str">
        <f>IF(Table3[[#This Row],[Stage]]="Closed",Table3[[#This Row],[Date of Update]]-(_xlfn.MINIFS(Table3[Date of Update],Table3[Ref], Table3[[#This Row],[Ref]])),"")</f>
        <v/>
      </c>
    </row>
    <row r="485" spans="1:7" x14ac:dyDescent="0.25">
      <c r="A485" s="39" t="s">
        <v>1293</v>
      </c>
      <c r="B485" s="33">
        <v>45028</v>
      </c>
      <c r="C485" s="32" t="s">
        <v>23</v>
      </c>
      <c r="D485" s="32" t="s">
        <v>4</v>
      </c>
      <c r="E485" s="32"/>
      <c r="F485" s="32" cm="1">
        <f t="array" aca="1" ref="F485" ca="1">IF(Table3[[#This Row],[Stage]]="Closed",0,IF(IFERROR(
  IF(
    COUNTIF(A$2:A$1997, A485) &gt; 1,
    MIN(IF(A$2:A$1997=A485, IF(B$2:B$1997&gt;B485, B$2:B$1997))) - B485,
    TODAY() - Table3[[#This Row],[Date of Update]]
  ),
  TODAY()-Table3[[#This Row],[Date of Update]]
)&lt;=0,
TODAY()-Table3[[#This Row],[Date of Update]],
IFERROR(
  IF(
    COUNTIF(A$2:A$1997, A485) &gt; 1,
    MIN(IF(A$2:A$1997=A485, IF(B$2:B$1997&gt;B485, B$2:B$1997))) - B485,
    TODAY() - Table3[[#This Row],[Date of Update]]
  ),
  TODAY()-Table3[[#This Row],[Date of Update]]
)))</f>
        <v>8</v>
      </c>
      <c r="G485" s="40" t="str">
        <f>IF(Table3[[#This Row],[Stage]]="Closed",Table3[[#This Row],[Date of Update]]-(_xlfn.MINIFS(Table3[Date of Update],Table3[Ref], Table3[[#This Row],[Ref]])),"")</f>
        <v/>
      </c>
    </row>
    <row r="486" spans="1:7" x14ac:dyDescent="0.25">
      <c r="A486" s="39" t="s">
        <v>1330</v>
      </c>
      <c r="B486" s="33">
        <v>45033</v>
      </c>
      <c r="C486" s="32" t="s">
        <v>23</v>
      </c>
      <c r="D486" s="32" t="s">
        <v>4</v>
      </c>
      <c r="E486" s="32" t="s">
        <v>761</v>
      </c>
      <c r="F486" s="32" cm="1">
        <f t="array" aca="1" ref="F486" ca="1">IF(Table3[[#This Row],[Stage]]="Closed",0,IF(IFERROR(
  IF(
    COUNTIF(A$2:A$1997, A486) &gt; 1,
    MIN(IF(A$2:A$1997=A486, IF(B$2:B$1997&gt;B486, B$2:B$1997))) - B486,
    TODAY() - Table3[[#This Row],[Date of Update]]
  ),
  TODAY()-Table3[[#This Row],[Date of Update]]
)&lt;=0,
TODAY()-Table3[[#This Row],[Date of Update]],
IFERROR(
  IF(
    COUNTIF(A$2:A$1997, A486) &gt; 1,
    MIN(IF(A$2:A$1997=A486, IF(B$2:B$1997&gt;B486, B$2:B$1997))) - B486,
    TODAY() - Table3[[#This Row],[Date of Update]]
  ),
  TODAY()-Table3[[#This Row],[Date of Update]]
)))</f>
        <v>66</v>
      </c>
      <c r="G486" s="40" t="str">
        <f>IF(Table3[[#This Row],[Stage]]="Closed",Table3[[#This Row],[Date of Update]]-(_xlfn.MINIFS(Table3[Date of Update],Table3[Ref], Table3[[#This Row],[Ref]])),"")</f>
        <v/>
      </c>
    </row>
    <row r="487" spans="1:7" x14ac:dyDescent="0.25">
      <c r="A487" s="39" t="s">
        <v>1304</v>
      </c>
      <c r="B487" s="33">
        <v>45033</v>
      </c>
      <c r="C487" s="32" t="s">
        <v>23</v>
      </c>
      <c r="D487" s="32" t="s">
        <v>4</v>
      </c>
      <c r="E487" s="32" t="s">
        <v>715</v>
      </c>
      <c r="F487" s="32" cm="1">
        <f t="array" aca="1" ref="F487" ca="1">IF(Table3[[#This Row],[Stage]]="Closed",0,IF(IFERROR(
  IF(
    COUNTIF(A$2:A$1997, A487) &gt; 1,
    MIN(IF(A$2:A$1997=A487, IF(B$2:B$1997&gt;B487, B$2:B$1997))) - B487,
    TODAY() - Table3[[#This Row],[Date of Update]]
  ),
  TODAY()-Table3[[#This Row],[Date of Update]]
)&lt;=0,
TODAY()-Table3[[#This Row],[Date of Update]],
IFERROR(
  IF(
    COUNTIF(A$2:A$1997, A487) &gt; 1,
    MIN(IF(A$2:A$1997=A487, IF(B$2:B$1997&gt;B487, B$2:B$1997))) - B487,
    TODAY() - Table3[[#This Row],[Date of Update]]
  ),
  TODAY()-Table3[[#This Row],[Date of Update]]
)))</f>
        <v>58</v>
      </c>
      <c r="G487" s="40" t="str">
        <f>IF(Table3[[#This Row],[Stage]]="Closed",Table3[[#This Row],[Date of Update]]-(_xlfn.MINIFS(Table3[Date of Update],Table3[Ref], Table3[[#This Row],[Ref]])),"")</f>
        <v/>
      </c>
    </row>
    <row r="488" spans="1:7" x14ac:dyDescent="0.25">
      <c r="A488" s="39" t="s">
        <v>1305</v>
      </c>
      <c r="B488" s="33">
        <v>45033</v>
      </c>
      <c r="C488" s="32" t="s">
        <v>23</v>
      </c>
      <c r="D488" s="32" t="s">
        <v>4</v>
      </c>
      <c r="E488" s="32" t="s">
        <v>715</v>
      </c>
      <c r="F488" s="32" cm="1">
        <f t="array" aca="1" ref="F488" ca="1">IF(Table3[[#This Row],[Stage]]="Closed",0,IF(IFERROR(
  IF(
    COUNTIF(A$2:A$1997, A488) &gt; 1,
    MIN(IF(A$2:A$1997=A488, IF(B$2:B$1997&gt;B488, B$2:B$1997))) - B488,
    TODAY() - Table3[[#This Row],[Date of Update]]
  ),
  TODAY()-Table3[[#This Row],[Date of Update]]
)&lt;=0,
TODAY()-Table3[[#This Row],[Date of Update]],
IFERROR(
  IF(
    COUNTIF(A$2:A$1997, A488) &gt; 1,
    MIN(IF(A$2:A$1997=A488, IF(B$2:B$1997&gt;B488, B$2:B$1997))) - B488,
    TODAY() - Table3[[#This Row],[Date of Update]]
  ),
  TODAY()-Table3[[#This Row],[Date of Update]]
)))</f>
        <v>58</v>
      </c>
      <c r="G488" s="40" t="str">
        <f>IF(Table3[[#This Row],[Stage]]="Closed",Table3[[#This Row],[Date of Update]]-(_xlfn.MINIFS(Table3[Date of Update],Table3[Ref], Table3[[#This Row],[Ref]])),"")</f>
        <v/>
      </c>
    </row>
    <row r="489" spans="1:7" x14ac:dyDescent="0.25">
      <c r="A489" s="39" t="s">
        <v>1513</v>
      </c>
      <c r="B489" s="33">
        <v>45033</v>
      </c>
      <c r="C489" s="32" t="s">
        <v>23</v>
      </c>
      <c r="D489" s="32" t="s">
        <v>4</v>
      </c>
      <c r="E489" s="32" t="s">
        <v>453</v>
      </c>
      <c r="F489" s="32" cm="1">
        <f t="array" aca="1" ref="F489" ca="1">IF(Table3[[#This Row],[Stage]]="Closed",0,IF(IFERROR(
  IF(
    COUNTIF(A$2:A$1997, A489) &gt; 1,
    MIN(IF(A$2:A$1997=A489, IF(B$2:B$1997&gt;B489, B$2:B$1997))) - B489,
    TODAY() - Table3[[#This Row],[Date of Update]]
  ),
  TODAY()-Table3[[#This Row],[Date of Update]]
)&lt;=0,
TODAY()-Table3[[#This Row],[Date of Update]],
IFERROR(
  IF(
    COUNTIF(A$2:A$1997, A489) &gt; 1,
    MIN(IF(A$2:A$1997=A489, IF(B$2:B$1997&gt;B489, B$2:B$1997))) - B489,
    TODAY() - Table3[[#This Row],[Date of Update]]
  ),
  TODAY()-Table3[[#This Row],[Date of Update]]
)))</f>
        <v>15</v>
      </c>
      <c r="G489" s="40" t="str">
        <f>IF(Table3[[#This Row],[Stage]]="Closed",Table3[[#This Row],[Date of Update]]-(_xlfn.MINIFS(Table3[Date of Update],Table3[Ref], Table3[[#This Row],[Ref]])),"")</f>
        <v/>
      </c>
    </row>
    <row r="490" spans="1:7" x14ac:dyDescent="0.25">
      <c r="A490" s="39" t="s">
        <v>1339</v>
      </c>
      <c r="B490" s="33">
        <v>45035</v>
      </c>
      <c r="C490" s="32" t="s">
        <v>23</v>
      </c>
      <c r="D490" s="32" t="s">
        <v>4</v>
      </c>
      <c r="E490" s="32" t="s">
        <v>778</v>
      </c>
      <c r="F490" s="32" cm="1">
        <f t="array" aca="1" ref="F490" ca="1">IF(Table3[[#This Row],[Stage]]="Closed",0,IF(IFERROR(
  IF(
    COUNTIF(A$2:A$1997, A490) &gt; 1,
    MIN(IF(A$2:A$1997=A490, IF(B$2:B$1997&gt;B490, B$2:B$1997))) - B490,
    TODAY() - Table3[[#This Row],[Date of Update]]
  ),
  TODAY()-Table3[[#This Row],[Date of Update]]
)&lt;=0,
TODAY()-Table3[[#This Row],[Date of Update]],
IFERROR(
  IF(
    COUNTIF(A$2:A$1997, A490) &gt; 1,
    MIN(IF(A$2:A$1997=A490, IF(B$2:B$1997&gt;B490, B$2:B$1997))) - B490,
    TODAY() - Table3[[#This Row],[Date of Update]]
  ),
  TODAY()-Table3[[#This Row],[Date of Update]]
)))</f>
        <v>85</v>
      </c>
      <c r="G490" s="40" t="str">
        <f>IF(Table3[[#This Row],[Stage]]="Closed",Table3[[#This Row],[Date of Update]]-(_xlfn.MINIFS(Table3[Date of Update],Table3[Ref], Table3[[#This Row],[Ref]])),"")</f>
        <v/>
      </c>
    </row>
    <row r="491" spans="1:7" x14ac:dyDescent="0.25">
      <c r="A491" s="39" t="s">
        <v>1291</v>
      </c>
      <c r="B491" s="33">
        <v>45036</v>
      </c>
      <c r="C491" s="32" t="s">
        <v>169</v>
      </c>
      <c r="D491" s="32" t="s">
        <v>4</v>
      </c>
      <c r="E491" s="32"/>
      <c r="F491" s="32" cm="1">
        <f t="array" aca="1" ref="F491" ca="1">IF(Table3[[#This Row],[Stage]]="Closed",0,IF(IFERROR(
  IF(
    COUNTIF(A$2:A$1997, A491) &gt; 1,
    MIN(IF(A$2:A$1997=A491, IF(B$2:B$1997&gt;B491, B$2:B$1997))) - B491,
    TODAY() - Table3[[#This Row],[Date of Update]]
  ),
  TODAY()-Table3[[#This Row],[Date of Update]]
)&lt;=0,
TODAY()-Table3[[#This Row],[Date of Update]],
IFERROR(
  IF(
    COUNTIF(A$2:A$1997, A491) &gt; 1,
    MIN(IF(A$2:A$1997=A491, IF(B$2:B$1997&gt;B491, B$2:B$1997))) - B491,
    TODAY() - Table3[[#This Row],[Date of Update]]
  ),
  TODAY()-Table3[[#This Row],[Date of Update]]
)))</f>
        <v>0</v>
      </c>
      <c r="G491" s="40">
        <f>IF(Table3[[#This Row],[Stage]]="Closed",Table3[[#This Row],[Date of Update]]-(_xlfn.MINIFS(Table3[Date of Update],Table3[Ref], Table3[[#This Row],[Ref]])),"")</f>
        <v>35</v>
      </c>
    </row>
    <row r="492" spans="1:7" x14ac:dyDescent="0.25">
      <c r="A492" s="39" t="s">
        <v>1279</v>
      </c>
      <c r="B492" s="33">
        <v>45036</v>
      </c>
      <c r="C492" s="32" t="s">
        <v>169</v>
      </c>
      <c r="D492" s="32" t="s">
        <v>4</v>
      </c>
      <c r="E492" s="32" t="s">
        <v>613</v>
      </c>
      <c r="F492" s="32" cm="1">
        <f t="array" aca="1" ref="F492" ca="1">IF(Table3[[#This Row],[Stage]]="Closed",0,IF(IFERROR(
  IF(
    COUNTIF(A$2:A$1997, A492) &gt; 1,
    MIN(IF(A$2:A$1997=A492, IF(B$2:B$1997&gt;B492, B$2:B$1997))) - B492,
    TODAY() - Table3[[#This Row],[Date of Update]]
  ),
  TODAY()-Table3[[#This Row],[Date of Update]]
)&lt;=0,
TODAY()-Table3[[#This Row],[Date of Update]],
IFERROR(
  IF(
    COUNTIF(A$2:A$1997, A492) &gt; 1,
    MIN(IF(A$2:A$1997=A492, IF(B$2:B$1997&gt;B492, B$2:B$1997))) - B492,
    TODAY() - Table3[[#This Row],[Date of Update]]
  ),
  TODAY()-Table3[[#This Row],[Date of Update]]
)))</f>
        <v>0</v>
      </c>
      <c r="G492" s="40">
        <f>IF(Table3[[#This Row],[Stage]]="Closed",Table3[[#This Row],[Date of Update]]-(_xlfn.MINIFS(Table3[Date of Update],Table3[Ref], Table3[[#This Row],[Ref]])),"")</f>
        <v>63</v>
      </c>
    </row>
    <row r="493" spans="1:7" x14ac:dyDescent="0.25">
      <c r="A493" s="39" t="s">
        <v>1292</v>
      </c>
      <c r="B493" s="33">
        <v>45036</v>
      </c>
      <c r="C493" s="32" t="s">
        <v>169</v>
      </c>
      <c r="D493" s="32" t="s">
        <v>4</v>
      </c>
      <c r="E493" s="32"/>
      <c r="F493" s="32" cm="1">
        <f t="array" aca="1" ref="F493" ca="1">IF(Table3[[#This Row],[Stage]]="Closed",0,IF(IFERROR(
  IF(
    COUNTIF(A$2:A$1997, A493) &gt; 1,
    MIN(IF(A$2:A$1997=A493, IF(B$2:B$1997&gt;B493, B$2:B$1997))) - B493,
    TODAY() - Table3[[#This Row],[Date of Update]]
  ),
  TODAY()-Table3[[#This Row],[Date of Update]]
)&lt;=0,
TODAY()-Table3[[#This Row],[Date of Update]],
IFERROR(
  IF(
    COUNTIF(A$2:A$1997, A493) &gt; 1,
    MIN(IF(A$2:A$1997=A493, IF(B$2:B$1997&gt;B493, B$2:B$1997))) - B493,
    TODAY() - Table3[[#This Row],[Date of Update]]
  ),
  TODAY()-Table3[[#This Row],[Date of Update]]
)))</f>
        <v>0</v>
      </c>
      <c r="G493" s="40">
        <f>IF(Table3[[#This Row],[Stage]]="Closed",Table3[[#This Row],[Date of Update]]-(_xlfn.MINIFS(Table3[Date of Update],Table3[Ref], Table3[[#This Row],[Ref]])),"")</f>
        <v>35</v>
      </c>
    </row>
    <row r="494" spans="1:7" x14ac:dyDescent="0.25">
      <c r="A494" s="39" t="s">
        <v>1254</v>
      </c>
      <c r="B494" s="33">
        <v>45036</v>
      </c>
      <c r="C494" s="32" t="s">
        <v>169</v>
      </c>
      <c r="D494" s="32" t="s">
        <v>4</v>
      </c>
      <c r="E494" s="32" t="s">
        <v>613</v>
      </c>
      <c r="F494" s="32" cm="1">
        <f t="array" aca="1" ref="F494" ca="1">IF(Table3[[#This Row],[Stage]]="Closed",0,IF(IFERROR(
  IF(
    COUNTIF(A$2:A$1997, A494) &gt; 1,
    MIN(IF(A$2:A$1997=A494, IF(B$2:B$1997&gt;B494, B$2:B$1997))) - B494,
    TODAY() - Table3[[#This Row],[Date of Update]]
  ),
  TODAY()-Table3[[#This Row],[Date of Update]]
)&lt;=0,
TODAY()-Table3[[#This Row],[Date of Update]],
IFERROR(
  IF(
    COUNTIF(A$2:A$1997, A494) &gt; 1,
    MIN(IF(A$2:A$1997=A494, IF(B$2:B$1997&gt;B494, B$2:B$1997))) - B494,
    TODAY() - Table3[[#This Row],[Date of Update]]
  ),
  TODAY()-Table3[[#This Row],[Date of Update]]
)))</f>
        <v>0</v>
      </c>
      <c r="G494" s="40">
        <f>IF(Table3[[#This Row],[Stage]]="Closed",Table3[[#This Row],[Date of Update]]-(_xlfn.MINIFS(Table3[Date of Update],Table3[Ref], Table3[[#This Row],[Ref]])),"")</f>
        <v>92</v>
      </c>
    </row>
    <row r="495" spans="1:7" x14ac:dyDescent="0.25">
      <c r="A495" s="39" t="s">
        <v>1290</v>
      </c>
      <c r="B495" s="33">
        <v>45036</v>
      </c>
      <c r="C495" s="32" t="s">
        <v>169</v>
      </c>
      <c r="D495" s="32" t="s">
        <v>4</v>
      </c>
      <c r="E495" s="32" t="s">
        <v>694</v>
      </c>
      <c r="F495" s="32" cm="1">
        <f t="array" aca="1" ref="F495" ca="1">IF(Table3[[#This Row],[Stage]]="Closed",0,IF(IFERROR(
  IF(
    COUNTIF(A$2:A$1997, A495) &gt; 1,
    MIN(IF(A$2:A$1997=A495, IF(B$2:B$1997&gt;B495, B$2:B$1997))) - B495,
    TODAY() - Table3[[#This Row],[Date of Update]]
  ),
  TODAY()-Table3[[#This Row],[Date of Update]]
)&lt;=0,
TODAY()-Table3[[#This Row],[Date of Update]],
IFERROR(
  IF(
    COUNTIF(A$2:A$1997, A495) &gt; 1,
    MIN(IF(A$2:A$1997=A495, IF(B$2:B$1997&gt;B495, B$2:B$1997))) - B495,
    TODAY() - Table3[[#This Row],[Date of Update]]
  ),
  TODAY()-Table3[[#This Row],[Date of Update]]
)))</f>
        <v>0</v>
      </c>
      <c r="G495" s="40">
        <f>IF(Table3[[#This Row],[Stage]]="Closed",Table3[[#This Row],[Date of Update]]-(_xlfn.MINIFS(Table3[Date of Update],Table3[Ref], Table3[[#This Row],[Ref]])),"")</f>
        <v>36</v>
      </c>
    </row>
    <row r="496" spans="1:7" x14ac:dyDescent="0.25">
      <c r="A496" s="39" t="s">
        <v>1282</v>
      </c>
      <c r="B496" s="33">
        <v>45036</v>
      </c>
      <c r="C496" s="32" t="s">
        <v>169</v>
      </c>
      <c r="D496" s="32" t="s">
        <v>4</v>
      </c>
      <c r="E496" s="32" t="s">
        <v>674</v>
      </c>
      <c r="F496" s="32" cm="1">
        <f t="array" aca="1" ref="F496" ca="1">IF(Table3[[#This Row],[Stage]]="Closed",0,IF(IFERROR(
  IF(
    COUNTIF(A$2:A$1997, A496) &gt; 1,
    MIN(IF(A$2:A$1997=A496, IF(B$2:B$1997&gt;B496, B$2:B$1997))) - B496,
    TODAY() - Table3[[#This Row],[Date of Update]]
  ),
  TODAY()-Table3[[#This Row],[Date of Update]]
)&lt;=0,
TODAY()-Table3[[#This Row],[Date of Update]],
IFERROR(
  IF(
    COUNTIF(A$2:A$1997, A496) &gt; 1,
    MIN(IF(A$2:A$1997=A496, IF(B$2:B$1997&gt;B496, B$2:B$1997))) - B496,
    TODAY() - Table3[[#This Row],[Date of Update]]
  ),
  TODAY()-Table3[[#This Row],[Date of Update]]
)))</f>
        <v>0</v>
      </c>
      <c r="G496" s="40">
        <f>IF(Table3[[#This Row],[Stage]]="Closed",Table3[[#This Row],[Date of Update]]-(_xlfn.MINIFS(Table3[Date of Update],Table3[Ref], Table3[[#This Row],[Ref]])),"")</f>
        <v>132</v>
      </c>
    </row>
    <row r="497" spans="1:7" x14ac:dyDescent="0.25">
      <c r="A497" s="39" t="s">
        <v>1284</v>
      </c>
      <c r="B497" s="33">
        <v>45036</v>
      </c>
      <c r="C497" s="32" t="s">
        <v>169</v>
      </c>
      <c r="D497" s="32" t="s">
        <v>4</v>
      </c>
      <c r="E497" s="32" t="s">
        <v>679</v>
      </c>
      <c r="F497" s="32" cm="1">
        <f t="array" aca="1" ref="F497" ca="1">IF(Table3[[#This Row],[Stage]]="Closed",0,IF(IFERROR(
  IF(
    COUNTIF(A$2:A$1997, A497) &gt; 1,
    MIN(IF(A$2:A$1997=A497, IF(B$2:B$1997&gt;B497, B$2:B$1997))) - B497,
    TODAY() - Table3[[#This Row],[Date of Update]]
  ),
  TODAY()-Table3[[#This Row],[Date of Update]]
)&lt;=0,
TODAY()-Table3[[#This Row],[Date of Update]],
IFERROR(
  IF(
    COUNTIF(A$2:A$1997, A497) &gt; 1,
    MIN(IF(A$2:A$1997=A497, IF(B$2:B$1997&gt;B497, B$2:B$1997))) - B497,
    TODAY() - Table3[[#This Row],[Date of Update]]
  ),
  TODAY()-Table3[[#This Row],[Date of Update]]
)))</f>
        <v>0</v>
      </c>
      <c r="G497" s="40">
        <f>IF(Table3[[#This Row],[Stage]]="Closed",Table3[[#This Row],[Date of Update]]-(_xlfn.MINIFS(Table3[Date of Update],Table3[Ref], Table3[[#This Row],[Ref]])),"")</f>
        <v>78</v>
      </c>
    </row>
    <row r="498" spans="1:7" x14ac:dyDescent="0.25">
      <c r="A498" s="39" t="s">
        <v>1289</v>
      </c>
      <c r="B498" s="33">
        <v>45036</v>
      </c>
      <c r="C498" s="32" t="s">
        <v>169</v>
      </c>
      <c r="D498" s="32" t="s">
        <v>4</v>
      </c>
      <c r="E498" s="32" t="s">
        <v>531</v>
      </c>
      <c r="F498" s="32" cm="1">
        <f t="array" aca="1" ref="F498" ca="1">IF(Table3[[#This Row],[Stage]]="Closed",0,IF(IFERROR(
  IF(
    COUNTIF(A$2:A$1997, A498) &gt; 1,
    MIN(IF(A$2:A$1997=A498, IF(B$2:B$1997&gt;B498, B$2:B$1997))) - B498,
    TODAY() - Table3[[#This Row],[Date of Update]]
  ),
  TODAY()-Table3[[#This Row],[Date of Update]]
)&lt;=0,
TODAY()-Table3[[#This Row],[Date of Update]],
IFERROR(
  IF(
    COUNTIF(A$2:A$1997, A498) &gt; 1,
    MIN(IF(A$2:A$1997=A498, IF(B$2:B$1997&gt;B498, B$2:B$1997))) - B498,
    TODAY() - Table3[[#This Row],[Date of Update]]
  ),
  TODAY()-Table3[[#This Row],[Date of Update]]
)))</f>
        <v>0</v>
      </c>
      <c r="G498" s="40">
        <f>IF(Table3[[#This Row],[Stage]]="Closed",Table3[[#This Row],[Date of Update]]-(_xlfn.MINIFS(Table3[Date of Update],Table3[Ref], Table3[[#This Row],[Ref]])),"")</f>
        <v>44</v>
      </c>
    </row>
    <row r="499" spans="1:7" x14ac:dyDescent="0.25">
      <c r="A499" s="39" t="s">
        <v>1281</v>
      </c>
      <c r="B499" s="33">
        <v>45036</v>
      </c>
      <c r="C499" s="32" t="s">
        <v>169</v>
      </c>
      <c r="D499" s="32" t="s">
        <v>4</v>
      </c>
      <c r="E499" s="32"/>
      <c r="F499" s="32" cm="1">
        <f t="array" aca="1" ref="F499" ca="1">IF(Table3[[#This Row],[Stage]]="Closed",0,IF(IFERROR(
  IF(
    COUNTIF(A$2:A$1997, A499) &gt; 1,
    MIN(IF(A$2:A$1997=A499, IF(B$2:B$1997&gt;B499, B$2:B$1997))) - B499,
    TODAY() - Table3[[#This Row],[Date of Update]]
  ),
  TODAY()-Table3[[#This Row],[Date of Update]]
)&lt;=0,
TODAY()-Table3[[#This Row],[Date of Update]],
IFERROR(
  IF(
    COUNTIF(A$2:A$1997, A499) &gt; 1,
    MIN(IF(A$2:A$1997=A499, IF(B$2:B$1997&gt;B499, B$2:B$1997))) - B499,
    TODAY() - Table3[[#This Row],[Date of Update]]
  ),
  TODAY()-Table3[[#This Row],[Date of Update]]
)))</f>
        <v>0</v>
      </c>
      <c r="G499" s="40">
        <f>IF(Table3[[#This Row],[Stage]]="Closed",Table3[[#This Row],[Date of Update]]-(_xlfn.MINIFS(Table3[Date of Update],Table3[Ref], Table3[[#This Row],[Ref]])),"")</f>
        <v>254</v>
      </c>
    </row>
    <row r="500" spans="1:7" x14ac:dyDescent="0.25">
      <c r="A500" s="39" t="s">
        <v>1288</v>
      </c>
      <c r="B500" s="33">
        <v>45036</v>
      </c>
      <c r="C500" s="32" t="s">
        <v>169</v>
      </c>
      <c r="D500" s="32" t="s">
        <v>4</v>
      </c>
      <c r="E500" s="32" t="s">
        <v>690</v>
      </c>
      <c r="F500" s="32" cm="1">
        <f t="array" aca="1" ref="F500" ca="1">IF(Table3[[#This Row],[Stage]]="Closed",0,IF(IFERROR(
  IF(
    COUNTIF(A$2:A$1997, A500) &gt; 1,
    MIN(IF(A$2:A$1997=A500, IF(B$2:B$1997&gt;B500, B$2:B$1997))) - B500,
    TODAY() - Table3[[#This Row],[Date of Update]]
  ),
  TODAY()-Table3[[#This Row],[Date of Update]]
)&lt;=0,
TODAY()-Table3[[#This Row],[Date of Update]],
IFERROR(
  IF(
    COUNTIF(A$2:A$1997, A500) &gt; 1,
    MIN(IF(A$2:A$1997=A500, IF(B$2:B$1997&gt;B500, B$2:B$1997))) - B500,
    TODAY() - Table3[[#This Row],[Date of Update]]
  ),
  TODAY()-Table3[[#This Row],[Date of Update]]
)))</f>
        <v>0</v>
      </c>
      <c r="G500" s="40">
        <f>IF(Table3[[#This Row],[Stage]]="Closed",Table3[[#This Row],[Date of Update]]-(_xlfn.MINIFS(Table3[Date of Update],Table3[Ref], Table3[[#This Row],[Ref]])),"")</f>
        <v>49</v>
      </c>
    </row>
    <row r="501" spans="1:7" x14ac:dyDescent="0.25">
      <c r="A501" s="39" t="s">
        <v>1285</v>
      </c>
      <c r="B501" s="33">
        <v>45036</v>
      </c>
      <c r="C501" s="32" t="s">
        <v>169</v>
      </c>
      <c r="D501" s="32" t="s">
        <v>4</v>
      </c>
      <c r="E501" s="32" t="s">
        <v>531</v>
      </c>
      <c r="F501" s="32" cm="1">
        <f t="array" aca="1" ref="F501" ca="1">IF(Table3[[#This Row],[Stage]]="Closed",0,IF(IFERROR(
  IF(
    COUNTIF(A$2:A$1997, A501) &gt; 1,
    MIN(IF(A$2:A$1997=A501, IF(B$2:B$1997&gt;B501, B$2:B$1997))) - B501,
    TODAY() - Table3[[#This Row],[Date of Update]]
  ),
  TODAY()-Table3[[#This Row],[Date of Update]]
)&lt;=0,
TODAY()-Table3[[#This Row],[Date of Update]],
IFERROR(
  IF(
    COUNTIF(A$2:A$1997, A501) &gt; 1,
    MIN(IF(A$2:A$1997=A501, IF(B$2:B$1997&gt;B501, B$2:B$1997))) - B501,
    TODAY() - Table3[[#This Row],[Date of Update]]
  ),
  TODAY()-Table3[[#This Row],[Date of Update]]
)))</f>
        <v>0</v>
      </c>
      <c r="G501" s="40">
        <f>IF(Table3[[#This Row],[Stage]]="Closed",Table3[[#This Row],[Date of Update]]-(_xlfn.MINIFS(Table3[Date of Update],Table3[Ref], Table3[[#This Row],[Ref]])),"")</f>
        <v>78</v>
      </c>
    </row>
    <row r="502" spans="1:7" x14ac:dyDescent="0.25">
      <c r="A502" s="39" t="s">
        <v>1287</v>
      </c>
      <c r="B502" s="33">
        <v>45036</v>
      </c>
      <c r="C502" s="32" t="s">
        <v>169</v>
      </c>
      <c r="D502" s="32" t="s">
        <v>4</v>
      </c>
      <c r="E502" s="32"/>
      <c r="F502" s="32" cm="1">
        <f t="array" aca="1" ref="F502" ca="1">IF(Table3[[#This Row],[Stage]]="Closed",0,IF(IFERROR(
  IF(
    COUNTIF(A$2:A$1997, A502) &gt; 1,
    MIN(IF(A$2:A$1997=A502, IF(B$2:B$1997&gt;B502, B$2:B$1997))) - B502,
    TODAY() - Table3[[#This Row],[Date of Update]]
  ),
  TODAY()-Table3[[#This Row],[Date of Update]]
)&lt;=0,
TODAY()-Table3[[#This Row],[Date of Update]],
IFERROR(
  IF(
    COUNTIF(A$2:A$1997, A502) &gt; 1,
    MIN(IF(A$2:A$1997=A502, IF(B$2:B$1997&gt;B502, B$2:B$1997))) - B502,
    TODAY() - Table3[[#This Row],[Date of Update]]
  ),
  TODAY()-Table3[[#This Row],[Date of Update]]
)))</f>
        <v>0</v>
      </c>
      <c r="G502" s="40">
        <f>IF(Table3[[#This Row],[Stage]]="Closed",Table3[[#This Row],[Date of Update]]-(_xlfn.MINIFS(Table3[Date of Update],Table3[Ref], Table3[[#This Row],[Ref]])),"")</f>
        <v>58</v>
      </c>
    </row>
    <row r="503" spans="1:7" x14ac:dyDescent="0.25">
      <c r="A503" s="39" t="s">
        <v>1293</v>
      </c>
      <c r="B503" s="33">
        <v>45036</v>
      </c>
      <c r="C503" s="32" t="s">
        <v>169</v>
      </c>
      <c r="D503" s="32" t="s">
        <v>4</v>
      </c>
      <c r="E503" s="32"/>
      <c r="F503" s="32" cm="1">
        <f t="array" aca="1" ref="F503" ca="1">IF(Table3[[#This Row],[Stage]]="Closed",0,IF(IFERROR(
  IF(
    COUNTIF(A$2:A$1997, A503) &gt; 1,
    MIN(IF(A$2:A$1997=A503, IF(B$2:B$1997&gt;B503, B$2:B$1997))) - B503,
    TODAY() - Table3[[#This Row],[Date of Update]]
  ),
  TODAY()-Table3[[#This Row],[Date of Update]]
)&lt;=0,
TODAY()-Table3[[#This Row],[Date of Update]],
IFERROR(
  IF(
    COUNTIF(A$2:A$1997, A503) &gt; 1,
    MIN(IF(A$2:A$1997=A503, IF(B$2:B$1997&gt;B503, B$2:B$1997))) - B503,
    TODAY() - Table3[[#This Row],[Date of Update]]
  ),
  TODAY()-Table3[[#This Row],[Date of Update]]
)))</f>
        <v>0</v>
      </c>
      <c r="G503" s="40">
        <f>IF(Table3[[#This Row],[Stage]]="Closed",Table3[[#This Row],[Date of Update]]-(_xlfn.MINIFS(Table3[Date of Update],Table3[Ref], Table3[[#This Row],[Ref]])),"")</f>
        <v>8</v>
      </c>
    </row>
    <row r="504" spans="1:7" x14ac:dyDescent="0.25">
      <c r="A504" s="39" t="s">
        <v>1515</v>
      </c>
      <c r="B504" s="33">
        <v>45037</v>
      </c>
      <c r="C504" s="32" t="s">
        <v>169</v>
      </c>
      <c r="D504" s="32" t="s">
        <v>4</v>
      </c>
      <c r="E504" s="32" t="s">
        <v>549</v>
      </c>
      <c r="F504" s="32" cm="1">
        <f t="array" aca="1" ref="F504" ca="1">IF(Table3[[#This Row],[Stage]]="Closed",0,IF(IFERROR(
  IF(
    COUNTIF(A$2:A$1997, A504) &gt; 1,
    MIN(IF(A$2:A$1997=A504, IF(B$2:B$1997&gt;B504, B$2:B$1997))) - B504,
    TODAY() - Table3[[#This Row],[Date of Update]]
  ),
  TODAY()-Table3[[#This Row],[Date of Update]]
)&lt;=0,
TODAY()-Table3[[#This Row],[Date of Update]],
IFERROR(
  IF(
    COUNTIF(A$2:A$1997, A504) &gt; 1,
    MIN(IF(A$2:A$1997=A504, IF(B$2:B$1997&gt;B504, B$2:B$1997))) - B504,
    TODAY() - Table3[[#This Row],[Date of Update]]
  ),
  TODAY()-Table3[[#This Row],[Date of Update]]
)))</f>
        <v>0</v>
      </c>
      <c r="G504" s="40">
        <f>IF(Table3[[#This Row],[Stage]]="Closed",Table3[[#This Row],[Date of Update]]-(_xlfn.MINIFS(Table3[Date of Update],Table3[Ref], Table3[[#This Row],[Ref]])),"")</f>
        <v>113</v>
      </c>
    </row>
    <row r="505" spans="1:7" x14ac:dyDescent="0.25">
      <c r="A505" s="39" t="s">
        <v>1296</v>
      </c>
      <c r="B505" s="33">
        <v>45041</v>
      </c>
      <c r="C505" s="32" t="s">
        <v>169</v>
      </c>
      <c r="D505" s="32" t="s">
        <v>4</v>
      </c>
      <c r="E505" s="32" t="s">
        <v>521</v>
      </c>
      <c r="F505" s="32" cm="1">
        <f t="array" aca="1" ref="F505" ca="1">IF(Table3[[#This Row],[Stage]]="Closed",0,IF(IFERROR(
  IF(
    COUNTIF(A$2:A$1997, A505) &gt; 1,
    MIN(IF(A$2:A$1997=A505, IF(B$2:B$1997&gt;B505, B$2:B$1997))) - B505,
    TODAY() - Table3[[#This Row],[Date of Update]]
  ),
  TODAY()-Table3[[#This Row],[Date of Update]]
)&lt;=0,
TODAY()-Table3[[#This Row],[Date of Update]],
IFERROR(
  IF(
    COUNTIF(A$2:A$1997, A505) &gt; 1,
    MIN(IF(A$2:A$1997=A505, IF(B$2:B$1997&gt;B505, B$2:B$1997))) - B505,
    TODAY() - Table3[[#This Row],[Date of Update]]
  ),
  TODAY()-Table3[[#This Row],[Date of Update]]
)))</f>
        <v>0</v>
      </c>
      <c r="G505" s="40">
        <f>IF(Table3[[#This Row],[Stage]]="Closed",Table3[[#This Row],[Date of Update]]-(_xlfn.MINIFS(Table3[Date of Update],Table3[Ref], Table3[[#This Row],[Ref]])),"")</f>
        <v>14</v>
      </c>
    </row>
    <row r="506" spans="1:7" x14ac:dyDescent="0.25">
      <c r="A506" s="39" t="s">
        <v>1297</v>
      </c>
      <c r="B506" s="33">
        <v>45041</v>
      </c>
      <c r="C506" s="32" t="s">
        <v>169</v>
      </c>
      <c r="D506" s="32" t="s">
        <v>4</v>
      </c>
      <c r="E506" s="32" t="s">
        <v>521</v>
      </c>
      <c r="F506" s="32" cm="1">
        <f t="array" aca="1" ref="F506" ca="1">IF(Table3[[#This Row],[Stage]]="Closed",0,IF(IFERROR(
  IF(
    COUNTIF(A$2:A$1997, A506) &gt; 1,
    MIN(IF(A$2:A$1997=A506, IF(B$2:B$1997&gt;B506, B$2:B$1997))) - B506,
    TODAY() - Table3[[#This Row],[Date of Update]]
  ),
  TODAY()-Table3[[#This Row],[Date of Update]]
)&lt;=0,
TODAY()-Table3[[#This Row],[Date of Update]],
IFERROR(
  IF(
    COUNTIF(A$2:A$1997, A506) &gt; 1,
    MIN(IF(A$2:A$1997=A506, IF(B$2:B$1997&gt;B506, B$2:B$1997))) - B506,
    TODAY() - Table3[[#This Row],[Date of Update]]
  ),
  TODAY()-Table3[[#This Row],[Date of Update]]
)))</f>
        <v>0</v>
      </c>
      <c r="G506" s="40">
        <f>IF(Table3[[#This Row],[Stage]]="Closed",Table3[[#This Row],[Date of Update]]-(_xlfn.MINIFS(Table3[Date of Update],Table3[Ref], Table3[[#This Row],[Ref]])),"")</f>
        <v>14</v>
      </c>
    </row>
    <row r="507" spans="1:7" x14ac:dyDescent="0.25">
      <c r="A507" s="39" t="s">
        <v>1303</v>
      </c>
      <c r="B507" s="33">
        <v>45041</v>
      </c>
      <c r="C507" s="32" t="s">
        <v>169</v>
      </c>
      <c r="D507" s="32" t="s">
        <v>4</v>
      </c>
      <c r="E507" s="32" t="s">
        <v>521</v>
      </c>
      <c r="F507" s="32" cm="1">
        <f t="array" aca="1" ref="F507" ca="1">IF(Table3[[#This Row],[Stage]]="Closed",0,IF(IFERROR(
  IF(
    COUNTIF(A$2:A$1997, A507) &gt; 1,
    MIN(IF(A$2:A$1997=A507, IF(B$2:B$1997&gt;B507, B$2:B$1997))) - B507,
    TODAY() - Table3[[#This Row],[Date of Update]]
  ),
  TODAY()-Table3[[#This Row],[Date of Update]]
)&lt;=0,
TODAY()-Table3[[#This Row],[Date of Update]],
IFERROR(
  IF(
    COUNTIF(A$2:A$1997, A507) &gt; 1,
    MIN(IF(A$2:A$1997=A507, IF(B$2:B$1997&gt;B507, B$2:B$1997))) - B507,
    TODAY() - Table3[[#This Row],[Date of Update]]
  ),
  TODAY()-Table3[[#This Row],[Date of Update]]
)))</f>
        <v>0</v>
      </c>
      <c r="G507" s="40">
        <f>IF(Table3[[#This Row],[Stage]]="Closed",Table3[[#This Row],[Date of Update]]-(_xlfn.MINIFS(Table3[Date of Update],Table3[Ref], Table3[[#This Row],[Ref]])),"")</f>
        <v>14</v>
      </c>
    </row>
    <row r="508" spans="1:7" x14ac:dyDescent="0.25">
      <c r="A508" s="39" t="s">
        <v>1300</v>
      </c>
      <c r="B508" s="33">
        <v>45048</v>
      </c>
      <c r="C508" s="32" t="s">
        <v>169</v>
      </c>
      <c r="D508" s="32" t="s">
        <v>4</v>
      </c>
      <c r="E508" s="32" t="s">
        <v>412</v>
      </c>
      <c r="F508" s="32" cm="1">
        <f t="array" aca="1" ref="F508" ca="1">IF(Table3[[#This Row],[Stage]]="Closed",0,IF(IFERROR(
  IF(
    COUNTIF(A$2:A$1997, A508) &gt; 1,
    MIN(IF(A$2:A$1997=A508, IF(B$2:B$1997&gt;B508, B$2:B$1997))) - B508,
    TODAY() - Table3[[#This Row],[Date of Update]]
  ),
  TODAY()-Table3[[#This Row],[Date of Update]]
)&lt;=0,
TODAY()-Table3[[#This Row],[Date of Update]],
IFERROR(
  IF(
    COUNTIF(A$2:A$1997, A508) &gt; 1,
    MIN(IF(A$2:A$1997=A508, IF(B$2:B$1997&gt;B508, B$2:B$1997))) - B508,
    TODAY() - Table3[[#This Row],[Date of Update]]
  ),
  TODAY()-Table3[[#This Row],[Date of Update]]
)))</f>
        <v>0</v>
      </c>
      <c r="G508" s="40">
        <f>IF(Table3[[#This Row],[Stage]]="Closed",Table3[[#This Row],[Date of Update]]-(_xlfn.MINIFS(Table3[Date of Update],Table3[Ref], Table3[[#This Row],[Ref]])),"")</f>
        <v>61</v>
      </c>
    </row>
    <row r="509" spans="1:7" x14ac:dyDescent="0.25">
      <c r="A509" s="39" t="s">
        <v>1299</v>
      </c>
      <c r="B509" s="33">
        <v>45048</v>
      </c>
      <c r="C509" s="32" t="s">
        <v>169</v>
      </c>
      <c r="D509" s="32" t="s">
        <v>4</v>
      </c>
      <c r="E509" s="32" t="s">
        <v>645</v>
      </c>
      <c r="F509" s="32" cm="1">
        <f t="array" aca="1" ref="F509" ca="1">IF(Table3[[#This Row],[Stage]]="Closed",0,IF(IFERROR(
  IF(
    COUNTIF(A$2:A$1997, A509) &gt; 1,
    MIN(IF(A$2:A$1997=A509, IF(B$2:B$1997&gt;B509, B$2:B$1997))) - B509,
    TODAY() - Table3[[#This Row],[Date of Update]]
  ),
  TODAY()-Table3[[#This Row],[Date of Update]]
)&lt;=0,
TODAY()-Table3[[#This Row],[Date of Update]],
IFERROR(
  IF(
    COUNTIF(A$2:A$1997, A509) &gt; 1,
    MIN(IF(A$2:A$1997=A509, IF(B$2:B$1997&gt;B509, B$2:B$1997))) - B509,
    TODAY() - Table3[[#This Row],[Date of Update]]
  ),
  TODAY()-Table3[[#This Row],[Date of Update]]
)))</f>
        <v>0</v>
      </c>
      <c r="G509" s="40">
        <f>IF(Table3[[#This Row],[Stage]]="Closed",Table3[[#This Row],[Date of Update]]-(_xlfn.MINIFS(Table3[Date of Update],Table3[Ref], Table3[[#This Row],[Ref]])),"")</f>
        <v>95</v>
      </c>
    </row>
    <row r="510" spans="1:7" x14ac:dyDescent="0.25">
      <c r="A510" s="39" t="s">
        <v>1513</v>
      </c>
      <c r="B510" s="33">
        <v>45048</v>
      </c>
      <c r="C510" s="32" t="s">
        <v>169</v>
      </c>
      <c r="D510" s="32" t="s">
        <v>4</v>
      </c>
      <c r="E510" s="32" t="s">
        <v>453</v>
      </c>
      <c r="F510" s="32" cm="1">
        <f t="array" aca="1" ref="F510" ca="1">IF(Table3[[#This Row],[Stage]]="Closed",0,IF(IFERROR(
  IF(
    COUNTIF(A$2:A$1997, A510) &gt; 1,
    MIN(IF(A$2:A$1997=A510, IF(B$2:B$1997&gt;B510, B$2:B$1997))) - B510,
    TODAY() - Table3[[#This Row],[Date of Update]]
  ),
  TODAY()-Table3[[#This Row],[Date of Update]]
)&lt;=0,
TODAY()-Table3[[#This Row],[Date of Update]],
IFERROR(
  IF(
    COUNTIF(A$2:A$1997, A510) &gt; 1,
    MIN(IF(A$2:A$1997=A510, IF(B$2:B$1997&gt;B510, B$2:B$1997))) - B510,
    TODAY() - Table3[[#This Row],[Date of Update]]
  ),
  TODAY()-Table3[[#This Row],[Date of Update]]
)))</f>
        <v>0</v>
      </c>
      <c r="G510" s="40">
        <f>IF(Table3[[#This Row],[Stage]]="Closed",Table3[[#This Row],[Date of Update]]-(_xlfn.MINIFS(Table3[Date of Update],Table3[Ref], Table3[[#This Row],[Ref]])),"")</f>
        <v>15</v>
      </c>
    </row>
    <row r="511" spans="1:7" x14ac:dyDescent="0.25">
      <c r="A511" s="39" t="s">
        <v>1331</v>
      </c>
      <c r="B511" s="33">
        <v>45048</v>
      </c>
      <c r="C511" s="32" t="s">
        <v>23</v>
      </c>
      <c r="D511" s="32" t="s">
        <v>4</v>
      </c>
      <c r="E511" s="32" t="s">
        <v>763</v>
      </c>
      <c r="F511" s="32" cm="1">
        <f t="array" aca="1" ref="F511" ca="1">IF(Table3[[#This Row],[Stage]]="Closed",0,IF(IFERROR(
  IF(
    COUNTIF(A$2:A$1997, A511) &gt; 1,
    MIN(IF(A$2:A$1997=A511, IF(B$2:B$1997&gt;B511, B$2:B$1997))) - B511,
    TODAY() - Table3[[#This Row],[Date of Update]]
  ),
  TODAY()-Table3[[#This Row],[Date of Update]]
)&lt;=0,
TODAY()-Table3[[#This Row],[Date of Update]],
IFERROR(
  IF(
    COUNTIF(A$2:A$1997, A511) &gt; 1,
    MIN(IF(A$2:A$1997=A511, IF(B$2:B$1997&gt;B511, B$2:B$1997))) - B511,
    TODAY() - Table3[[#This Row],[Date of Update]]
  ),
  TODAY()-Table3[[#This Row],[Date of Update]]
)))</f>
        <v>51</v>
      </c>
      <c r="G511" s="40" t="str">
        <f>IF(Table3[[#This Row],[Stage]]="Closed",Table3[[#This Row],[Date of Update]]-(_xlfn.MINIFS(Table3[Date of Update],Table3[Ref], Table3[[#This Row],[Ref]])),"")</f>
        <v/>
      </c>
    </row>
    <row r="512" spans="1:7" x14ac:dyDescent="0.25">
      <c r="A512" s="39" t="s">
        <v>1298</v>
      </c>
      <c r="B512" s="33">
        <v>45048</v>
      </c>
      <c r="C512" s="32" t="s">
        <v>169</v>
      </c>
      <c r="D512" s="32" t="s">
        <v>4</v>
      </c>
      <c r="E512" s="32" t="s">
        <v>453</v>
      </c>
      <c r="F512" s="32" cm="1">
        <f t="array" aca="1" ref="F512" ca="1">IF(Table3[[#This Row],[Stage]]="Closed",0,IF(IFERROR(
  IF(
    COUNTIF(A$2:A$1997, A512) &gt; 1,
    MIN(IF(A$2:A$1997=A512, IF(B$2:B$1997&gt;B512, B$2:B$1997))) - B512,
    TODAY() - Table3[[#This Row],[Date of Update]]
  ),
  TODAY()-Table3[[#This Row],[Date of Update]]
)&lt;=0,
TODAY()-Table3[[#This Row],[Date of Update]],
IFERROR(
  IF(
    COUNTIF(A$2:A$1997, A512) &gt; 1,
    MIN(IF(A$2:A$1997=A512, IF(B$2:B$1997&gt;B512, B$2:B$1997))) - B512,
    TODAY() - Table3[[#This Row],[Date of Update]]
  ),
  TODAY()-Table3[[#This Row],[Date of Update]]
)))</f>
        <v>0</v>
      </c>
      <c r="G512" s="40">
        <f>IF(Table3[[#This Row],[Stage]]="Closed",Table3[[#This Row],[Date of Update]]-(_xlfn.MINIFS(Table3[Date of Update],Table3[Ref], Table3[[#This Row],[Ref]])),"")</f>
        <v>267</v>
      </c>
    </row>
    <row r="513" spans="1:7" x14ac:dyDescent="0.25">
      <c r="A513" s="39" t="s">
        <v>1308</v>
      </c>
      <c r="B513" s="33">
        <v>45058</v>
      </c>
      <c r="C513" s="32" t="s">
        <v>23</v>
      </c>
      <c r="D513" s="32" t="s">
        <v>4</v>
      </c>
      <c r="E513" s="32" t="s">
        <v>725</v>
      </c>
      <c r="F513" s="32" cm="1">
        <f t="array" aca="1" ref="F513" ca="1">IF(Table3[[#This Row],[Stage]]="Closed",0,IF(IFERROR(
  IF(
    COUNTIF(A$2:A$1997, A513) &gt; 1,
    MIN(IF(A$2:A$1997=A513, IF(B$2:B$1997&gt;B513, B$2:B$1997))) - B513,
    TODAY() - Table3[[#This Row],[Date of Update]]
  ),
  TODAY()-Table3[[#This Row],[Date of Update]]
)&lt;=0,
TODAY()-Table3[[#This Row],[Date of Update]],
IFERROR(
  IF(
    COUNTIF(A$2:A$1997, A513) &gt; 1,
    MIN(IF(A$2:A$1997=A513, IF(B$2:B$1997&gt;B513, B$2:B$1997))) - B513,
    TODAY() - Table3[[#This Row],[Date of Update]]
  ),
  TODAY()-Table3[[#This Row],[Date of Update]]
)))</f>
        <v>25</v>
      </c>
      <c r="G513" s="40" t="str">
        <f>IF(Table3[[#This Row],[Stage]]="Closed",Table3[[#This Row],[Date of Update]]-(_xlfn.MINIFS(Table3[Date of Update],Table3[Ref], Table3[[#This Row],[Ref]])),"")</f>
        <v/>
      </c>
    </row>
    <row r="514" spans="1:7" x14ac:dyDescent="0.25">
      <c r="A514" s="39" t="s">
        <v>1306</v>
      </c>
      <c r="B514" s="33">
        <v>45058</v>
      </c>
      <c r="C514" s="32" t="s">
        <v>23</v>
      </c>
      <c r="D514" s="32" t="s">
        <v>4</v>
      </c>
      <c r="E514" s="32" t="s">
        <v>720</v>
      </c>
      <c r="F514" s="32" cm="1">
        <f t="array" aca="1" ref="F514" ca="1">IF(Table3[[#This Row],[Stage]]="Closed",0,IF(IFERROR(
  IF(
    COUNTIF(A$2:A$1997, A514) &gt; 1,
    MIN(IF(A$2:A$1997=A514, IF(B$2:B$1997&gt;B514, B$2:B$1997))) - B514,
    TODAY() - Table3[[#This Row],[Date of Update]]
  ),
  TODAY()-Table3[[#This Row],[Date of Update]]
)&lt;=0,
TODAY()-Table3[[#This Row],[Date of Update]],
IFERROR(
  IF(
    COUNTIF(A$2:A$1997, A514) &gt; 1,
    MIN(IF(A$2:A$1997=A514, IF(B$2:B$1997&gt;B514, B$2:B$1997))) - B514,
    TODAY() - Table3[[#This Row],[Date of Update]]
  ),
  TODAY()-Table3[[#This Row],[Date of Update]]
)))</f>
        <v>18</v>
      </c>
      <c r="G514" s="40" t="str">
        <f>IF(Table3[[#This Row],[Stage]]="Closed",Table3[[#This Row],[Date of Update]]-(_xlfn.MINIFS(Table3[Date of Update],Table3[Ref], Table3[[#This Row],[Ref]])),"")</f>
        <v/>
      </c>
    </row>
    <row r="515" spans="1:7" x14ac:dyDescent="0.25">
      <c r="A515" s="39" t="s">
        <v>1309</v>
      </c>
      <c r="B515" s="33">
        <v>45061</v>
      </c>
      <c r="C515" s="32" t="s">
        <v>23</v>
      </c>
      <c r="D515" s="32" t="s">
        <v>4</v>
      </c>
      <c r="E515" s="32" t="s">
        <v>715</v>
      </c>
      <c r="F515" s="32" cm="1">
        <f t="array" aca="1" ref="F515" ca="1">IF(Table3[[#This Row],[Stage]]="Closed",0,IF(IFERROR(
  IF(
    COUNTIF(A$2:A$1997, A515) &gt; 1,
    MIN(IF(A$2:A$1997=A515, IF(B$2:B$1997&gt;B515, B$2:B$1997))) - B515,
    TODAY() - Table3[[#This Row],[Date of Update]]
  ),
  TODAY()-Table3[[#This Row],[Date of Update]]
)&lt;=0,
TODAY()-Table3[[#This Row],[Date of Update]],
IFERROR(
  IF(
    COUNTIF(A$2:A$1997, A515) &gt; 1,
    MIN(IF(A$2:A$1997=A515, IF(B$2:B$1997&gt;B515, B$2:B$1997))) - B515,
    TODAY() - Table3[[#This Row],[Date of Update]]
  ),
  TODAY()-Table3[[#This Row],[Date of Update]]
)))</f>
        <v>30</v>
      </c>
      <c r="G515" s="40" t="str">
        <f>IF(Table3[[#This Row],[Stage]]="Closed",Table3[[#This Row],[Date of Update]]-(_xlfn.MINIFS(Table3[Date of Update],Table3[Ref], Table3[[#This Row],[Ref]])),"")</f>
        <v/>
      </c>
    </row>
    <row r="516" spans="1:7" x14ac:dyDescent="0.25">
      <c r="A516" s="39" t="s">
        <v>1310</v>
      </c>
      <c r="B516" s="33">
        <v>45061</v>
      </c>
      <c r="C516" s="32" t="s">
        <v>23</v>
      </c>
      <c r="D516" s="32" t="s">
        <v>4</v>
      </c>
      <c r="E516" s="32" t="s">
        <v>715</v>
      </c>
      <c r="F516" s="32" cm="1">
        <f t="array" aca="1" ref="F516" ca="1">IF(Table3[[#This Row],[Stage]]="Closed",0,IF(IFERROR(
  IF(
    COUNTIF(A$2:A$1997, A516) &gt; 1,
    MIN(IF(A$2:A$1997=A516, IF(B$2:B$1997&gt;B516, B$2:B$1997))) - B516,
    TODAY() - Table3[[#This Row],[Date of Update]]
  ),
  TODAY()-Table3[[#This Row],[Date of Update]]
)&lt;=0,
TODAY()-Table3[[#This Row],[Date of Update]],
IFERROR(
  IF(
    COUNTIF(A$2:A$1997, A516) &gt; 1,
    MIN(IF(A$2:A$1997=A516, IF(B$2:B$1997&gt;B516, B$2:B$1997))) - B516,
    TODAY() - Table3[[#This Row],[Date of Update]]
  ),
  TODAY()-Table3[[#This Row],[Date of Update]]
)))</f>
        <v>30</v>
      </c>
      <c r="G516" s="40" t="str">
        <f>IF(Table3[[#This Row],[Stage]]="Closed",Table3[[#This Row],[Date of Update]]-(_xlfn.MINIFS(Table3[Date of Update],Table3[Ref], Table3[[#This Row],[Ref]])),"")</f>
        <v/>
      </c>
    </row>
    <row r="517" spans="1:7" x14ac:dyDescent="0.25">
      <c r="A517" s="39" t="s">
        <v>1375</v>
      </c>
      <c r="B517" s="33">
        <v>45063</v>
      </c>
      <c r="C517" s="32" t="s">
        <v>23</v>
      </c>
      <c r="D517" s="32" t="s">
        <v>4</v>
      </c>
      <c r="E517" s="32" t="s">
        <v>856</v>
      </c>
      <c r="F517" s="32" cm="1">
        <f t="array" aca="1" ref="F517" ca="1">IF(Table3[[#This Row],[Stage]]="Closed",0,IF(IFERROR(
  IF(
    COUNTIF(A$2:A$1997, A517) &gt; 1,
    MIN(IF(A$2:A$1997=A517, IF(B$2:B$1997&gt;B517, B$2:B$1997))) - B517,
    TODAY() - Table3[[#This Row],[Date of Update]]
  ),
  TODAY()-Table3[[#This Row],[Date of Update]]
)&lt;=0,
TODAY()-Table3[[#This Row],[Date of Update]],
IFERROR(
  IF(
    COUNTIF(A$2:A$1997, A517) &gt; 1,
    MIN(IF(A$2:A$1997=A517, IF(B$2:B$1997&gt;B517, B$2:B$1997))) - B517,
    TODAY() - Table3[[#This Row],[Date of Update]]
  ),
  TODAY()-Table3[[#This Row],[Date of Update]]
)))</f>
        <v>142</v>
      </c>
      <c r="G517" s="40" t="str">
        <f>IF(Table3[[#This Row],[Stage]]="Closed",Table3[[#This Row],[Date of Update]]-(_xlfn.MINIFS(Table3[Date of Update],Table3[Ref], Table3[[#This Row],[Ref]])),"")</f>
        <v/>
      </c>
    </row>
    <row r="518" spans="1:7" x14ac:dyDescent="0.25">
      <c r="A518" s="39" t="s">
        <v>1311</v>
      </c>
      <c r="B518" s="33">
        <v>45063</v>
      </c>
      <c r="C518" s="32" t="s">
        <v>23</v>
      </c>
      <c r="D518" s="32" t="s">
        <v>4</v>
      </c>
      <c r="E518" s="32" t="s">
        <v>727</v>
      </c>
      <c r="F518" s="32" cm="1">
        <f t="array" aca="1" ref="F518" ca="1">IF(Table3[[#This Row],[Stage]]="Closed",0,IF(IFERROR(
  IF(
    COUNTIF(A$2:A$1997, A518) &gt; 1,
    MIN(IF(A$2:A$1997=A518, IF(B$2:B$1997&gt;B518, B$2:B$1997))) - B518,
    TODAY() - Table3[[#This Row],[Date of Update]]
  ),
  TODAY()-Table3[[#This Row],[Date of Update]]
)&lt;=0,
TODAY()-Table3[[#This Row],[Date of Update]],
IFERROR(
  IF(
    COUNTIF(A$2:A$1997, A518) &gt; 1,
    MIN(IF(A$2:A$1997=A518, IF(B$2:B$1997&gt;B518, B$2:B$1997))) - B518,
    TODAY() - Table3[[#This Row],[Date of Update]]
  ),
  TODAY()-Table3[[#This Row],[Date of Update]]
)))</f>
        <v>71</v>
      </c>
      <c r="G518" s="40" t="str">
        <f>IF(Table3[[#This Row],[Stage]]="Closed",Table3[[#This Row],[Date of Update]]-(_xlfn.MINIFS(Table3[Date of Update],Table3[Ref], Table3[[#This Row],[Ref]])),"")</f>
        <v/>
      </c>
    </row>
    <row r="519" spans="1:7" x14ac:dyDescent="0.25">
      <c r="A519" s="39" t="s">
        <v>1332</v>
      </c>
      <c r="B519" s="33">
        <v>45063</v>
      </c>
      <c r="C519" s="32" t="s">
        <v>23</v>
      </c>
      <c r="D519" s="32" t="s">
        <v>4</v>
      </c>
      <c r="E519" s="32"/>
      <c r="F519" s="32" cm="1">
        <f t="array" aca="1" ref="F519" ca="1">IF(Table3[[#This Row],[Stage]]="Closed",0,IF(IFERROR(
  IF(
    COUNTIF(A$2:A$1997, A519) &gt; 1,
    MIN(IF(A$2:A$1997=A519, IF(B$2:B$1997&gt;B519, B$2:B$1997))) - B519,
    TODAY() - Table3[[#This Row],[Date of Update]]
  ),
  TODAY()-Table3[[#This Row],[Date of Update]]
)&lt;=0,
TODAY()-Table3[[#This Row],[Date of Update]],
IFERROR(
  IF(
    COUNTIF(A$2:A$1997, A519) &gt; 1,
    MIN(IF(A$2:A$1997=A519, IF(B$2:B$1997&gt;B519, B$2:B$1997))) - B519,
    TODAY() - Table3[[#This Row],[Date of Update]]
  ),
  TODAY()-Table3[[#This Row],[Date of Update]]
)))</f>
        <v>36</v>
      </c>
      <c r="G519" s="40" t="str">
        <f>IF(Table3[[#This Row],[Stage]]="Closed",Table3[[#This Row],[Date of Update]]-(_xlfn.MINIFS(Table3[Date of Update],Table3[Ref], Table3[[#This Row],[Ref]])),"")</f>
        <v/>
      </c>
    </row>
    <row r="520" spans="1:7" x14ac:dyDescent="0.25">
      <c r="A520" s="39" t="s">
        <v>1429</v>
      </c>
      <c r="B520" s="33">
        <v>45063</v>
      </c>
      <c r="C520" s="32" t="s">
        <v>23</v>
      </c>
      <c r="D520" s="32" t="s">
        <v>4</v>
      </c>
      <c r="E520" s="32" t="s">
        <v>645</v>
      </c>
      <c r="F520" s="32" cm="1">
        <f t="array" aca="1" ref="F520" ca="1">IF(Table3[[#This Row],[Stage]]="Closed",0,IF(IFERROR(
  IF(
    COUNTIF(A$2:A$1997, A520) &gt; 1,
    MIN(IF(A$2:A$1997=A520, IF(B$2:B$1997&gt;B520, B$2:B$1997))) - B520,
    TODAY() - Table3[[#This Row],[Date of Update]]
  ),
  TODAY()-Table3[[#This Row],[Date of Update]]
)&lt;=0,
TODAY()-Table3[[#This Row],[Date of Update]],
IFERROR(
  IF(
    COUNTIF(A$2:A$1997, A520) &gt; 1,
    MIN(IF(A$2:A$1997=A520, IF(B$2:B$1997&gt;B520, B$2:B$1997))) - B520,
    TODAY() - Table3[[#This Row],[Date of Update]]
  ),
  TODAY()-Table3[[#This Row],[Date of Update]]
)))</f>
        <v>268</v>
      </c>
      <c r="G520" s="40" t="str">
        <f>IF(Table3[[#This Row],[Stage]]="Closed",Table3[[#This Row],[Date of Update]]-(_xlfn.MINIFS(Table3[Date of Update],Table3[Ref], Table3[[#This Row],[Ref]])),"")</f>
        <v/>
      </c>
    </row>
    <row r="521" spans="1:7" x14ac:dyDescent="0.25">
      <c r="A521" s="39" t="s">
        <v>1301</v>
      </c>
      <c r="B521" s="33">
        <v>45063</v>
      </c>
      <c r="C521" s="32" t="s">
        <v>169</v>
      </c>
      <c r="D521" s="32" t="s">
        <v>4</v>
      </c>
      <c r="E521" s="32" t="s">
        <v>712</v>
      </c>
      <c r="F521" s="32" cm="1">
        <f t="array" aca="1" ref="F521" ca="1">IF(Table3[[#This Row],[Stage]]="Closed",0,IF(IFERROR(
  IF(
    COUNTIF(A$2:A$1997, A521) &gt; 1,
    MIN(IF(A$2:A$1997=A521, IF(B$2:B$1997&gt;B521, B$2:B$1997))) - B521,
    TODAY() - Table3[[#This Row],[Date of Update]]
  ),
  TODAY()-Table3[[#This Row],[Date of Update]]
)&lt;=0,
TODAY()-Table3[[#This Row],[Date of Update]],
IFERROR(
  IF(
    COUNTIF(A$2:A$1997, A521) &gt; 1,
    MIN(IF(A$2:A$1997=A521, IF(B$2:B$1997&gt;B521, B$2:B$1997))) - B521,
    TODAY() - Table3[[#This Row],[Date of Update]]
  ),
  TODAY()-Table3[[#This Row],[Date of Update]]
)))</f>
        <v>0</v>
      </c>
      <c r="G521" s="40">
        <f>IF(Table3[[#This Row],[Stage]]="Closed",Table3[[#This Row],[Date of Update]]-(_xlfn.MINIFS(Table3[Date of Update],Table3[Ref], Table3[[#This Row],[Ref]])),"")</f>
        <v>58</v>
      </c>
    </row>
    <row r="522" spans="1:7" x14ac:dyDescent="0.25">
      <c r="A522" s="39" t="s">
        <v>1312</v>
      </c>
      <c r="B522" s="33">
        <v>45064</v>
      </c>
      <c r="C522" s="32" t="s">
        <v>23</v>
      </c>
      <c r="D522" s="32" t="s">
        <v>4</v>
      </c>
      <c r="E522" s="32" t="s">
        <v>521</v>
      </c>
      <c r="F522" s="32" cm="1">
        <f t="array" aca="1" ref="F522" ca="1">IF(Table3[[#This Row],[Stage]]="Closed",0,IF(IFERROR(
  IF(
    COUNTIF(A$2:A$1997, A522) &gt; 1,
    MIN(IF(A$2:A$1997=A522, IF(B$2:B$1997&gt;B522, B$2:B$1997))) - B522,
    TODAY() - Table3[[#This Row],[Date of Update]]
  ),
  TODAY()-Table3[[#This Row],[Date of Update]]
)&lt;=0,
TODAY()-Table3[[#This Row],[Date of Update]],
IFERROR(
  IF(
    COUNTIF(A$2:A$1997, A522) &gt; 1,
    MIN(IF(A$2:A$1997=A522, IF(B$2:B$1997&gt;B522, B$2:B$1997))) - B522,
    TODAY() - Table3[[#This Row],[Date of Update]]
  ),
  TODAY()-Table3[[#This Row],[Date of Update]]
)))</f>
        <v>6</v>
      </c>
      <c r="G522" s="40" t="str">
        <f>IF(Table3[[#This Row],[Stage]]="Closed",Table3[[#This Row],[Date of Update]]-(_xlfn.MINIFS(Table3[Date of Update],Table3[Ref], Table3[[#This Row],[Ref]])),"")</f>
        <v/>
      </c>
    </row>
    <row r="523" spans="1:7" x14ac:dyDescent="0.25">
      <c r="A523" s="39" t="s">
        <v>1314</v>
      </c>
      <c r="B523" s="33">
        <v>45065</v>
      </c>
      <c r="C523" s="32" t="s">
        <v>23</v>
      </c>
      <c r="D523" s="32" t="s">
        <v>4</v>
      </c>
      <c r="E523" s="32" t="s">
        <v>521</v>
      </c>
      <c r="F523" s="32" cm="1">
        <f t="array" aca="1" ref="F523" ca="1">IF(Table3[[#This Row],[Stage]]="Closed",0,IF(IFERROR(
  IF(
    COUNTIF(A$2:A$1997, A523) &gt; 1,
    MIN(IF(A$2:A$1997=A523, IF(B$2:B$1997&gt;B523, B$2:B$1997))) - B523,
    TODAY() - Table3[[#This Row],[Date of Update]]
  ),
  TODAY()-Table3[[#This Row],[Date of Update]]
)&lt;=0,
TODAY()-Table3[[#This Row],[Date of Update]],
IFERROR(
  IF(
    COUNTIF(A$2:A$1997, A523) &gt; 1,
    MIN(IF(A$2:A$1997=A523, IF(B$2:B$1997&gt;B523, B$2:B$1997))) - B523,
    TODAY() - Table3[[#This Row],[Date of Update]]
  ),
  TODAY()-Table3[[#This Row],[Date of Update]]
)))</f>
        <v>5</v>
      </c>
      <c r="G523" s="40" t="str">
        <f>IF(Table3[[#This Row],[Stage]]="Closed",Table3[[#This Row],[Date of Update]]-(_xlfn.MINIFS(Table3[Date of Update],Table3[Ref], Table3[[#This Row],[Ref]])),"")</f>
        <v/>
      </c>
    </row>
    <row r="524" spans="1:7" x14ac:dyDescent="0.25">
      <c r="A524" s="39" t="s">
        <v>1302</v>
      </c>
      <c r="B524" s="33">
        <v>45065</v>
      </c>
      <c r="C524" s="32" t="s">
        <v>169</v>
      </c>
      <c r="D524" s="32" t="s">
        <v>4</v>
      </c>
      <c r="E524" s="32" t="s">
        <v>531</v>
      </c>
      <c r="F524" s="32" cm="1">
        <f t="array" aca="1" ref="F524" ca="1">IF(Table3[[#This Row],[Stage]]="Closed",0,IF(IFERROR(
  IF(
    COUNTIF(A$2:A$1997, A524) &gt; 1,
    MIN(IF(A$2:A$1997=A524, IF(B$2:B$1997&gt;B524, B$2:B$1997))) - B524,
    TODAY() - Table3[[#This Row],[Date of Update]]
  ),
  TODAY()-Table3[[#This Row],[Date of Update]]
)&lt;=0,
TODAY()-Table3[[#This Row],[Date of Update]],
IFERROR(
  IF(
    COUNTIF(A$2:A$1997, A524) &gt; 1,
    MIN(IF(A$2:A$1997=A524, IF(B$2:B$1997&gt;B524, B$2:B$1997))) - B524,
    TODAY() - Table3[[#This Row],[Date of Update]]
  ),
  TODAY()-Table3[[#This Row],[Date of Update]]
)))</f>
        <v>0</v>
      </c>
      <c r="G524" s="40">
        <f>IF(Table3[[#This Row],[Stage]]="Closed",Table3[[#This Row],[Date of Update]]-(_xlfn.MINIFS(Table3[Date of Update],Table3[Ref], Table3[[#This Row],[Ref]])),"")</f>
        <v>46</v>
      </c>
    </row>
    <row r="525" spans="1:7" x14ac:dyDescent="0.25">
      <c r="A525" s="39" t="s">
        <v>1204</v>
      </c>
      <c r="B525" s="33">
        <v>45069</v>
      </c>
      <c r="C525" s="32" t="s">
        <v>169</v>
      </c>
      <c r="D525" s="32" t="s">
        <v>4</v>
      </c>
      <c r="E525" s="32" t="s">
        <v>477</v>
      </c>
      <c r="F525" s="32" cm="1">
        <f t="array" aca="1" ref="F525" ca="1">IF(Table3[[#This Row],[Stage]]="Closed",0,IF(IFERROR(
  IF(
    COUNTIF(A$2:A$1997, A525) &gt; 1,
    MIN(IF(A$2:A$1997=A525, IF(B$2:B$1997&gt;B525, B$2:B$1997))) - B525,
    TODAY() - Table3[[#This Row],[Date of Update]]
  ),
  TODAY()-Table3[[#This Row],[Date of Update]]
)&lt;=0,
TODAY()-Table3[[#This Row],[Date of Update]],
IFERROR(
  IF(
    COUNTIF(A$2:A$1997, A525) &gt; 1,
    MIN(IF(A$2:A$1997=A525, IF(B$2:B$1997&gt;B525, B$2:B$1997))) - B525,
    TODAY() - Table3[[#This Row],[Date of Update]]
  ),
  TODAY()-Table3[[#This Row],[Date of Update]]
)))</f>
        <v>0</v>
      </c>
      <c r="G525" s="40">
        <f>IF(Table3[[#This Row],[Stage]]="Closed",Table3[[#This Row],[Date of Update]]-(_xlfn.MINIFS(Table3[Date of Update],Table3[Ref], Table3[[#This Row],[Ref]])),"")</f>
        <v>230</v>
      </c>
    </row>
    <row r="526" spans="1:7" x14ac:dyDescent="0.25">
      <c r="A526" s="39" t="s">
        <v>1314</v>
      </c>
      <c r="B526" s="33">
        <v>45070</v>
      </c>
      <c r="C526" s="32" t="s">
        <v>169</v>
      </c>
      <c r="D526" s="32" t="s">
        <v>4</v>
      </c>
      <c r="E526" s="32" t="s">
        <v>521</v>
      </c>
      <c r="F526" s="32" cm="1">
        <f t="array" aca="1" ref="F526" ca="1">IF(Table3[[#This Row],[Stage]]="Closed",0,IF(IFERROR(
  IF(
    COUNTIF(A$2:A$1997, A526) &gt; 1,
    MIN(IF(A$2:A$1997=A526, IF(B$2:B$1997&gt;B526, B$2:B$1997))) - B526,
    TODAY() - Table3[[#This Row],[Date of Update]]
  ),
  TODAY()-Table3[[#This Row],[Date of Update]]
)&lt;=0,
TODAY()-Table3[[#This Row],[Date of Update]],
IFERROR(
  IF(
    COUNTIF(A$2:A$1997, A526) &gt; 1,
    MIN(IF(A$2:A$1997=A526, IF(B$2:B$1997&gt;B526, B$2:B$1997))) - B526,
    TODAY() - Table3[[#This Row],[Date of Update]]
  ),
  TODAY()-Table3[[#This Row],[Date of Update]]
)))</f>
        <v>0</v>
      </c>
      <c r="G526" s="40">
        <f>IF(Table3[[#This Row],[Stage]]="Closed",Table3[[#This Row],[Date of Update]]-(_xlfn.MINIFS(Table3[Date of Update],Table3[Ref], Table3[[#This Row],[Ref]])),"")</f>
        <v>5</v>
      </c>
    </row>
    <row r="527" spans="1:7" x14ac:dyDescent="0.25">
      <c r="A527" s="39" t="s">
        <v>1312</v>
      </c>
      <c r="B527" s="33">
        <v>45070</v>
      </c>
      <c r="C527" s="32" t="s">
        <v>169</v>
      </c>
      <c r="D527" s="32" t="s">
        <v>4</v>
      </c>
      <c r="E527" s="32" t="s">
        <v>521</v>
      </c>
      <c r="F527" s="32" cm="1">
        <f t="array" aca="1" ref="F527" ca="1">IF(Table3[[#This Row],[Stage]]="Closed",0,IF(IFERROR(
  IF(
    COUNTIF(A$2:A$1997, A527) &gt; 1,
    MIN(IF(A$2:A$1997=A527, IF(B$2:B$1997&gt;B527, B$2:B$1997))) - B527,
    TODAY() - Table3[[#This Row],[Date of Update]]
  ),
  TODAY()-Table3[[#This Row],[Date of Update]]
)&lt;=0,
TODAY()-Table3[[#This Row],[Date of Update]],
IFERROR(
  IF(
    COUNTIF(A$2:A$1997, A527) &gt; 1,
    MIN(IF(A$2:A$1997=A527, IF(B$2:B$1997&gt;B527, B$2:B$1997))) - B527,
    TODAY() - Table3[[#This Row],[Date of Update]]
  ),
  TODAY()-Table3[[#This Row],[Date of Update]]
)))</f>
        <v>0</v>
      </c>
      <c r="G527" s="40">
        <f>IF(Table3[[#This Row],[Stage]]="Closed",Table3[[#This Row],[Date of Update]]-(_xlfn.MINIFS(Table3[Date of Update],Table3[Ref], Table3[[#This Row],[Ref]])),"")</f>
        <v>6</v>
      </c>
    </row>
    <row r="528" spans="1:7" x14ac:dyDescent="0.25">
      <c r="A528" s="39" t="s">
        <v>1316</v>
      </c>
      <c r="B528" s="33">
        <v>45071</v>
      </c>
      <c r="C528" s="32" t="s">
        <v>23</v>
      </c>
      <c r="D528" s="32" t="s">
        <v>4</v>
      </c>
      <c r="E528" s="32" t="s">
        <v>521</v>
      </c>
      <c r="F528" s="32" cm="1">
        <f t="array" aca="1" ref="F528" ca="1">IF(Table3[[#This Row],[Stage]]="Closed",0,IF(IFERROR(
  IF(
    COUNTIF(A$2:A$1997, A528) &gt; 1,
    MIN(IF(A$2:A$1997=A528, IF(B$2:B$1997&gt;B528, B$2:B$1997))) - B528,
    TODAY() - Table3[[#This Row],[Date of Update]]
  ),
  TODAY()-Table3[[#This Row],[Date of Update]]
)&lt;=0,
TODAY()-Table3[[#This Row],[Date of Update]],
IFERROR(
  IF(
    COUNTIF(A$2:A$1997, A528) &gt; 1,
    MIN(IF(A$2:A$1997=A528, IF(B$2:B$1997&gt;B528, B$2:B$1997))) - B528,
    TODAY() - Table3[[#This Row],[Date of Update]]
  ),
  TODAY()-Table3[[#This Row],[Date of Update]]
)))</f>
        <v>11</v>
      </c>
      <c r="G528" s="40" t="str">
        <f>IF(Table3[[#This Row],[Stage]]="Closed",Table3[[#This Row],[Date of Update]]-(_xlfn.MINIFS(Table3[Date of Update],Table3[Ref], Table3[[#This Row],[Ref]])),"")</f>
        <v/>
      </c>
    </row>
    <row r="529" spans="1:7" x14ac:dyDescent="0.25">
      <c r="A529" s="39" t="s">
        <v>1315</v>
      </c>
      <c r="B529" s="33">
        <v>45071</v>
      </c>
      <c r="C529" s="32" t="s">
        <v>23</v>
      </c>
      <c r="D529" s="32" t="s">
        <v>4</v>
      </c>
      <c r="E529" s="32" t="s">
        <v>521</v>
      </c>
      <c r="F529" s="32" cm="1">
        <f t="array" aca="1" ref="F529" ca="1">IF(Table3[[#This Row],[Stage]]="Closed",0,IF(IFERROR(
  IF(
    COUNTIF(A$2:A$1997, A529) &gt; 1,
    MIN(IF(A$2:A$1997=A529, IF(B$2:B$1997&gt;B529, B$2:B$1997))) - B529,
    TODAY() - Table3[[#This Row],[Date of Update]]
  ),
  TODAY()-Table3[[#This Row],[Date of Update]]
)&lt;=0,
TODAY()-Table3[[#This Row],[Date of Update]],
IFERROR(
  IF(
    COUNTIF(A$2:A$1997, A529) &gt; 1,
    MIN(IF(A$2:A$1997=A529, IF(B$2:B$1997&gt;B529, B$2:B$1997))) - B529,
    TODAY() - Table3[[#This Row],[Date of Update]]
  ),
  TODAY()-Table3[[#This Row],[Date of Update]]
)))</f>
        <v>8</v>
      </c>
      <c r="G529" s="40" t="str">
        <f>IF(Table3[[#This Row],[Stage]]="Closed",Table3[[#This Row],[Date of Update]]-(_xlfn.MINIFS(Table3[Date of Update],Table3[Ref], Table3[[#This Row],[Ref]])),"")</f>
        <v/>
      </c>
    </row>
    <row r="530" spans="1:7" x14ac:dyDescent="0.25">
      <c r="A530" s="39" t="s">
        <v>1317</v>
      </c>
      <c r="B530" s="33">
        <v>45072</v>
      </c>
      <c r="C530" s="32" t="s">
        <v>23</v>
      </c>
      <c r="D530" s="32" t="s">
        <v>4</v>
      </c>
      <c r="E530" s="32" t="s">
        <v>521</v>
      </c>
      <c r="F530" s="32" cm="1">
        <f t="array" aca="1" ref="F530" ca="1">IF(Table3[[#This Row],[Stage]]="Closed",0,IF(IFERROR(
  IF(
    COUNTIF(A$2:A$1997, A530) &gt; 1,
    MIN(IF(A$2:A$1997=A530, IF(B$2:B$1997&gt;B530, B$2:B$1997))) - B530,
    TODAY() - Table3[[#This Row],[Date of Update]]
  ),
  TODAY()-Table3[[#This Row],[Date of Update]]
)&lt;=0,
TODAY()-Table3[[#This Row],[Date of Update]],
IFERROR(
  IF(
    COUNTIF(A$2:A$1997, A530) &gt; 1,
    MIN(IF(A$2:A$1997=A530, IF(B$2:B$1997&gt;B530, B$2:B$1997))) - B530,
    TODAY() - Table3[[#This Row],[Date of Update]]
  ),
  TODAY()-Table3[[#This Row],[Date of Update]]
)))</f>
        <v>7</v>
      </c>
      <c r="G530" s="40" t="str">
        <f>IF(Table3[[#This Row],[Stage]]="Closed",Table3[[#This Row],[Date of Update]]-(_xlfn.MINIFS(Table3[Date of Update],Table3[Ref], Table3[[#This Row],[Ref]])),"")</f>
        <v/>
      </c>
    </row>
    <row r="531" spans="1:7" x14ac:dyDescent="0.25">
      <c r="A531" s="39" t="s">
        <v>1306</v>
      </c>
      <c r="B531" s="33">
        <v>45076</v>
      </c>
      <c r="C531" s="32" t="s">
        <v>169</v>
      </c>
      <c r="D531" s="32" t="s">
        <v>4</v>
      </c>
      <c r="E531" s="32" t="s">
        <v>720</v>
      </c>
      <c r="F531" s="32" cm="1">
        <f t="array" aca="1" ref="F531" ca="1">IF(Table3[[#This Row],[Stage]]="Closed",0,IF(IFERROR(
  IF(
    COUNTIF(A$2:A$1997, A531) &gt; 1,
    MIN(IF(A$2:A$1997=A531, IF(B$2:B$1997&gt;B531, B$2:B$1997))) - B531,
    TODAY() - Table3[[#This Row],[Date of Update]]
  ),
  TODAY()-Table3[[#This Row],[Date of Update]]
)&lt;=0,
TODAY()-Table3[[#This Row],[Date of Update]],
IFERROR(
  IF(
    COUNTIF(A$2:A$1997, A531) &gt; 1,
    MIN(IF(A$2:A$1997=A531, IF(B$2:B$1997&gt;B531, B$2:B$1997))) - B531,
    TODAY() - Table3[[#This Row],[Date of Update]]
  ),
  TODAY()-Table3[[#This Row],[Date of Update]]
)))</f>
        <v>0</v>
      </c>
      <c r="G531" s="40">
        <f>IF(Table3[[#This Row],[Stage]]="Closed",Table3[[#This Row],[Date of Update]]-(_xlfn.MINIFS(Table3[Date of Update],Table3[Ref], Table3[[#This Row],[Ref]])),"")</f>
        <v>18</v>
      </c>
    </row>
    <row r="532" spans="1:7" x14ac:dyDescent="0.25">
      <c r="A532" s="39" t="s">
        <v>1318</v>
      </c>
      <c r="B532" s="33">
        <v>45076</v>
      </c>
      <c r="C532" s="32" t="s">
        <v>23</v>
      </c>
      <c r="D532" s="32" t="s">
        <v>4</v>
      </c>
      <c r="E532" s="32" t="s">
        <v>715</v>
      </c>
      <c r="F532" s="32" cm="1">
        <f t="array" aca="1" ref="F532" ca="1">IF(Table3[[#This Row],[Stage]]="Closed",0,IF(IFERROR(
  IF(
    COUNTIF(A$2:A$1997, A532) &gt; 1,
    MIN(IF(A$2:A$1997=A532, IF(B$2:B$1997&gt;B532, B$2:B$1997))) - B532,
    TODAY() - Table3[[#This Row],[Date of Update]]
  ),
  TODAY()-Table3[[#This Row],[Date of Update]]
)&lt;=0,
TODAY()-Table3[[#This Row],[Date of Update]],
IFERROR(
  IF(
    COUNTIF(A$2:A$1997, A532) &gt; 1,
    MIN(IF(A$2:A$1997=A532, IF(B$2:B$1997&gt;B532, B$2:B$1997))) - B532,
    TODAY() - Table3[[#This Row],[Date of Update]]
  ),
  TODAY()-Table3[[#This Row],[Date of Update]]
)))</f>
        <v>15</v>
      </c>
      <c r="G532" s="40" t="str">
        <f>IF(Table3[[#This Row],[Stage]]="Closed",Table3[[#This Row],[Date of Update]]-(_xlfn.MINIFS(Table3[Date of Update],Table3[Ref], Table3[[#This Row],[Ref]])),"")</f>
        <v/>
      </c>
    </row>
    <row r="533" spans="1:7" x14ac:dyDescent="0.25">
      <c r="A533" s="39" t="s">
        <v>1322</v>
      </c>
      <c r="B533" s="33">
        <v>45077</v>
      </c>
      <c r="C533" s="32" t="s">
        <v>23</v>
      </c>
      <c r="D533" s="32" t="s">
        <v>4</v>
      </c>
      <c r="E533" s="32" t="s">
        <v>735</v>
      </c>
      <c r="F533" s="32" cm="1">
        <f t="array" aca="1" ref="F533" ca="1">IF(Table3[[#This Row],[Stage]]="Closed",0,IF(IFERROR(
  IF(
    COUNTIF(A$2:A$1997, A533) &gt; 1,
    MIN(IF(A$2:A$1997=A533, IF(B$2:B$1997&gt;B533, B$2:B$1997))) - B533,
    TODAY() - Table3[[#This Row],[Date of Update]]
  ),
  TODAY()-Table3[[#This Row],[Date of Update]]
)&lt;=0,
TODAY()-Table3[[#This Row],[Date of Update]],
IFERROR(
  IF(
    COUNTIF(A$2:A$1997, A533) &gt; 1,
    MIN(IF(A$2:A$1997=A533, IF(B$2:B$1997&gt;B533, B$2:B$1997))) - B533,
    TODAY() - Table3[[#This Row],[Date of Update]]
  ),
  TODAY()-Table3[[#This Row],[Date of Update]]
)))</f>
        <v>135</v>
      </c>
      <c r="G533" s="40" t="str">
        <f>IF(Table3[[#This Row],[Stage]]="Closed",Table3[[#This Row],[Date of Update]]-(_xlfn.MINIFS(Table3[Date of Update],Table3[Ref], Table3[[#This Row],[Ref]])),"")</f>
        <v/>
      </c>
    </row>
    <row r="534" spans="1:7" x14ac:dyDescent="0.25">
      <c r="A534" s="39" t="s">
        <v>1319</v>
      </c>
      <c r="B534" s="33">
        <v>45077</v>
      </c>
      <c r="C534" s="32" t="s">
        <v>23</v>
      </c>
      <c r="D534" s="32" t="s">
        <v>4</v>
      </c>
      <c r="E534" s="32" t="s">
        <v>715</v>
      </c>
      <c r="F534" s="32" cm="1">
        <f t="array" aca="1" ref="F534" ca="1">IF(Table3[[#This Row],[Stage]]="Closed",0,IF(IFERROR(
  IF(
    COUNTIF(A$2:A$1997, A534) &gt; 1,
    MIN(IF(A$2:A$1997=A534, IF(B$2:B$1997&gt;B534, B$2:B$1997))) - B534,
    TODAY() - Table3[[#This Row],[Date of Update]]
  ),
  TODAY()-Table3[[#This Row],[Date of Update]]
)&lt;=0,
TODAY()-Table3[[#This Row],[Date of Update]],
IFERROR(
  IF(
    COUNTIF(A$2:A$1997, A534) &gt; 1,
    MIN(IF(A$2:A$1997=A534, IF(B$2:B$1997&gt;B534, B$2:B$1997))) - B534,
    TODAY() - Table3[[#This Row],[Date of Update]]
  ),
  TODAY()-Table3[[#This Row],[Date of Update]]
)))</f>
        <v>14</v>
      </c>
      <c r="G534" s="40" t="str">
        <f>IF(Table3[[#This Row],[Stage]]="Closed",Table3[[#This Row],[Date of Update]]-(_xlfn.MINIFS(Table3[Date of Update],Table3[Ref], Table3[[#This Row],[Ref]])),"")</f>
        <v/>
      </c>
    </row>
    <row r="535" spans="1:7" x14ac:dyDescent="0.25">
      <c r="A535" s="39" t="s">
        <v>1321</v>
      </c>
      <c r="B535" s="33">
        <v>45077</v>
      </c>
      <c r="C535" s="32" t="s">
        <v>23</v>
      </c>
      <c r="D535" s="32" t="s">
        <v>4</v>
      </c>
      <c r="E535" s="32" t="s">
        <v>48</v>
      </c>
      <c r="F535" s="32" cm="1">
        <f t="array" aca="1" ref="F535" ca="1">IF(Table3[[#This Row],[Stage]]="Closed",0,IF(IFERROR(
  IF(
    COUNTIF(A$2:A$1997, A535) &gt; 1,
    MIN(IF(A$2:A$1997=A535, IF(B$2:B$1997&gt;B535, B$2:B$1997))) - B535,
    TODAY() - Table3[[#This Row],[Date of Update]]
  ),
  TODAY()-Table3[[#This Row],[Date of Update]]
)&lt;=0,
TODAY()-Table3[[#This Row],[Date of Update]],
IFERROR(
  IF(
    COUNTIF(A$2:A$1997, A535) &gt; 1,
    MIN(IF(A$2:A$1997=A535, IF(B$2:B$1997&gt;B535, B$2:B$1997))) - B535,
    TODAY() - Table3[[#This Row],[Date of Update]]
  ),
  TODAY()-Table3[[#This Row],[Date of Update]]
)))</f>
        <v>57</v>
      </c>
      <c r="G535" s="40" t="str">
        <f>IF(Table3[[#This Row],[Stage]]="Closed",Table3[[#This Row],[Date of Update]]-(_xlfn.MINIFS(Table3[Date of Update],Table3[Ref], Table3[[#This Row],[Ref]])),"")</f>
        <v/>
      </c>
    </row>
    <row r="536" spans="1:7" x14ac:dyDescent="0.25">
      <c r="A536" s="39" t="s">
        <v>1320</v>
      </c>
      <c r="B536" s="33">
        <v>45077</v>
      </c>
      <c r="C536" s="32" t="s">
        <v>23</v>
      </c>
      <c r="D536" s="32" t="s">
        <v>4</v>
      </c>
      <c r="E536" s="32" t="s">
        <v>715</v>
      </c>
      <c r="F536" s="32" cm="1">
        <f t="array" aca="1" ref="F536" ca="1">IF(Table3[[#This Row],[Stage]]="Closed",0,IF(IFERROR(
  IF(
    COUNTIF(A$2:A$1997, A536) &gt; 1,
    MIN(IF(A$2:A$1997=A536, IF(B$2:B$1997&gt;B536, B$2:B$1997))) - B536,
    TODAY() - Table3[[#This Row],[Date of Update]]
  ),
  TODAY()-Table3[[#This Row],[Date of Update]]
)&lt;=0,
TODAY()-Table3[[#This Row],[Date of Update]],
IFERROR(
  IF(
    COUNTIF(A$2:A$1997, A536) &gt; 1,
    MIN(IF(A$2:A$1997=A536, IF(B$2:B$1997&gt;B536, B$2:B$1997))) - B536,
    TODAY() - Table3[[#This Row],[Date of Update]]
  ),
  TODAY()-Table3[[#This Row],[Date of Update]]
)))</f>
        <v>14</v>
      </c>
      <c r="G536" s="40" t="str">
        <f>IF(Table3[[#This Row],[Stage]]="Closed",Table3[[#This Row],[Date of Update]]-(_xlfn.MINIFS(Table3[Date of Update],Table3[Ref], Table3[[#This Row],[Ref]])),"")</f>
        <v/>
      </c>
    </row>
    <row r="537" spans="1:7" x14ac:dyDescent="0.25">
      <c r="A537" s="39" t="s">
        <v>1323</v>
      </c>
      <c r="B537" s="33">
        <v>45078</v>
      </c>
      <c r="C537" s="32" t="s">
        <v>23</v>
      </c>
      <c r="D537" s="32" t="s">
        <v>4</v>
      </c>
      <c r="E537" s="32" t="s">
        <v>738</v>
      </c>
      <c r="F537" s="32" cm="1">
        <f t="array" aca="1" ref="F537" ca="1">IF(Table3[[#This Row],[Stage]]="Closed",0,IF(IFERROR(
  IF(
    COUNTIF(A$2:A$1997, A537) &gt; 1,
    MIN(IF(A$2:A$1997=A537, IF(B$2:B$1997&gt;B537, B$2:B$1997))) - B537,
    TODAY() - Table3[[#This Row],[Date of Update]]
  ),
  TODAY()-Table3[[#This Row],[Date of Update]]
)&lt;=0,
TODAY()-Table3[[#This Row],[Date of Update]],
IFERROR(
  IF(
    COUNTIF(A$2:A$1997, A537) &gt; 1,
    MIN(IF(A$2:A$1997=A537, IF(B$2:B$1997&gt;B537, B$2:B$1997))) - B537,
    TODAY() - Table3[[#This Row],[Date of Update]]
  ),
  TODAY()-Table3[[#This Row],[Date of Update]]
)))</f>
        <v>19</v>
      </c>
      <c r="G537" s="40" t="str">
        <f>IF(Table3[[#This Row],[Stage]]="Closed",Table3[[#This Row],[Date of Update]]-(_xlfn.MINIFS(Table3[Date of Update],Table3[Ref], Table3[[#This Row],[Ref]])),"")</f>
        <v/>
      </c>
    </row>
    <row r="538" spans="1:7" x14ac:dyDescent="0.25">
      <c r="A538" s="39" t="s">
        <v>1334</v>
      </c>
      <c r="B538" s="33">
        <v>45078</v>
      </c>
      <c r="C538" s="32" t="s">
        <v>23</v>
      </c>
      <c r="D538" s="32" t="s">
        <v>4</v>
      </c>
      <c r="E538" s="32" t="s">
        <v>715</v>
      </c>
      <c r="F538" s="32" cm="1">
        <f t="array" aca="1" ref="F538" ca="1">IF(Table3[[#This Row],[Stage]]="Closed",0,IF(IFERROR(
  IF(
    COUNTIF(A$2:A$1997, A538) &gt; 1,
    MIN(IF(A$2:A$1997=A538, IF(B$2:B$1997&gt;B538, B$2:B$1997))) - B538,
    TODAY() - Table3[[#This Row],[Date of Update]]
  ),
  TODAY()-Table3[[#This Row],[Date of Update]]
)&lt;=0,
TODAY()-Table3[[#This Row],[Date of Update]],
IFERROR(
  IF(
    COUNTIF(A$2:A$1997, A538) &gt; 1,
    MIN(IF(A$2:A$1997=A538, IF(B$2:B$1997&gt;B538, B$2:B$1997))) - B538,
    TODAY() - Table3[[#This Row],[Date of Update]]
  ),
  TODAY()-Table3[[#This Row],[Date of Update]]
)))</f>
        <v>13</v>
      </c>
      <c r="G538" s="40" t="str">
        <f>IF(Table3[[#This Row],[Stage]]="Closed",Table3[[#This Row],[Date of Update]]-(_xlfn.MINIFS(Table3[Date of Update],Table3[Ref], Table3[[#This Row],[Ref]])),"")</f>
        <v/>
      </c>
    </row>
    <row r="539" spans="1:7" x14ac:dyDescent="0.25">
      <c r="A539" s="39" t="s">
        <v>1333</v>
      </c>
      <c r="B539" s="33">
        <v>45078</v>
      </c>
      <c r="C539" s="32" t="s">
        <v>23</v>
      </c>
      <c r="D539" s="32" t="s">
        <v>4</v>
      </c>
      <c r="E539" s="32" t="s">
        <v>453</v>
      </c>
      <c r="F539" s="32" cm="1">
        <f t="array" aca="1" ref="F539" ca="1">IF(Table3[[#This Row],[Stage]]="Closed",0,IF(IFERROR(
  IF(
    COUNTIF(A$2:A$1997, A539) &gt; 1,
    MIN(IF(A$2:A$1997=A539, IF(B$2:B$1997&gt;B539, B$2:B$1997))) - B539,
    TODAY() - Table3[[#This Row],[Date of Update]]
  ),
  TODAY()-Table3[[#This Row],[Date of Update]]
)&lt;=0,
TODAY()-Table3[[#This Row],[Date of Update]],
IFERROR(
  IF(
    COUNTIF(A$2:A$1997, A539) &gt; 1,
    MIN(IF(A$2:A$1997=A539, IF(B$2:B$1997&gt;B539, B$2:B$1997))) - B539,
    TODAY() - Table3[[#This Row],[Date of Update]]
  ),
  TODAY()-Table3[[#This Row],[Date of Update]]
)))</f>
        <v>21</v>
      </c>
      <c r="G539" s="40" t="str">
        <f>IF(Table3[[#This Row],[Stage]]="Closed",Table3[[#This Row],[Date of Update]]-(_xlfn.MINIFS(Table3[Date of Update],Table3[Ref], Table3[[#This Row],[Ref]])),"")</f>
        <v/>
      </c>
    </row>
    <row r="540" spans="1:7" x14ac:dyDescent="0.25">
      <c r="A540" s="39" t="s">
        <v>1446</v>
      </c>
      <c r="B540" s="33">
        <v>45078</v>
      </c>
      <c r="C540" s="32" t="s">
        <v>23</v>
      </c>
      <c r="D540" s="32" t="s">
        <v>4</v>
      </c>
      <c r="E540" s="32" t="s">
        <v>453</v>
      </c>
      <c r="F540" s="32" cm="1">
        <f t="array" aca="1" ref="F540" ca="1">IF(Table3[[#This Row],[Stage]]="Closed",0,IF(IFERROR(
  IF(
    COUNTIF(A$2:A$1997, A540) &gt; 1,
    MIN(IF(A$2:A$1997=A540, IF(B$2:B$1997&gt;B540, B$2:B$1997))) - B540,
    TODAY() - Table3[[#This Row],[Date of Update]]
  ),
  TODAY()-Table3[[#This Row],[Date of Update]]
)&lt;=0,
TODAY()-Table3[[#This Row],[Date of Update]],
IFERROR(
  IF(
    COUNTIF(A$2:A$1997, A540) &gt; 1,
    MIN(IF(A$2:A$1997=A540, IF(B$2:B$1997&gt;B540, B$2:B$1997))) - B540,
    TODAY() - Table3[[#This Row],[Date of Update]]
  ),
  TODAY()-Table3[[#This Row],[Date of Update]]
)))</f>
        <v>343</v>
      </c>
      <c r="G540" s="40" t="str">
        <f>IF(Table3[[#This Row],[Stage]]="Closed",Table3[[#This Row],[Date of Update]]-(_xlfn.MINIFS(Table3[Date of Update],Table3[Ref], Table3[[#This Row],[Ref]])),"")</f>
        <v/>
      </c>
    </row>
    <row r="541" spans="1:7" x14ac:dyDescent="0.25">
      <c r="A541" s="39" t="s">
        <v>1369</v>
      </c>
      <c r="B541" s="33">
        <v>45079</v>
      </c>
      <c r="C541" s="32" t="s">
        <v>23</v>
      </c>
      <c r="D541" s="32" t="s">
        <v>4</v>
      </c>
      <c r="E541" s="32" t="s">
        <v>848</v>
      </c>
      <c r="F541" s="32" cm="1">
        <f t="array" aca="1" ref="F541" ca="1">IF(Table3[[#This Row],[Stage]]="Closed",0,IF(IFERROR(
  IF(
    COUNTIF(A$2:A$1997, A541) &gt; 1,
    MIN(IF(A$2:A$1997=A541, IF(B$2:B$1997&gt;B541, B$2:B$1997))) - B541,
    TODAY() - Table3[[#This Row],[Date of Update]]
  ),
  TODAY()-Table3[[#This Row],[Date of Update]]
)&lt;=0,
TODAY()-Table3[[#This Row],[Date of Update]],
IFERROR(
  IF(
    COUNTIF(A$2:A$1997, A541) &gt; 1,
    MIN(IF(A$2:A$1997=A541, IF(B$2:B$1997&gt;B541, B$2:B$1997))) - B541,
    TODAY() - Table3[[#This Row],[Date of Update]]
  ),
  TODAY()-Table3[[#This Row],[Date of Update]]
)))</f>
        <v>91</v>
      </c>
      <c r="G541" s="40" t="str">
        <f>IF(Table3[[#This Row],[Stage]]="Closed",Table3[[#This Row],[Date of Update]]-(_xlfn.MINIFS(Table3[Date of Update],Table3[Ref], Table3[[#This Row],[Ref]])),"")</f>
        <v/>
      </c>
    </row>
    <row r="542" spans="1:7" x14ac:dyDescent="0.25">
      <c r="A542" s="39" t="s">
        <v>1335</v>
      </c>
      <c r="B542" s="33">
        <v>45079</v>
      </c>
      <c r="C542" s="32" t="s">
        <v>23</v>
      </c>
      <c r="D542" s="32" t="s">
        <v>4</v>
      </c>
      <c r="E542" s="32" t="s">
        <v>521</v>
      </c>
      <c r="F542" s="32" cm="1">
        <f t="array" aca="1" ref="F542" ca="1">IF(Table3[[#This Row],[Stage]]="Closed",0,IF(IFERROR(
  IF(
    COUNTIF(A$2:A$1997, A542) &gt; 1,
    MIN(IF(A$2:A$1997=A542, IF(B$2:B$1997&gt;B542, B$2:B$1997))) - B542,
    TODAY() - Table3[[#This Row],[Date of Update]]
  ),
  TODAY()-Table3[[#This Row],[Date of Update]]
)&lt;=0,
TODAY()-Table3[[#This Row],[Date of Update]],
IFERROR(
  IF(
    COUNTIF(A$2:A$1997, A542) &gt; 1,
    MIN(IF(A$2:A$1997=A542, IF(B$2:B$1997&gt;B542, B$2:B$1997))) - B542,
    TODAY() - Table3[[#This Row],[Date of Update]]
  ),
  TODAY()-Table3[[#This Row],[Date of Update]]
)))</f>
        <v>656</v>
      </c>
      <c r="G542" s="40" t="str">
        <f>IF(Table3[[#This Row],[Stage]]="Closed",Table3[[#This Row],[Date of Update]]-(_xlfn.MINIFS(Table3[Date of Update],Table3[Ref], Table3[[#This Row],[Ref]])),"")</f>
        <v/>
      </c>
    </row>
    <row r="543" spans="1:7" x14ac:dyDescent="0.25">
      <c r="A543" s="39" t="s">
        <v>1335</v>
      </c>
      <c r="B543" s="33">
        <v>45079</v>
      </c>
      <c r="C543" s="32" t="s">
        <v>169</v>
      </c>
      <c r="D543" s="32" t="s">
        <v>4</v>
      </c>
      <c r="E543" s="32" t="s">
        <v>521</v>
      </c>
      <c r="F543" s="32" cm="1">
        <f t="array" aca="1" ref="F543" ca="1">IF(Table3[[#This Row],[Stage]]="Closed",0,IF(IFERROR(
  IF(
    COUNTIF(A$2:A$1997, A543) &gt; 1,
    MIN(IF(A$2:A$1997=A543, IF(B$2:B$1997&gt;B543, B$2:B$1997))) - B543,
    TODAY() - Table3[[#This Row],[Date of Update]]
  ),
  TODAY()-Table3[[#This Row],[Date of Update]]
)&lt;=0,
TODAY()-Table3[[#This Row],[Date of Update]],
IFERROR(
  IF(
    COUNTIF(A$2:A$1997, A543) &gt; 1,
    MIN(IF(A$2:A$1997=A543, IF(B$2:B$1997&gt;B543, B$2:B$1997))) - B543,
    TODAY() - Table3[[#This Row],[Date of Update]]
  ),
  TODAY()-Table3[[#This Row],[Date of Update]]
)))</f>
        <v>0</v>
      </c>
      <c r="G543" s="40">
        <f>IF(Table3[[#This Row],[Stage]]="Closed",Table3[[#This Row],[Date of Update]]-(_xlfn.MINIFS(Table3[Date of Update],Table3[Ref], Table3[[#This Row],[Ref]])),"")</f>
        <v>0</v>
      </c>
    </row>
    <row r="544" spans="1:7" x14ac:dyDescent="0.25">
      <c r="A544" s="39" t="s">
        <v>1317</v>
      </c>
      <c r="B544" s="33">
        <v>45079</v>
      </c>
      <c r="C544" s="32" t="s">
        <v>169</v>
      </c>
      <c r="D544" s="32" t="s">
        <v>4</v>
      </c>
      <c r="E544" s="32" t="s">
        <v>521</v>
      </c>
      <c r="F544" s="32" cm="1">
        <f t="array" aca="1" ref="F544" ca="1">IF(Table3[[#This Row],[Stage]]="Closed",0,IF(IFERROR(
  IF(
    COUNTIF(A$2:A$1997, A544) &gt; 1,
    MIN(IF(A$2:A$1997=A544, IF(B$2:B$1997&gt;B544, B$2:B$1997))) - B544,
    TODAY() - Table3[[#This Row],[Date of Update]]
  ),
  TODAY()-Table3[[#This Row],[Date of Update]]
)&lt;=0,
TODAY()-Table3[[#This Row],[Date of Update]],
IFERROR(
  IF(
    COUNTIF(A$2:A$1997, A544) &gt; 1,
    MIN(IF(A$2:A$1997=A544, IF(B$2:B$1997&gt;B544, B$2:B$1997))) - B544,
    TODAY() - Table3[[#This Row],[Date of Update]]
  ),
  TODAY()-Table3[[#This Row],[Date of Update]]
)))</f>
        <v>0</v>
      </c>
      <c r="G544" s="40">
        <f>IF(Table3[[#This Row],[Stage]]="Closed",Table3[[#This Row],[Date of Update]]-(_xlfn.MINIFS(Table3[Date of Update],Table3[Ref], Table3[[#This Row],[Ref]])),"")</f>
        <v>7</v>
      </c>
    </row>
    <row r="545" spans="1:7" x14ac:dyDescent="0.25">
      <c r="A545" s="39" t="s">
        <v>1307</v>
      </c>
      <c r="B545" s="33">
        <v>45079</v>
      </c>
      <c r="C545" s="32" t="s">
        <v>169</v>
      </c>
      <c r="D545" s="32" t="s">
        <v>4</v>
      </c>
      <c r="E545" s="32" t="s">
        <v>723</v>
      </c>
      <c r="F545" s="32" cm="1">
        <f t="array" aca="1" ref="F545" ca="1">IF(Table3[[#This Row],[Stage]]="Closed",0,IF(IFERROR(
  IF(
    COUNTIF(A$2:A$1997, A545) &gt; 1,
    MIN(IF(A$2:A$1997=A545, IF(B$2:B$1997&gt;B545, B$2:B$1997))) - B545,
    TODAY() - Table3[[#This Row],[Date of Update]]
  ),
  TODAY()-Table3[[#This Row],[Date of Update]]
)&lt;=0,
TODAY()-Table3[[#This Row],[Date of Update]],
IFERROR(
  IF(
    COUNTIF(A$2:A$1997, A545) &gt; 1,
    MIN(IF(A$2:A$1997=A545, IF(B$2:B$1997&gt;B545, B$2:B$1997))) - B545,
    TODAY() - Table3[[#This Row],[Date of Update]]
  ),
  TODAY()-Table3[[#This Row],[Date of Update]]
)))</f>
        <v>0</v>
      </c>
      <c r="G545" s="40">
        <f>IF(Table3[[#This Row],[Stage]]="Closed",Table3[[#This Row],[Date of Update]]-(_xlfn.MINIFS(Table3[Date of Update],Table3[Ref], Table3[[#This Row],[Ref]])),"")</f>
        <v>190</v>
      </c>
    </row>
    <row r="546" spans="1:7" x14ac:dyDescent="0.25">
      <c r="A546" s="39" t="s">
        <v>1315</v>
      </c>
      <c r="B546" s="33">
        <v>45079</v>
      </c>
      <c r="C546" s="32" t="s">
        <v>169</v>
      </c>
      <c r="D546" s="32" t="s">
        <v>4</v>
      </c>
      <c r="E546" s="32" t="s">
        <v>521</v>
      </c>
      <c r="F546" s="32" cm="1">
        <f t="array" aca="1" ref="F546" ca="1">IF(Table3[[#This Row],[Stage]]="Closed",0,IF(IFERROR(
  IF(
    COUNTIF(A$2:A$1997, A546) &gt; 1,
    MIN(IF(A$2:A$1997=A546, IF(B$2:B$1997&gt;B546, B$2:B$1997))) - B546,
    TODAY() - Table3[[#This Row],[Date of Update]]
  ),
  TODAY()-Table3[[#This Row],[Date of Update]]
)&lt;=0,
TODAY()-Table3[[#This Row],[Date of Update]],
IFERROR(
  IF(
    COUNTIF(A$2:A$1997, A546) &gt; 1,
    MIN(IF(A$2:A$1997=A546, IF(B$2:B$1997&gt;B546, B$2:B$1997))) - B546,
    TODAY() - Table3[[#This Row],[Date of Update]]
  ),
  TODAY()-Table3[[#This Row],[Date of Update]]
)))</f>
        <v>0</v>
      </c>
      <c r="G546" s="40">
        <f>IF(Table3[[#This Row],[Stage]]="Closed",Table3[[#This Row],[Date of Update]]-(_xlfn.MINIFS(Table3[Date of Update],Table3[Ref], Table3[[#This Row],[Ref]])),"")</f>
        <v>8</v>
      </c>
    </row>
    <row r="547" spans="1:7" x14ac:dyDescent="0.25">
      <c r="A547" s="39" t="s">
        <v>1342</v>
      </c>
      <c r="B547" s="33">
        <v>45079</v>
      </c>
      <c r="C547" s="32" t="s">
        <v>23</v>
      </c>
      <c r="D547" s="32" t="s">
        <v>4</v>
      </c>
      <c r="E547" s="32" t="s">
        <v>786</v>
      </c>
      <c r="F547" s="32" cm="1">
        <f t="array" aca="1" ref="F547" ca="1">IF(Table3[[#This Row],[Stage]]="Closed",0,IF(IFERROR(
  IF(
    COUNTIF(A$2:A$1997, A547) &gt; 1,
    MIN(IF(A$2:A$1997=A547, IF(B$2:B$1997&gt;B547, B$2:B$1997))) - B547,
    TODAY() - Table3[[#This Row],[Date of Update]]
  ),
  TODAY()-Table3[[#This Row],[Date of Update]]
)&lt;=0,
TODAY()-Table3[[#This Row],[Date of Update]],
IFERROR(
  IF(
    COUNTIF(A$2:A$1997, A547) &gt; 1,
    MIN(IF(A$2:A$1997=A547, IF(B$2:B$1997&gt;B547, B$2:B$1997))) - B547,
    TODAY() - Table3[[#This Row],[Date of Update]]
  ),
  TODAY()-Table3[[#This Row],[Date of Update]]
)))</f>
        <v>27</v>
      </c>
      <c r="G547" s="40" t="str">
        <f>IF(Table3[[#This Row],[Stage]]="Closed",Table3[[#This Row],[Date of Update]]-(_xlfn.MINIFS(Table3[Date of Update],Table3[Ref], Table3[[#This Row],[Ref]])),"")</f>
        <v/>
      </c>
    </row>
    <row r="548" spans="1:7" x14ac:dyDescent="0.25">
      <c r="A548" s="39" t="s">
        <v>1336</v>
      </c>
      <c r="B548" s="33">
        <v>45079</v>
      </c>
      <c r="C548" s="32" t="s">
        <v>23</v>
      </c>
      <c r="D548" s="32" t="s">
        <v>4</v>
      </c>
      <c r="E548" s="32" t="s">
        <v>715</v>
      </c>
      <c r="F548" s="32" cm="1">
        <f t="array" aca="1" ref="F548" ca="1">IF(Table3[[#This Row],[Stage]]="Closed",0,IF(IFERROR(
  IF(
    COUNTIF(A$2:A$1997, A548) &gt; 1,
    MIN(IF(A$2:A$1997=A548, IF(B$2:B$1997&gt;B548, B$2:B$1997))) - B548,
    TODAY() - Table3[[#This Row],[Date of Update]]
  ),
  TODAY()-Table3[[#This Row],[Date of Update]]
)&lt;=0,
TODAY()-Table3[[#This Row],[Date of Update]],
IFERROR(
  IF(
    COUNTIF(A$2:A$1997, A548) &gt; 1,
    MIN(IF(A$2:A$1997=A548, IF(B$2:B$1997&gt;B548, B$2:B$1997))) - B548,
    TODAY() - Table3[[#This Row],[Date of Update]]
  ),
  TODAY()-Table3[[#This Row],[Date of Update]]
)))</f>
        <v>12</v>
      </c>
      <c r="G548" s="40" t="str">
        <f>IF(Table3[[#This Row],[Stage]]="Closed",Table3[[#This Row],[Date of Update]]-(_xlfn.MINIFS(Table3[Date of Update],Table3[Ref], Table3[[#This Row],[Ref]])),"")</f>
        <v/>
      </c>
    </row>
    <row r="549" spans="1:7" x14ac:dyDescent="0.25">
      <c r="A549" s="39" t="s">
        <v>1316</v>
      </c>
      <c r="B549" s="33">
        <v>45082</v>
      </c>
      <c r="C549" s="32" t="s">
        <v>169</v>
      </c>
      <c r="D549" s="32" t="s">
        <v>4</v>
      </c>
      <c r="E549" s="32" t="s">
        <v>521</v>
      </c>
      <c r="F549" s="32" cm="1">
        <f t="array" aca="1" ref="F549" ca="1">IF(Table3[[#This Row],[Stage]]="Closed",0,IF(IFERROR(
  IF(
    COUNTIF(A$2:A$1997, A549) &gt; 1,
    MIN(IF(A$2:A$1997=A549, IF(B$2:B$1997&gt;B549, B$2:B$1997))) - B549,
    TODAY() - Table3[[#This Row],[Date of Update]]
  ),
  TODAY()-Table3[[#This Row],[Date of Update]]
)&lt;=0,
TODAY()-Table3[[#This Row],[Date of Update]],
IFERROR(
  IF(
    COUNTIF(A$2:A$1997, A549) &gt; 1,
    MIN(IF(A$2:A$1997=A549, IF(B$2:B$1997&gt;B549, B$2:B$1997))) - B549,
    TODAY() - Table3[[#This Row],[Date of Update]]
  ),
  TODAY()-Table3[[#This Row],[Date of Update]]
)))</f>
        <v>0</v>
      </c>
      <c r="G549" s="40">
        <f>IF(Table3[[#This Row],[Stage]]="Closed",Table3[[#This Row],[Date of Update]]-(_xlfn.MINIFS(Table3[Date of Update],Table3[Ref], Table3[[#This Row],[Ref]])),"")</f>
        <v>11</v>
      </c>
    </row>
    <row r="550" spans="1:7" x14ac:dyDescent="0.25">
      <c r="A550" s="39" t="s">
        <v>1526</v>
      </c>
      <c r="B550" s="33">
        <v>45082</v>
      </c>
      <c r="C550" s="32" t="s">
        <v>23</v>
      </c>
      <c r="D550" s="32" t="s">
        <v>4</v>
      </c>
      <c r="E550" s="32" t="s">
        <v>788</v>
      </c>
      <c r="F550" s="32" cm="1">
        <f t="array" aca="1" ref="F550" ca="1">IF(Table3[[#This Row],[Stage]]="Closed",0,IF(IFERROR(
  IF(
    COUNTIF(A$2:A$1997, A550) &gt; 1,
    MIN(IF(A$2:A$1997=A550, IF(B$2:B$1997&gt;B550, B$2:B$1997))) - B550,
    TODAY() - Table3[[#This Row],[Date of Update]]
  ),
  TODAY()-Table3[[#This Row],[Date of Update]]
)&lt;=0,
TODAY()-Table3[[#This Row],[Date of Update]],
IFERROR(
  IF(
    COUNTIF(A$2:A$1997, A550) &gt; 1,
    MIN(IF(A$2:A$1997=A550, IF(B$2:B$1997&gt;B550, B$2:B$1997))) - B550,
    TODAY() - Table3[[#This Row],[Date of Update]]
  ),
  TODAY()-Table3[[#This Row],[Date of Update]]
)))</f>
        <v>65</v>
      </c>
      <c r="G550" s="40" t="str">
        <f>IF(Table3[[#This Row],[Stage]]="Closed",Table3[[#This Row],[Date of Update]]-(_xlfn.MINIFS(Table3[Date of Update],Table3[Ref], Table3[[#This Row],[Ref]])),"")</f>
        <v/>
      </c>
    </row>
    <row r="551" spans="1:7" x14ac:dyDescent="0.25">
      <c r="A551" s="39" t="s">
        <v>1308</v>
      </c>
      <c r="B551" s="33">
        <v>45083</v>
      </c>
      <c r="C551" s="32" t="s">
        <v>169</v>
      </c>
      <c r="D551" s="32" t="s">
        <v>4</v>
      </c>
      <c r="E551" s="32" t="s">
        <v>725</v>
      </c>
      <c r="F551" s="32" cm="1">
        <f t="array" aca="1" ref="F551" ca="1">IF(Table3[[#This Row],[Stage]]="Closed",0,IF(IFERROR(
  IF(
    COUNTIF(A$2:A$1997, A551) &gt; 1,
    MIN(IF(A$2:A$1997=A551, IF(B$2:B$1997&gt;B551, B$2:B$1997))) - B551,
    TODAY() - Table3[[#This Row],[Date of Update]]
  ),
  TODAY()-Table3[[#This Row],[Date of Update]]
)&lt;=0,
TODAY()-Table3[[#This Row],[Date of Update]],
IFERROR(
  IF(
    COUNTIF(A$2:A$1997, A551) &gt; 1,
    MIN(IF(A$2:A$1997=A551, IF(B$2:B$1997&gt;B551, B$2:B$1997))) - B551,
    TODAY() - Table3[[#This Row],[Date of Update]]
  ),
  TODAY()-Table3[[#This Row],[Date of Update]]
)))</f>
        <v>0</v>
      </c>
      <c r="G551" s="40">
        <f>IF(Table3[[#This Row],[Stage]]="Closed",Table3[[#This Row],[Date of Update]]-(_xlfn.MINIFS(Table3[Date of Update],Table3[Ref], Table3[[#This Row],[Ref]])),"")</f>
        <v>25</v>
      </c>
    </row>
    <row r="552" spans="1:7" x14ac:dyDescent="0.25">
      <c r="A552" s="39" t="s">
        <v>1345</v>
      </c>
      <c r="B552" s="33">
        <v>45085</v>
      </c>
      <c r="C552" s="32" t="s">
        <v>23</v>
      </c>
      <c r="D552" s="32" t="s">
        <v>4</v>
      </c>
      <c r="E552" s="32" t="s">
        <v>795</v>
      </c>
      <c r="F552" s="32" cm="1">
        <f t="array" aca="1" ref="F552" ca="1">IF(Table3[[#This Row],[Stage]]="Closed",0,IF(IFERROR(
  IF(
    COUNTIF(A$2:A$1997, A552) &gt; 1,
    MIN(IF(A$2:A$1997=A552, IF(B$2:B$1997&gt;B552, B$2:B$1997))) - B552,
    TODAY() - Table3[[#This Row],[Date of Update]]
  ),
  TODAY()-Table3[[#This Row],[Date of Update]]
)&lt;=0,
TODAY()-Table3[[#This Row],[Date of Update]],
IFERROR(
  IF(
    COUNTIF(A$2:A$1997, A552) &gt; 1,
    MIN(IF(A$2:A$1997=A552, IF(B$2:B$1997&gt;B552, B$2:B$1997))) - B552,
    TODAY() - Table3[[#This Row],[Date of Update]]
  ),
  TODAY()-Table3[[#This Row],[Date of Update]]
)))</f>
        <v>64</v>
      </c>
      <c r="G552" s="40" t="str">
        <f>IF(Table3[[#This Row],[Stage]]="Closed",Table3[[#This Row],[Date of Update]]-(_xlfn.MINIFS(Table3[Date of Update],Table3[Ref], Table3[[#This Row],[Ref]])),"")</f>
        <v/>
      </c>
    </row>
    <row r="553" spans="1:7" x14ac:dyDescent="0.25">
      <c r="A553" s="39" t="s">
        <v>1313</v>
      </c>
      <c r="B553" s="33">
        <v>45085</v>
      </c>
      <c r="C553" s="32" t="s">
        <v>23</v>
      </c>
      <c r="D553" s="32" t="s">
        <v>4</v>
      </c>
      <c r="E553" s="32" t="s">
        <v>729</v>
      </c>
      <c r="F553" s="32" cm="1">
        <f t="array" aca="1" ref="F553" ca="1">IF(Table3[[#This Row],[Stage]]="Closed",0,IF(IFERROR(
  IF(
    COUNTIF(A$2:A$1997, A553) &gt; 1,
    MIN(IF(A$2:A$1997=A553, IF(B$2:B$1997&gt;B553, B$2:B$1997))) - B553,
    TODAY() - Table3[[#This Row],[Date of Update]]
  ),
  TODAY()-Table3[[#This Row],[Date of Update]]
)&lt;=0,
TODAY()-Table3[[#This Row],[Date of Update]],
IFERROR(
  IF(
    COUNTIF(A$2:A$1997, A553) &gt; 1,
    MIN(IF(A$2:A$1997=A553, IF(B$2:B$1997&gt;B553, B$2:B$1997))) - B553,
    TODAY() - Table3[[#This Row],[Date of Update]]
  ),
  TODAY()-Table3[[#This Row],[Date of Update]]
)))</f>
        <v>1</v>
      </c>
      <c r="G553" s="40" t="str">
        <f>IF(Table3[[#This Row],[Stage]]="Closed",Table3[[#This Row],[Date of Update]]-(_xlfn.MINIFS(Table3[Date of Update],Table3[Ref], Table3[[#This Row],[Ref]])),"")</f>
        <v/>
      </c>
    </row>
    <row r="554" spans="1:7" x14ac:dyDescent="0.25">
      <c r="A554" s="39" t="s">
        <v>1344</v>
      </c>
      <c r="B554" s="33">
        <v>45085</v>
      </c>
      <c r="C554" s="32" t="s">
        <v>23</v>
      </c>
      <c r="D554" s="32" t="s">
        <v>4</v>
      </c>
      <c r="E554" s="32" t="s">
        <v>792</v>
      </c>
      <c r="F554" s="32" cm="1">
        <f t="array" aca="1" ref="F554" ca="1">IF(Table3[[#This Row],[Stage]]="Closed",0,IF(IFERROR(
  IF(
    COUNTIF(A$2:A$1997, A554) &gt; 1,
    MIN(IF(A$2:A$1997=A554, IF(B$2:B$1997&gt;B554, B$2:B$1997))) - B554,
    TODAY() - Table3[[#This Row],[Date of Update]]
  ),
  TODAY()-Table3[[#This Row],[Date of Update]]
)&lt;=0,
TODAY()-Table3[[#This Row],[Date of Update]],
IFERROR(
  IF(
    COUNTIF(A$2:A$1997, A554) &gt; 1,
    MIN(IF(A$2:A$1997=A554, IF(B$2:B$1997&gt;B554, B$2:B$1997))) - B554,
    TODAY() - Table3[[#This Row],[Date of Update]]
  ),
  TODAY()-Table3[[#This Row],[Date of Update]]
)))</f>
        <v>19</v>
      </c>
      <c r="G554" s="40" t="str">
        <f>IF(Table3[[#This Row],[Stage]]="Closed",Table3[[#This Row],[Date of Update]]-(_xlfn.MINIFS(Table3[Date of Update],Table3[Ref], Table3[[#This Row],[Ref]])),"")</f>
        <v/>
      </c>
    </row>
    <row r="555" spans="1:7" x14ac:dyDescent="0.25">
      <c r="A555" s="39" t="s">
        <v>1313</v>
      </c>
      <c r="B555" s="33">
        <v>45086</v>
      </c>
      <c r="C555" s="32" t="s">
        <v>169</v>
      </c>
      <c r="D555" s="32" t="s">
        <v>4</v>
      </c>
      <c r="E555" s="32" t="s">
        <v>729</v>
      </c>
      <c r="F555" s="32" cm="1">
        <f t="array" aca="1" ref="F555" ca="1">IF(Table3[[#This Row],[Stage]]="Closed",0,IF(IFERROR(
  IF(
    COUNTIF(A$2:A$1997, A555) &gt; 1,
    MIN(IF(A$2:A$1997=A555, IF(B$2:B$1997&gt;B555, B$2:B$1997))) - B555,
    TODAY() - Table3[[#This Row],[Date of Update]]
  ),
  TODAY()-Table3[[#This Row],[Date of Update]]
)&lt;=0,
TODAY()-Table3[[#This Row],[Date of Update]],
IFERROR(
  IF(
    COUNTIF(A$2:A$1997, A555) &gt; 1,
    MIN(IF(A$2:A$1997=A555, IF(B$2:B$1997&gt;B555, B$2:B$1997))) - B555,
    TODAY() - Table3[[#This Row],[Date of Update]]
  ),
  TODAY()-Table3[[#This Row],[Date of Update]]
)))</f>
        <v>0</v>
      </c>
      <c r="G555" s="40">
        <f>IF(Table3[[#This Row],[Stage]]="Closed",Table3[[#This Row],[Date of Update]]-(_xlfn.MINIFS(Table3[Date of Update],Table3[Ref], Table3[[#This Row],[Ref]])),"")</f>
        <v>1</v>
      </c>
    </row>
    <row r="556" spans="1:7" x14ac:dyDescent="0.25">
      <c r="A556" s="39" t="s">
        <v>1309</v>
      </c>
      <c r="B556" s="33">
        <v>45091</v>
      </c>
      <c r="C556" s="32" t="s">
        <v>169</v>
      </c>
      <c r="D556" s="32" t="s">
        <v>4</v>
      </c>
      <c r="E556" s="32" t="s">
        <v>715</v>
      </c>
      <c r="F556" s="32" cm="1">
        <f t="array" aca="1" ref="F556" ca="1">IF(Table3[[#This Row],[Stage]]="Closed",0,IF(IFERROR(
  IF(
    COUNTIF(A$2:A$1997, A556) &gt; 1,
    MIN(IF(A$2:A$1997=A556, IF(B$2:B$1997&gt;B556, B$2:B$1997))) - B556,
    TODAY() - Table3[[#This Row],[Date of Update]]
  ),
  TODAY()-Table3[[#This Row],[Date of Update]]
)&lt;=0,
TODAY()-Table3[[#This Row],[Date of Update]],
IFERROR(
  IF(
    COUNTIF(A$2:A$1997, A556) &gt; 1,
    MIN(IF(A$2:A$1997=A556, IF(B$2:B$1997&gt;B556, B$2:B$1997))) - B556,
    TODAY() - Table3[[#This Row],[Date of Update]]
  ),
  TODAY()-Table3[[#This Row],[Date of Update]]
)))</f>
        <v>0</v>
      </c>
      <c r="G556" s="40">
        <f>IF(Table3[[#This Row],[Stage]]="Closed",Table3[[#This Row],[Date of Update]]-(_xlfn.MINIFS(Table3[Date of Update],Table3[Ref], Table3[[#This Row],[Ref]])),"")</f>
        <v>30</v>
      </c>
    </row>
    <row r="557" spans="1:7" x14ac:dyDescent="0.25">
      <c r="A557" s="39" t="s">
        <v>1310</v>
      </c>
      <c r="B557" s="33">
        <v>45091</v>
      </c>
      <c r="C557" s="32" t="s">
        <v>169</v>
      </c>
      <c r="D557" s="32" t="s">
        <v>4</v>
      </c>
      <c r="E557" s="32" t="s">
        <v>715</v>
      </c>
      <c r="F557" s="32" cm="1">
        <f t="array" aca="1" ref="F557" ca="1">IF(Table3[[#This Row],[Stage]]="Closed",0,IF(IFERROR(
  IF(
    COUNTIF(A$2:A$1997, A557) &gt; 1,
    MIN(IF(A$2:A$1997=A557, IF(B$2:B$1997&gt;B557, B$2:B$1997))) - B557,
    TODAY() - Table3[[#This Row],[Date of Update]]
  ),
  TODAY()-Table3[[#This Row],[Date of Update]]
)&lt;=0,
TODAY()-Table3[[#This Row],[Date of Update]],
IFERROR(
  IF(
    COUNTIF(A$2:A$1997, A557) &gt; 1,
    MIN(IF(A$2:A$1997=A557, IF(B$2:B$1997&gt;B557, B$2:B$1997))) - B557,
    TODAY() - Table3[[#This Row],[Date of Update]]
  ),
  TODAY()-Table3[[#This Row],[Date of Update]]
)))</f>
        <v>0</v>
      </c>
      <c r="G557" s="40">
        <f>IF(Table3[[#This Row],[Stage]]="Closed",Table3[[#This Row],[Date of Update]]-(_xlfn.MINIFS(Table3[Date of Update],Table3[Ref], Table3[[#This Row],[Ref]])),"")</f>
        <v>30</v>
      </c>
    </row>
    <row r="558" spans="1:7" x14ac:dyDescent="0.25">
      <c r="A558" s="39" t="s">
        <v>1304</v>
      </c>
      <c r="B558" s="33">
        <v>45091</v>
      </c>
      <c r="C558" s="32" t="s">
        <v>169</v>
      </c>
      <c r="D558" s="32" t="s">
        <v>4</v>
      </c>
      <c r="E558" s="32" t="s">
        <v>715</v>
      </c>
      <c r="F558" s="32" cm="1">
        <f t="array" aca="1" ref="F558" ca="1">IF(Table3[[#This Row],[Stage]]="Closed",0,IF(IFERROR(
  IF(
    COUNTIF(A$2:A$1997, A558) &gt; 1,
    MIN(IF(A$2:A$1997=A558, IF(B$2:B$1997&gt;B558, B$2:B$1997))) - B558,
    TODAY() - Table3[[#This Row],[Date of Update]]
  ),
  TODAY()-Table3[[#This Row],[Date of Update]]
)&lt;=0,
TODAY()-Table3[[#This Row],[Date of Update]],
IFERROR(
  IF(
    COUNTIF(A$2:A$1997, A558) &gt; 1,
    MIN(IF(A$2:A$1997=A558, IF(B$2:B$1997&gt;B558, B$2:B$1997))) - B558,
    TODAY() - Table3[[#This Row],[Date of Update]]
  ),
  TODAY()-Table3[[#This Row],[Date of Update]]
)))</f>
        <v>0</v>
      </c>
      <c r="G558" s="40">
        <f>IF(Table3[[#This Row],[Stage]]="Closed",Table3[[#This Row],[Date of Update]]-(_xlfn.MINIFS(Table3[Date of Update],Table3[Ref], Table3[[#This Row],[Ref]])),"")</f>
        <v>58</v>
      </c>
    </row>
    <row r="559" spans="1:7" x14ac:dyDescent="0.25">
      <c r="A559" s="39" t="s">
        <v>1305</v>
      </c>
      <c r="B559" s="33">
        <v>45091</v>
      </c>
      <c r="C559" s="32" t="s">
        <v>169</v>
      </c>
      <c r="D559" s="32" t="s">
        <v>4</v>
      </c>
      <c r="E559" s="32" t="s">
        <v>715</v>
      </c>
      <c r="F559" s="32" cm="1">
        <f t="array" aca="1" ref="F559" ca="1">IF(Table3[[#This Row],[Stage]]="Closed",0,IF(IFERROR(
  IF(
    COUNTIF(A$2:A$1997, A559) &gt; 1,
    MIN(IF(A$2:A$1997=A559, IF(B$2:B$1997&gt;B559, B$2:B$1997))) - B559,
    TODAY() - Table3[[#This Row],[Date of Update]]
  ),
  TODAY()-Table3[[#This Row],[Date of Update]]
)&lt;=0,
TODAY()-Table3[[#This Row],[Date of Update]],
IFERROR(
  IF(
    COUNTIF(A$2:A$1997, A559) &gt; 1,
    MIN(IF(A$2:A$1997=A559, IF(B$2:B$1997&gt;B559, B$2:B$1997))) - B559,
    TODAY() - Table3[[#This Row],[Date of Update]]
  ),
  TODAY()-Table3[[#This Row],[Date of Update]]
)))</f>
        <v>0</v>
      </c>
      <c r="G559" s="40">
        <f>IF(Table3[[#This Row],[Stage]]="Closed",Table3[[#This Row],[Date of Update]]-(_xlfn.MINIFS(Table3[Date of Update],Table3[Ref], Table3[[#This Row],[Ref]])),"")</f>
        <v>58</v>
      </c>
    </row>
    <row r="560" spans="1:7" x14ac:dyDescent="0.25">
      <c r="A560" s="39" t="s">
        <v>1334</v>
      </c>
      <c r="B560" s="33">
        <v>45091</v>
      </c>
      <c r="C560" s="32" t="s">
        <v>169</v>
      </c>
      <c r="D560" s="32" t="s">
        <v>4</v>
      </c>
      <c r="E560" s="32" t="s">
        <v>715</v>
      </c>
      <c r="F560" s="32" cm="1">
        <f t="array" aca="1" ref="F560" ca="1">IF(Table3[[#This Row],[Stage]]="Closed",0,IF(IFERROR(
  IF(
    COUNTIF(A$2:A$1997, A560) &gt; 1,
    MIN(IF(A$2:A$1997=A560, IF(B$2:B$1997&gt;B560, B$2:B$1997))) - B560,
    TODAY() - Table3[[#This Row],[Date of Update]]
  ),
  TODAY()-Table3[[#This Row],[Date of Update]]
)&lt;=0,
TODAY()-Table3[[#This Row],[Date of Update]],
IFERROR(
  IF(
    COUNTIF(A$2:A$1997, A560) &gt; 1,
    MIN(IF(A$2:A$1997=A560, IF(B$2:B$1997&gt;B560, B$2:B$1997))) - B560,
    TODAY() - Table3[[#This Row],[Date of Update]]
  ),
  TODAY()-Table3[[#This Row],[Date of Update]]
)))</f>
        <v>0</v>
      </c>
      <c r="G560" s="40">
        <f>IF(Table3[[#This Row],[Stage]]="Closed",Table3[[#This Row],[Date of Update]]-(_xlfn.MINIFS(Table3[Date of Update],Table3[Ref], Table3[[#This Row],[Ref]])),"")</f>
        <v>13</v>
      </c>
    </row>
    <row r="561" spans="1:7" x14ac:dyDescent="0.25">
      <c r="A561" s="39" t="s">
        <v>1319</v>
      </c>
      <c r="B561" s="33">
        <v>45091</v>
      </c>
      <c r="C561" s="32" t="s">
        <v>169</v>
      </c>
      <c r="D561" s="32" t="s">
        <v>4</v>
      </c>
      <c r="E561" s="32" t="s">
        <v>715</v>
      </c>
      <c r="F561" s="32" cm="1">
        <f t="array" aca="1" ref="F561" ca="1">IF(Table3[[#This Row],[Stage]]="Closed",0,IF(IFERROR(
  IF(
    COUNTIF(A$2:A$1997, A561) &gt; 1,
    MIN(IF(A$2:A$1997=A561, IF(B$2:B$1997&gt;B561, B$2:B$1997))) - B561,
    TODAY() - Table3[[#This Row],[Date of Update]]
  ),
  TODAY()-Table3[[#This Row],[Date of Update]]
)&lt;=0,
TODAY()-Table3[[#This Row],[Date of Update]],
IFERROR(
  IF(
    COUNTIF(A$2:A$1997, A561) &gt; 1,
    MIN(IF(A$2:A$1997=A561, IF(B$2:B$1997&gt;B561, B$2:B$1997))) - B561,
    TODAY() - Table3[[#This Row],[Date of Update]]
  ),
  TODAY()-Table3[[#This Row],[Date of Update]]
)))</f>
        <v>0</v>
      </c>
      <c r="G561" s="40">
        <f>IF(Table3[[#This Row],[Stage]]="Closed",Table3[[#This Row],[Date of Update]]-(_xlfn.MINIFS(Table3[Date of Update],Table3[Ref], Table3[[#This Row],[Ref]])),"")</f>
        <v>14</v>
      </c>
    </row>
    <row r="562" spans="1:7" x14ac:dyDescent="0.25">
      <c r="A562" s="39" t="s">
        <v>1320</v>
      </c>
      <c r="B562" s="33">
        <v>45091</v>
      </c>
      <c r="C562" s="32" t="s">
        <v>169</v>
      </c>
      <c r="D562" s="32" t="s">
        <v>4</v>
      </c>
      <c r="E562" s="32" t="s">
        <v>715</v>
      </c>
      <c r="F562" s="32" cm="1">
        <f t="array" aca="1" ref="F562" ca="1">IF(Table3[[#This Row],[Stage]]="Closed",0,IF(IFERROR(
  IF(
    COUNTIF(A$2:A$1997, A562) &gt; 1,
    MIN(IF(A$2:A$1997=A562, IF(B$2:B$1997&gt;B562, B$2:B$1997))) - B562,
    TODAY() - Table3[[#This Row],[Date of Update]]
  ),
  TODAY()-Table3[[#This Row],[Date of Update]]
)&lt;=0,
TODAY()-Table3[[#This Row],[Date of Update]],
IFERROR(
  IF(
    COUNTIF(A$2:A$1997, A562) &gt; 1,
    MIN(IF(A$2:A$1997=A562, IF(B$2:B$1997&gt;B562, B$2:B$1997))) - B562,
    TODAY() - Table3[[#This Row],[Date of Update]]
  ),
  TODAY()-Table3[[#This Row],[Date of Update]]
)))</f>
        <v>0</v>
      </c>
      <c r="G562" s="40">
        <f>IF(Table3[[#This Row],[Stage]]="Closed",Table3[[#This Row],[Date of Update]]-(_xlfn.MINIFS(Table3[Date of Update],Table3[Ref], Table3[[#This Row],[Ref]])),"")</f>
        <v>14</v>
      </c>
    </row>
    <row r="563" spans="1:7" x14ac:dyDescent="0.25">
      <c r="A563" s="39" t="s">
        <v>1336</v>
      </c>
      <c r="B563" s="33">
        <v>45091</v>
      </c>
      <c r="C563" s="32" t="s">
        <v>169</v>
      </c>
      <c r="D563" s="32" t="s">
        <v>4</v>
      </c>
      <c r="E563" s="32" t="s">
        <v>715</v>
      </c>
      <c r="F563" s="32" cm="1">
        <f t="array" aca="1" ref="F563" ca="1">IF(Table3[[#This Row],[Stage]]="Closed",0,IF(IFERROR(
  IF(
    COUNTIF(A$2:A$1997, A563) &gt; 1,
    MIN(IF(A$2:A$1997=A563, IF(B$2:B$1997&gt;B563, B$2:B$1997))) - B563,
    TODAY() - Table3[[#This Row],[Date of Update]]
  ),
  TODAY()-Table3[[#This Row],[Date of Update]]
)&lt;=0,
TODAY()-Table3[[#This Row],[Date of Update]],
IFERROR(
  IF(
    COUNTIF(A$2:A$1997, A563) &gt; 1,
    MIN(IF(A$2:A$1997=A563, IF(B$2:B$1997&gt;B563, B$2:B$1997))) - B563,
    TODAY() - Table3[[#This Row],[Date of Update]]
  ),
  TODAY()-Table3[[#This Row],[Date of Update]]
)))</f>
        <v>0</v>
      </c>
      <c r="G563" s="40">
        <f>IF(Table3[[#This Row],[Stage]]="Closed",Table3[[#This Row],[Date of Update]]-(_xlfn.MINIFS(Table3[Date of Update],Table3[Ref], Table3[[#This Row],[Ref]])),"")</f>
        <v>12</v>
      </c>
    </row>
    <row r="564" spans="1:7" x14ac:dyDescent="0.25">
      <c r="A564" s="39" t="s">
        <v>1318</v>
      </c>
      <c r="B564" s="33">
        <v>45091</v>
      </c>
      <c r="C564" s="32" t="s">
        <v>169</v>
      </c>
      <c r="D564" s="32" t="s">
        <v>4</v>
      </c>
      <c r="E564" s="32" t="s">
        <v>715</v>
      </c>
      <c r="F564" s="32" cm="1">
        <f t="array" aca="1" ref="F564" ca="1">IF(Table3[[#This Row],[Stage]]="Closed",0,IF(IFERROR(
  IF(
    COUNTIF(A$2:A$1997, A564) &gt; 1,
    MIN(IF(A$2:A$1997=A564, IF(B$2:B$1997&gt;B564, B$2:B$1997))) - B564,
    TODAY() - Table3[[#This Row],[Date of Update]]
  ),
  TODAY()-Table3[[#This Row],[Date of Update]]
)&lt;=0,
TODAY()-Table3[[#This Row],[Date of Update]],
IFERROR(
  IF(
    COUNTIF(A$2:A$1997, A564) &gt; 1,
    MIN(IF(A$2:A$1997=A564, IF(B$2:B$1997&gt;B564, B$2:B$1997))) - B564,
    TODAY() - Table3[[#This Row],[Date of Update]]
  ),
  TODAY()-Table3[[#This Row],[Date of Update]]
)))</f>
        <v>0</v>
      </c>
      <c r="G564" s="40">
        <f>IF(Table3[[#This Row],[Stage]]="Closed",Table3[[#This Row],[Date of Update]]-(_xlfn.MINIFS(Table3[Date of Update],Table3[Ref], Table3[[#This Row],[Ref]])),"")</f>
        <v>15</v>
      </c>
    </row>
    <row r="565" spans="1:7" x14ac:dyDescent="0.25">
      <c r="A565" s="39" t="s">
        <v>1340</v>
      </c>
      <c r="B565" s="33">
        <v>45096</v>
      </c>
      <c r="C565" s="32" t="s">
        <v>23</v>
      </c>
      <c r="D565" s="32" t="s">
        <v>4</v>
      </c>
      <c r="E565" s="32" t="s">
        <v>453</v>
      </c>
      <c r="F565" s="32" cm="1">
        <f t="array" aca="1" ref="F565" ca="1">IF(Table3[[#This Row],[Stage]]="Closed",0,IF(IFERROR(
  IF(
    COUNTIF(A$2:A$1997, A565) &gt; 1,
    MIN(IF(A$2:A$1997=A565, IF(B$2:B$1997&gt;B565, B$2:B$1997))) - B565,
    TODAY() - Table3[[#This Row],[Date of Update]]
  ),
  TODAY()-Table3[[#This Row],[Date of Update]]
)&lt;=0,
TODAY()-Table3[[#This Row],[Date of Update]],
IFERROR(
  IF(
    COUNTIF(A$2:A$1997, A565) &gt; 1,
    MIN(IF(A$2:A$1997=A565, IF(B$2:B$1997&gt;B565, B$2:B$1997))) - B565,
    TODAY() - Table3[[#This Row],[Date of Update]]
  ),
  TODAY()-Table3[[#This Row],[Date of Update]]
)))</f>
        <v>31</v>
      </c>
      <c r="G565" s="40" t="str">
        <f>IF(Table3[[#This Row],[Stage]]="Closed",Table3[[#This Row],[Date of Update]]-(_xlfn.MINIFS(Table3[Date of Update],Table3[Ref], Table3[[#This Row],[Ref]])),"")</f>
        <v/>
      </c>
    </row>
    <row r="566" spans="1:7" x14ac:dyDescent="0.25">
      <c r="A566" s="39" t="s">
        <v>1370</v>
      </c>
      <c r="B566" s="33">
        <v>45096</v>
      </c>
      <c r="C566" s="32" t="s">
        <v>23</v>
      </c>
      <c r="D566" s="32" t="s">
        <v>4</v>
      </c>
      <c r="E566" s="32" t="s">
        <v>850</v>
      </c>
      <c r="F566" s="32" cm="1">
        <f t="array" aca="1" ref="F566" ca="1">IF(Table3[[#This Row],[Stage]]="Closed",0,IF(IFERROR(
  IF(
    COUNTIF(A$2:A$1997, A566) &gt; 1,
    MIN(IF(A$2:A$1997=A566, IF(B$2:B$1997&gt;B566, B$2:B$1997))) - B566,
    TODAY() - Table3[[#This Row],[Date of Update]]
  ),
  TODAY()-Table3[[#This Row],[Date of Update]]
)&lt;=0,
TODAY()-Table3[[#This Row],[Date of Update]],
IFERROR(
  IF(
    COUNTIF(A$2:A$1997, A566) &gt; 1,
    MIN(IF(A$2:A$1997=A566, IF(B$2:B$1997&gt;B566, B$2:B$1997))) - B566,
    TODAY() - Table3[[#This Row],[Date of Update]]
  ),
  TODAY()-Table3[[#This Row],[Date of Update]]
)))</f>
        <v>74</v>
      </c>
      <c r="G566" s="40" t="str">
        <f>IF(Table3[[#This Row],[Stage]]="Closed",Table3[[#This Row],[Date of Update]]-(_xlfn.MINIFS(Table3[Date of Update],Table3[Ref], Table3[[#This Row],[Ref]])),"")</f>
        <v/>
      </c>
    </row>
    <row r="567" spans="1:7" x14ac:dyDescent="0.25">
      <c r="A567" s="39" t="s">
        <v>1371</v>
      </c>
      <c r="B567" s="33">
        <v>45096</v>
      </c>
      <c r="C567" s="32" t="s">
        <v>23</v>
      </c>
      <c r="D567" s="32" t="s">
        <v>4</v>
      </c>
      <c r="E567" s="32" t="s">
        <v>531</v>
      </c>
      <c r="F567" s="32" cm="1">
        <f t="array" aca="1" ref="F567" ca="1">IF(Table3[[#This Row],[Stage]]="Closed",0,IF(IFERROR(
  IF(
    COUNTIF(A$2:A$1997, A567) &gt; 1,
    MIN(IF(A$2:A$1997=A567, IF(B$2:B$1997&gt;B567, B$2:B$1997))) - B567,
    TODAY() - Table3[[#This Row],[Date of Update]]
  ),
  TODAY()-Table3[[#This Row],[Date of Update]]
)&lt;=0,
TODAY()-Table3[[#This Row],[Date of Update]],
IFERROR(
  IF(
    COUNTIF(A$2:A$1997, A567) &gt; 1,
    MIN(IF(A$2:A$1997=A567, IF(B$2:B$1997&gt;B567, B$2:B$1997))) - B567,
    TODAY() - Table3[[#This Row],[Date of Update]]
  ),
  TODAY()-Table3[[#This Row],[Date of Update]]
)))</f>
        <v>74</v>
      </c>
      <c r="G567" s="40" t="str">
        <f>IF(Table3[[#This Row],[Stage]]="Closed",Table3[[#This Row],[Date of Update]]-(_xlfn.MINIFS(Table3[Date of Update],Table3[Ref], Table3[[#This Row],[Ref]])),"")</f>
        <v/>
      </c>
    </row>
    <row r="568" spans="1:7" x14ac:dyDescent="0.25">
      <c r="A568" s="39" t="s">
        <v>1323</v>
      </c>
      <c r="B568" s="33">
        <v>45097</v>
      </c>
      <c r="C568" s="32" t="s">
        <v>169</v>
      </c>
      <c r="D568" s="32" t="s">
        <v>4</v>
      </c>
      <c r="E568" s="32" t="s">
        <v>738</v>
      </c>
      <c r="F568" s="32" cm="1">
        <f t="array" aca="1" ref="F568" ca="1">IF(Table3[[#This Row],[Stage]]="Closed",0,IF(IFERROR(
  IF(
    COUNTIF(A$2:A$1997, A568) &gt; 1,
    MIN(IF(A$2:A$1997=A568, IF(B$2:B$1997&gt;B568, B$2:B$1997))) - B568,
    TODAY() - Table3[[#This Row],[Date of Update]]
  ),
  TODAY()-Table3[[#This Row],[Date of Update]]
)&lt;=0,
TODAY()-Table3[[#This Row],[Date of Update]],
IFERROR(
  IF(
    COUNTIF(A$2:A$1997, A568) &gt; 1,
    MIN(IF(A$2:A$1997=A568, IF(B$2:B$1997&gt;B568, B$2:B$1997))) - B568,
    TODAY() - Table3[[#This Row],[Date of Update]]
  ),
  TODAY()-Table3[[#This Row],[Date of Update]]
)))</f>
        <v>0</v>
      </c>
      <c r="G568" s="40">
        <f>IF(Table3[[#This Row],[Stage]]="Closed",Table3[[#This Row],[Date of Update]]-(_xlfn.MINIFS(Table3[Date of Update],Table3[Ref], Table3[[#This Row],[Ref]])),"")</f>
        <v>19</v>
      </c>
    </row>
    <row r="569" spans="1:7" x14ac:dyDescent="0.25">
      <c r="A569" s="39" t="s">
        <v>1325</v>
      </c>
      <c r="B569" s="33">
        <v>45099</v>
      </c>
      <c r="C569" s="32" t="s">
        <v>169</v>
      </c>
      <c r="D569" s="32" t="s">
        <v>4</v>
      </c>
      <c r="E569" s="32" t="s">
        <v>745</v>
      </c>
      <c r="F569" s="32" cm="1">
        <f t="array" aca="1" ref="F569" ca="1">IF(Table3[[#This Row],[Stage]]="Closed",0,IF(IFERROR(
  IF(
    COUNTIF(A$2:A$1997, A569) &gt; 1,
    MIN(IF(A$2:A$1997=A569, IF(B$2:B$1997&gt;B569, B$2:B$1997))) - B569,
    TODAY() - Table3[[#This Row],[Date of Update]]
  ),
  TODAY()-Table3[[#This Row],[Date of Update]]
)&lt;=0,
TODAY()-Table3[[#This Row],[Date of Update]],
IFERROR(
  IF(
    COUNTIF(A$2:A$1997, A569) &gt; 1,
    MIN(IF(A$2:A$1997=A569, IF(B$2:B$1997&gt;B569, B$2:B$1997))) - B569,
    TODAY() - Table3[[#This Row],[Date of Update]]
  ),
  TODAY()-Table3[[#This Row],[Date of Update]]
)))</f>
        <v>0</v>
      </c>
      <c r="G569" s="40">
        <f>IF(Table3[[#This Row],[Stage]]="Closed",Table3[[#This Row],[Date of Update]]-(_xlfn.MINIFS(Table3[Date of Update],Table3[Ref], Table3[[#This Row],[Ref]])),"")</f>
        <v>148</v>
      </c>
    </row>
    <row r="570" spans="1:7" x14ac:dyDescent="0.25">
      <c r="A570" s="39" t="s">
        <v>1326</v>
      </c>
      <c r="B570" s="33">
        <v>45099</v>
      </c>
      <c r="C570" s="32" t="s">
        <v>169</v>
      </c>
      <c r="D570" s="32" t="s">
        <v>4</v>
      </c>
      <c r="E570" s="32" t="s">
        <v>748</v>
      </c>
      <c r="F570" s="32" cm="1">
        <f t="array" aca="1" ref="F570" ca="1">IF(Table3[[#This Row],[Stage]]="Closed",0,IF(IFERROR(
  IF(
    COUNTIF(A$2:A$1997, A570) &gt; 1,
    MIN(IF(A$2:A$1997=A570, IF(B$2:B$1997&gt;B570, B$2:B$1997))) - B570,
    TODAY() - Table3[[#This Row],[Date of Update]]
  ),
  TODAY()-Table3[[#This Row],[Date of Update]]
)&lt;=0,
TODAY()-Table3[[#This Row],[Date of Update]],
IFERROR(
  IF(
    COUNTIF(A$2:A$1997, A570) &gt; 1,
    MIN(IF(A$2:A$1997=A570, IF(B$2:B$1997&gt;B570, B$2:B$1997))) - B570,
    TODAY() - Table3[[#This Row],[Date of Update]]
  ),
  TODAY()-Table3[[#This Row],[Date of Update]]
)))</f>
        <v>0</v>
      </c>
      <c r="G570" s="40">
        <f>IF(Table3[[#This Row],[Stage]]="Closed",Table3[[#This Row],[Date of Update]]-(_xlfn.MINIFS(Table3[Date of Update],Table3[Ref], Table3[[#This Row],[Ref]])),"")</f>
        <v>129</v>
      </c>
    </row>
    <row r="571" spans="1:7" x14ac:dyDescent="0.25">
      <c r="A571" s="39" t="s">
        <v>1328</v>
      </c>
      <c r="B571" s="33">
        <v>45099</v>
      </c>
      <c r="C571" s="32" t="s">
        <v>169</v>
      </c>
      <c r="D571" s="32" t="s">
        <v>4</v>
      </c>
      <c r="E571" s="32" t="s">
        <v>756</v>
      </c>
      <c r="F571" s="32" cm="1">
        <f t="array" aca="1" ref="F571" ca="1">IF(Table3[[#This Row],[Stage]]="Closed",0,IF(IFERROR(
  IF(
    COUNTIF(A$2:A$1997, A571) &gt; 1,
    MIN(IF(A$2:A$1997=A571, IF(B$2:B$1997&gt;B571, B$2:B$1997))) - B571,
    TODAY() - Table3[[#This Row],[Date of Update]]
  ),
  TODAY()-Table3[[#This Row],[Date of Update]]
)&lt;=0,
TODAY()-Table3[[#This Row],[Date of Update]],
IFERROR(
  IF(
    COUNTIF(A$2:A$1997, A571) &gt; 1,
    MIN(IF(A$2:A$1997=A571, IF(B$2:B$1997&gt;B571, B$2:B$1997))) - B571,
    TODAY() - Table3[[#This Row],[Date of Update]]
  ),
  TODAY()-Table3[[#This Row],[Date of Update]]
)))</f>
        <v>0</v>
      </c>
      <c r="G571" s="40">
        <f>IF(Table3[[#This Row],[Stage]]="Closed",Table3[[#This Row],[Date of Update]]-(_xlfn.MINIFS(Table3[Date of Update],Table3[Ref], Table3[[#This Row],[Ref]])),"")</f>
        <v>106</v>
      </c>
    </row>
    <row r="572" spans="1:7" x14ac:dyDescent="0.25">
      <c r="A572" s="39" t="s">
        <v>1327</v>
      </c>
      <c r="B572" s="33">
        <v>45099</v>
      </c>
      <c r="C572" s="32" t="s">
        <v>169</v>
      </c>
      <c r="D572" s="32" t="s">
        <v>4</v>
      </c>
      <c r="E572" s="32" t="s">
        <v>752</v>
      </c>
      <c r="F572" s="32" cm="1">
        <f t="array" aca="1" ref="F572" ca="1">IF(Table3[[#This Row],[Stage]]="Closed",0,IF(IFERROR(
  IF(
    COUNTIF(A$2:A$1997, A572) &gt; 1,
    MIN(IF(A$2:A$1997=A572, IF(B$2:B$1997&gt;B572, B$2:B$1997))) - B572,
    TODAY() - Table3[[#This Row],[Date of Update]]
  ),
  TODAY()-Table3[[#This Row],[Date of Update]]
)&lt;=0,
TODAY()-Table3[[#This Row],[Date of Update]],
IFERROR(
  IF(
    COUNTIF(A$2:A$1997, A572) &gt; 1,
    MIN(IF(A$2:A$1997=A572, IF(B$2:B$1997&gt;B572, B$2:B$1997))) - B572,
    TODAY() - Table3[[#This Row],[Date of Update]]
  ),
  TODAY()-Table3[[#This Row],[Date of Update]]
)))</f>
        <v>0</v>
      </c>
      <c r="G572" s="40">
        <f>IF(Table3[[#This Row],[Stage]]="Closed",Table3[[#This Row],[Date of Update]]-(_xlfn.MINIFS(Table3[Date of Update],Table3[Ref], Table3[[#This Row],[Ref]])),"")</f>
        <v>125</v>
      </c>
    </row>
    <row r="573" spans="1:7" x14ac:dyDescent="0.25">
      <c r="A573" s="39" t="s">
        <v>1330</v>
      </c>
      <c r="B573" s="33">
        <v>45099</v>
      </c>
      <c r="C573" s="32" t="s">
        <v>169</v>
      </c>
      <c r="D573" s="32" t="s">
        <v>4</v>
      </c>
      <c r="E573" s="32" t="s">
        <v>761</v>
      </c>
      <c r="F573" s="32" cm="1">
        <f t="array" aca="1" ref="F573" ca="1">IF(Table3[[#This Row],[Stage]]="Closed",0,IF(IFERROR(
  IF(
    COUNTIF(A$2:A$1997, A573) &gt; 1,
    MIN(IF(A$2:A$1997=A573, IF(B$2:B$1997&gt;B573, B$2:B$1997))) - B573,
    TODAY() - Table3[[#This Row],[Date of Update]]
  ),
  TODAY()-Table3[[#This Row],[Date of Update]]
)&lt;=0,
TODAY()-Table3[[#This Row],[Date of Update]],
IFERROR(
  IF(
    COUNTIF(A$2:A$1997, A573) &gt; 1,
    MIN(IF(A$2:A$1997=A573, IF(B$2:B$1997&gt;B573, B$2:B$1997))) - B573,
    TODAY() - Table3[[#This Row],[Date of Update]]
  ),
  TODAY()-Table3[[#This Row],[Date of Update]]
)))</f>
        <v>0</v>
      </c>
      <c r="G573" s="40">
        <f>IF(Table3[[#This Row],[Stage]]="Closed",Table3[[#This Row],[Date of Update]]-(_xlfn.MINIFS(Table3[Date of Update],Table3[Ref], Table3[[#This Row],[Ref]])),"")</f>
        <v>66</v>
      </c>
    </row>
    <row r="574" spans="1:7" x14ac:dyDescent="0.25">
      <c r="A574" s="39" t="s">
        <v>1332</v>
      </c>
      <c r="B574" s="33">
        <v>45099</v>
      </c>
      <c r="C574" s="32" t="s">
        <v>169</v>
      </c>
      <c r="D574" s="32" t="s">
        <v>4</v>
      </c>
      <c r="E574" s="32"/>
      <c r="F574" s="32" cm="1">
        <f t="array" aca="1" ref="F574" ca="1">IF(Table3[[#This Row],[Stage]]="Closed",0,IF(IFERROR(
  IF(
    COUNTIF(A$2:A$1997, A574) &gt; 1,
    MIN(IF(A$2:A$1997=A574, IF(B$2:B$1997&gt;B574, B$2:B$1997))) - B574,
    TODAY() - Table3[[#This Row],[Date of Update]]
  ),
  TODAY()-Table3[[#This Row],[Date of Update]]
)&lt;=0,
TODAY()-Table3[[#This Row],[Date of Update]],
IFERROR(
  IF(
    COUNTIF(A$2:A$1997, A574) &gt; 1,
    MIN(IF(A$2:A$1997=A574, IF(B$2:B$1997&gt;B574, B$2:B$1997))) - B574,
    TODAY() - Table3[[#This Row],[Date of Update]]
  ),
  TODAY()-Table3[[#This Row],[Date of Update]]
)))</f>
        <v>0</v>
      </c>
      <c r="G574" s="40">
        <f>IF(Table3[[#This Row],[Stage]]="Closed",Table3[[#This Row],[Date of Update]]-(_xlfn.MINIFS(Table3[Date of Update],Table3[Ref], Table3[[#This Row],[Ref]])),"")</f>
        <v>36</v>
      </c>
    </row>
    <row r="575" spans="1:7" x14ac:dyDescent="0.25">
      <c r="A575" s="39" t="s">
        <v>1346</v>
      </c>
      <c r="B575" s="33">
        <v>45099</v>
      </c>
      <c r="C575" s="32" t="s">
        <v>23</v>
      </c>
      <c r="D575" s="32" t="s">
        <v>4</v>
      </c>
      <c r="E575" s="32" t="s">
        <v>788</v>
      </c>
      <c r="F575" s="32" cm="1">
        <f t="array" aca="1" ref="F575" ca="1">IF(Table3[[#This Row],[Stage]]="Closed",0,IF(IFERROR(
  IF(
    COUNTIF(A$2:A$1997, A575) &gt; 1,
    MIN(IF(A$2:A$1997=A575, IF(B$2:B$1997&gt;B575, B$2:B$1997))) - B575,
    TODAY() - Table3[[#This Row],[Date of Update]]
  ),
  TODAY()-Table3[[#This Row],[Date of Update]]
)&lt;=0,
TODAY()-Table3[[#This Row],[Date of Update]],
IFERROR(
  IF(
    COUNTIF(A$2:A$1997, A575) &gt; 1,
    MIN(IF(A$2:A$1997=A575, IF(B$2:B$1997&gt;B575, B$2:B$1997))) - B575,
    TODAY() - Table3[[#This Row],[Date of Update]]
  ),
  TODAY()-Table3[[#This Row],[Date of Update]]
)))</f>
        <v>113</v>
      </c>
      <c r="G575" s="40" t="str">
        <f>IF(Table3[[#This Row],[Stage]]="Closed",Table3[[#This Row],[Date of Update]]-(_xlfn.MINIFS(Table3[Date of Update],Table3[Ref], Table3[[#This Row],[Ref]])),"")</f>
        <v/>
      </c>
    </row>
    <row r="576" spans="1:7" x14ac:dyDescent="0.25">
      <c r="A576" s="39" t="s">
        <v>1331</v>
      </c>
      <c r="B576" s="33">
        <v>45099</v>
      </c>
      <c r="C576" s="32" t="s">
        <v>169</v>
      </c>
      <c r="D576" s="32" t="s">
        <v>4</v>
      </c>
      <c r="E576" s="32" t="s">
        <v>763</v>
      </c>
      <c r="F576" s="32" cm="1">
        <f t="array" aca="1" ref="F576" ca="1">IF(Table3[[#This Row],[Stage]]="Closed",0,IF(IFERROR(
  IF(
    COUNTIF(A$2:A$1997, A576) &gt; 1,
    MIN(IF(A$2:A$1997=A576, IF(B$2:B$1997&gt;B576, B$2:B$1997))) - B576,
    TODAY() - Table3[[#This Row],[Date of Update]]
  ),
  TODAY()-Table3[[#This Row],[Date of Update]]
)&lt;=0,
TODAY()-Table3[[#This Row],[Date of Update]],
IFERROR(
  IF(
    COUNTIF(A$2:A$1997, A576) &gt; 1,
    MIN(IF(A$2:A$1997=A576, IF(B$2:B$1997&gt;B576, B$2:B$1997))) - B576,
    TODAY() - Table3[[#This Row],[Date of Update]]
  ),
  TODAY()-Table3[[#This Row],[Date of Update]]
)))</f>
        <v>0</v>
      </c>
      <c r="G576" s="40">
        <f>IF(Table3[[#This Row],[Stage]]="Closed",Table3[[#This Row],[Date of Update]]-(_xlfn.MINIFS(Table3[Date of Update],Table3[Ref], Table3[[#This Row],[Ref]])),"")</f>
        <v>51</v>
      </c>
    </row>
    <row r="577" spans="1:7" x14ac:dyDescent="0.25">
      <c r="A577" s="39" t="s">
        <v>1333</v>
      </c>
      <c r="B577" s="33">
        <v>45099</v>
      </c>
      <c r="C577" s="32" t="s">
        <v>169</v>
      </c>
      <c r="D577" s="32" t="s">
        <v>4</v>
      </c>
      <c r="E577" s="32" t="s">
        <v>453</v>
      </c>
      <c r="F577" s="32" cm="1">
        <f t="array" aca="1" ref="F577" ca="1">IF(Table3[[#This Row],[Stage]]="Closed",0,IF(IFERROR(
  IF(
    COUNTIF(A$2:A$1997, A577) &gt; 1,
    MIN(IF(A$2:A$1997=A577, IF(B$2:B$1997&gt;B577, B$2:B$1997))) - B577,
    TODAY() - Table3[[#This Row],[Date of Update]]
  ),
  TODAY()-Table3[[#This Row],[Date of Update]]
)&lt;=0,
TODAY()-Table3[[#This Row],[Date of Update]],
IFERROR(
  IF(
    COUNTIF(A$2:A$1997, A577) &gt; 1,
    MIN(IF(A$2:A$1997=A577, IF(B$2:B$1997&gt;B577, B$2:B$1997))) - B577,
    TODAY() - Table3[[#This Row],[Date of Update]]
  ),
  TODAY()-Table3[[#This Row],[Date of Update]]
)))</f>
        <v>0</v>
      </c>
      <c r="G577" s="40">
        <f>IF(Table3[[#This Row],[Stage]]="Closed",Table3[[#This Row],[Date of Update]]-(_xlfn.MINIFS(Table3[Date of Update],Table3[Ref], Table3[[#This Row],[Ref]])),"")</f>
        <v>21</v>
      </c>
    </row>
    <row r="578" spans="1:7" x14ac:dyDescent="0.25">
      <c r="A578" s="39" t="s">
        <v>1324</v>
      </c>
      <c r="B578" s="33">
        <v>45099</v>
      </c>
      <c r="C578" s="32" t="s">
        <v>169</v>
      </c>
      <c r="D578" s="32" t="s">
        <v>4</v>
      </c>
      <c r="E578" s="32" t="s">
        <v>453</v>
      </c>
      <c r="F578" s="32" cm="1">
        <f t="array" aca="1" ref="F578" ca="1">IF(Table3[[#This Row],[Stage]]="Closed",0,IF(IFERROR(
  IF(
    COUNTIF(A$2:A$1997, A578) &gt; 1,
    MIN(IF(A$2:A$1997=A578, IF(B$2:B$1997&gt;B578, B$2:B$1997))) - B578,
    TODAY() - Table3[[#This Row],[Date of Update]]
  ),
  TODAY()-Table3[[#This Row],[Date of Update]]
)&lt;=0,
TODAY()-Table3[[#This Row],[Date of Update]],
IFERROR(
  IF(
    COUNTIF(A$2:A$1997, A578) &gt; 1,
    MIN(IF(A$2:A$1997=A578, IF(B$2:B$1997&gt;B578, B$2:B$1997))) - B578,
    TODAY() - Table3[[#This Row],[Date of Update]]
  ),
  TODAY()-Table3[[#This Row],[Date of Update]]
)))</f>
        <v>0</v>
      </c>
      <c r="G578" s="40">
        <f>IF(Table3[[#This Row],[Stage]]="Closed",Table3[[#This Row],[Date of Update]]-(_xlfn.MINIFS(Table3[Date of Update],Table3[Ref], Table3[[#This Row],[Ref]])),"")</f>
        <v>170</v>
      </c>
    </row>
    <row r="579" spans="1:7" x14ac:dyDescent="0.25">
      <c r="A579" s="39" t="s">
        <v>1329</v>
      </c>
      <c r="B579" s="33">
        <v>45099</v>
      </c>
      <c r="C579" s="32" t="s">
        <v>169</v>
      </c>
      <c r="D579" s="32" t="s">
        <v>4</v>
      </c>
      <c r="E579" s="32" t="s">
        <v>759</v>
      </c>
      <c r="F579" s="32" cm="1">
        <f t="array" aca="1" ref="F579" ca="1">IF(Table3[[#This Row],[Stage]]="Closed",0,IF(IFERROR(
  IF(
    COUNTIF(A$2:A$1997, A579) &gt; 1,
    MIN(IF(A$2:A$1997=A579, IF(B$2:B$1997&gt;B579, B$2:B$1997))) - B579,
    TODAY() - Table3[[#This Row],[Date of Update]]
  ),
  TODAY()-Table3[[#This Row],[Date of Update]]
)&lt;=0,
TODAY()-Table3[[#This Row],[Date of Update]],
IFERROR(
  IF(
    COUNTIF(A$2:A$1997, A579) &gt; 1,
    MIN(IF(A$2:A$1997=A579, IF(B$2:B$1997&gt;B579, B$2:B$1997))) - B579,
    TODAY() - Table3[[#This Row],[Date of Update]]
  ),
  TODAY()-Table3[[#This Row],[Date of Update]]
)))</f>
        <v>0</v>
      </c>
      <c r="G579" s="40">
        <f>IF(Table3[[#This Row],[Stage]]="Closed",Table3[[#This Row],[Date of Update]]-(_xlfn.MINIFS(Table3[Date of Update],Table3[Ref], Table3[[#This Row],[Ref]])),"")</f>
        <v>72</v>
      </c>
    </row>
    <row r="580" spans="1:7" x14ac:dyDescent="0.25">
      <c r="A580" s="39" t="s">
        <v>1349</v>
      </c>
      <c r="B580" s="33">
        <v>45103</v>
      </c>
      <c r="C580" s="32" t="s">
        <v>23</v>
      </c>
      <c r="D580" s="32" t="s">
        <v>4</v>
      </c>
      <c r="E580" s="32" t="s">
        <v>803</v>
      </c>
      <c r="F580" s="32" cm="1">
        <f t="array" aca="1" ref="F580" ca="1">IF(Table3[[#This Row],[Stage]]="Closed",0,IF(IFERROR(
  IF(
    COUNTIF(A$2:A$1997, A580) &gt; 1,
    MIN(IF(A$2:A$1997=A580, IF(B$2:B$1997&gt;B580, B$2:B$1997))) - B580,
    TODAY() - Table3[[#This Row],[Date of Update]]
  ),
  TODAY()-Table3[[#This Row],[Date of Update]]
)&lt;=0,
TODAY()-Table3[[#This Row],[Date of Update]],
IFERROR(
  IF(
    COUNTIF(A$2:A$1997, A580) &gt; 1,
    MIN(IF(A$2:A$1997=A580, IF(B$2:B$1997&gt;B580, B$2:B$1997))) - B580,
    TODAY() - Table3[[#This Row],[Date of Update]]
  ),
  TODAY()-Table3[[#This Row],[Date of Update]]
)))</f>
        <v>31</v>
      </c>
      <c r="G580" s="40" t="str">
        <f>IF(Table3[[#This Row],[Stage]]="Closed",Table3[[#This Row],[Date of Update]]-(_xlfn.MINIFS(Table3[Date of Update],Table3[Ref], Table3[[#This Row],[Ref]])),"")</f>
        <v/>
      </c>
    </row>
    <row r="581" spans="1:7" x14ac:dyDescent="0.25">
      <c r="A581" s="39" t="s">
        <v>1344</v>
      </c>
      <c r="B581" s="33">
        <v>45104</v>
      </c>
      <c r="C581" s="32" t="s">
        <v>169</v>
      </c>
      <c r="D581" s="32" t="s">
        <v>4</v>
      </c>
      <c r="E581" s="32" t="s">
        <v>792</v>
      </c>
      <c r="F581" s="32" cm="1">
        <f t="array" aca="1" ref="F581" ca="1">IF(Table3[[#This Row],[Stage]]="Closed",0,IF(IFERROR(
  IF(
    COUNTIF(A$2:A$1997, A581) &gt; 1,
    MIN(IF(A$2:A$1997=A581, IF(B$2:B$1997&gt;B581, B$2:B$1997))) - B581,
    TODAY() - Table3[[#This Row],[Date of Update]]
  ),
  TODAY()-Table3[[#This Row],[Date of Update]]
)&lt;=0,
TODAY()-Table3[[#This Row],[Date of Update]],
IFERROR(
  IF(
    COUNTIF(A$2:A$1997, A581) &gt; 1,
    MIN(IF(A$2:A$1997=A581, IF(B$2:B$1997&gt;B581, B$2:B$1997))) - B581,
    TODAY() - Table3[[#This Row],[Date of Update]]
  ),
  TODAY()-Table3[[#This Row],[Date of Update]]
)))</f>
        <v>0</v>
      </c>
      <c r="G581" s="40">
        <f>IF(Table3[[#This Row],[Stage]]="Closed",Table3[[#This Row],[Date of Update]]-(_xlfn.MINIFS(Table3[Date of Update],Table3[Ref], Table3[[#This Row],[Ref]])),"")</f>
        <v>19</v>
      </c>
    </row>
    <row r="582" spans="1:7" x14ac:dyDescent="0.25">
      <c r="A582" s="39" t="s">
        <v>1342</v>
      </c>
      <c r="B582" s="33">
        <v>45106</v>
      </c>
      <c r="C582" s="32" t="s">
        <v>169</v>
      </c>
      <c r="D582" s="32" t="s">
        <v>4</v>
      </c>
      <c r="E582" s="32" t="s">
        <v>786</v>
      </c>
      <c r="F582" s="32" cm="1">
        <f t="array" aca="1" ref="F582" ca="1">IF(Table3[[#This Row],[Stage]]="Closed",0,IF(IFERROR(
  IF(
    COUNTIF(A$2:A$1997, A582) &gt; 1,
    MIN(IF(A$2:A$1997=A582, IF(B$2:B$1997&gt;B582, B$2:B$1997))) - B582,
    TODAY() - Table3[[#This Row],[Date of Update]]
  ),
  TODAY()-Table3[[#This Row],[Date of Update]]
)&lt;=0,
TODAY()-Table3[[#This Row],[Date of Update]],
IFERROR(
  IF(
    COUNTIF(A$2:A$1997, A582) &gt; 1,
    MIN(IF(A$2:A$1997=A582, IF(B$2:B$1997&gt;B582, B$2:B$1997))) - B582,
    TODAY() - Table3[[#This Row],[Date of Update]]
  ),
  TODAY()-Table3[[#This Row],[Date of Update]]
)))</f>
        <v>0</v>
      </c>
      <c r="G582" s="40">
        <f>IF(Table3[[#This Row],[Stage]]="Closed",Table3[[#This Row],[Date of Update]]-(_xlfn.MINIFS(Table3[Date of Update],Table3[Ref], Table3[[#This Row],[Ref]])),"")</f>
        <v>27</v>
      </c>
    </row>
    <row r="583" spans="1:7" x14ac:dyDescent="0.25">
      <c r="A583" s="39" t="s">
        <v>1337</v>
      </c>
      <c r="B583" s="33">
        <v>45110</v>
      </c>
      <c r="C583" s="32" t="s">
        <v>23</v>
      </c>
      <c r="D583" s="32" t="s">
        <v>4</v>
      </c>
      <c r="E583" s="32"/>
      <c r="F583" s="32" cm="1">
        <f t="array" aca="1" ref="F583" ca="1">IF(Table3[[#This Row],[Stage]]="Closed",0,IF(IFERROR(
  IF(
    COUNTIF(A$2:A$1997, A583) &gt; 1,
    MIN(IF(A$2:A$1997=A583, IF(B$2:B$1997&gt;B583, B$2:B$1997))) - B583,
    TODAY() - Table3[[#This Row],[Date of Update]]
  ),
  TODAY()-Table3[[#This Row],[Date of Update]]
)&lt;=0,
TODAY()-Table3[[#This Row],[Date of Update]],
IFERROR(
  IF(
    COUNTIF(A$2:A$1997, A583) &gt; 1,
    MIN(IF(A$2:A$1997=A583, IF(B$2:B$1997&gt;B583, B$2:B$1997))) - B583,
    TODAY() - Table3[[#This Row],[Date of Update]]
  ),
  TODAY()-Table3[[#This Row],[Date of Update]]
)))</f>
        <v>9</v>
      </c>
      <c r="G583" s="40" t="str">
        <f>IF(Table3[[#This Row],[Stage]]="Closed",Table3[[#This Row],[Date of Update]]-(_xlfn.MINIFS(Table3[Date of Update],Table3[Ref], Table3[[#This Row],[Ref]])),"")</f>
        <v/>
      </c>
    </row>
    <row r="584" spans="1:7" x14ac:dyDescent="0.25">
      <c r="A584" s="39" t="s">
        <v>1357</v>
      </c>
      <c r="B584" s="33">
        <v>45110</v>
      </c>
      <c r="C584" s="32" t="s">
        <v>23</v>
      </c>
      <c r="D584" s="32" t="s">
        <v>4</v>
      </c>
      <c r="E584" s="32" t="s">
        <v>521</v>
      </c>
      <c r="F584" s="32" cm="1">
        <f t="array" aca="1" ref="F584" ca="1">IF(Table3[[#This Row],[Stage]]="Closed",0,IF(IFERROR(
  IF(
    COUNTIF(A$2:A$1997, A584) &gt; 1,
    MIN(IF(A$2:A$1997=A584, IF(B$2:B$1997&gt;B584, B$2:B$1997))) - B584,
    TODAY() - Table3[[#This Row],[Date of Update]]
  ),
  TODAY()-Table3[[#This Row],[Date of Update]]
)&lt;=0,
TODAY()-Table3[[#This Row],[Date of Update]],
IFERROR(
  IF(
    COUNTIF(A$2:A$1997, A584) &gt; 1,
    MIN(IF(A$2:A$1997=A584, IF(B$2:B$1997&gt;B584, B$2:B$1997))) - B584,
    TODAY() - Table3[[#This Row],[Date of Update]]
  ),
  TODAY()-Table3[[#This Row],[Date of Update]]
)))</f>
        <v>625</v>
      </c>
      <c r="G584" s="40" t="str">
        <f>IF(Table3[[#This Row],[Stage]]="Closed",Table3[[#This Row],[Date of Update]]-(_xlfn.MINIFS(Table3[Date of Update],Table3[Ref], Table3[[#This Row],[Ref]])),"")</f>
        <v/>
      </c>
    </row>
    <row r="585" spans="1:7" x14ac:dyDescent="0.25">
      <c r="A585" s="39" t="s">
        <v>1357</v>
      </c>
      <c r="B585" s="33">
        <v>45110</v>
      </c>
      <c r="C585" s="32" t="s">
        <v>169</v>
      </c>
      <c r="D585" s="32" t="s">
        <v>4</v>
      </c>
      <c r="E585" s="32" t="s">
        <v>521</v>
      </c>
      <c r="F585" s="32" cm="1">
        <f t="array" aca="1" ref="F585" ca="1">IF(Table3[[#This Row],[Stage]]="Closed",0,IF(IFERROR(
  IF(
    COUNTIF(A$2:A$1997, A585) &gt; 1,
    MIN(IF(A$2:A$1997=A585, IF(B$2:B$1997&gt;B585, B$2:B$1997))) - B585,
    TODAY() - Table3[[#This Row],[Date of Update]]
  ),
  TODAY()-Table3[[#This Row],[Date of Update]]
)&lt;=0,
TODAY()-Table3[[#This Row],[Date of Update]],
IFERROR(
  IF(
    COUNTIF(A$2:A$1997, A585) &gt; 1,
    MIN(IF(A$2:A$1997=A585, IF(B$2:B$1997&gt;B585, B$2:B$1997))) - B585,
    TODAY() - Table3[[#This Row],[Date of Update]]
  ),
  TODAY()-Table3[[#This Row],[Date of Update]]
)))</f>
        <v>0</v>
      </c>
      <c r="G585" s="40">
        <f>IF(Table3[[#This Row],[Stage]]="Closed",Table3[[#This Row],[Date of Update]]-(_xlfn.MINIFS(Table3[Date of Update],Table3[Ref], Table3[[#This Row],[Ref]])),"")</f>
        <v>0</v>
      </c>
    </row>
    <row r="586" spans="1:7" x14ac:dyDescent="0.25">
      <c r="A586" s="39" t="s">
        <v>1422</v>
      </c>
      <c r="B586" s="33">
        <v>45110</v>
      </c>
      <c r="C586" s="32" t="s">
        <v>23</v>
      </c>
      <c r="D586" s="32" t="s">
        <v>4</v>
      </c>
      <c r="E586" s="32" t="s">
        <v>645</v>
      </c>
      <c r="F586" s="32" cm="1">
        <f t="array" aca="1" ref="F586" ca="1">IF(Table3[[#This Row],[Stage]]="Closed",0,IF(IFERROR(
  IF(
    COUNTIF(A$2:A$1997, A586) &gt; 1,
    MIN(IF(A$2:A$1997=A586, IF(B$2:B$1997&gt;B586, B$2:B$1997))) - B586,
    TODAY() - Table3[[#This Row],[Date of Update]]
  ),
  TODAY()-Table3[[#This Row],[Date of Update]]
)&lt;=0,
TODAY()-Table3[[#This Row],[Date of Update]],
IFERROR(
  IF(
    COUNTIF(A$2:A$1997, A586) &gt; 1,
    MIN(IF(A$2:A$1997=A586, IF(B$2:B$1997&gt;B586, B$2:B$1997))) - B586,
    TODAY() - Table3[[#This Row],[Date of Update]]
  ),
  TODAY()-Table3[[#This Row],[Date of Update]]
)))</f>
        <v>214</v>
      </c>
      <c r="G586" s="40" t="str">
        <f>IF(Table3[[#This Row],[Stage]]="Closed",Table3[[#This Row],[Date of Update]]-(_xlfn.MINIFS(Table3[Date of Update],Table3[Ref], Table3[[#This Row],[Ref]])),"")</f>
        <v/>
      </c>
    </row>
    <row r="587" spans="1:7" x14ac:dyDescent="0.25">
      <c r="A587" s="39" t="s">
        <v>1337</v>
      </c>
      <c r="B587" s="33">
        <v>45119</v>
      </c>
      <c r="C587" s="32" t="s">
        <v>169</v>
      </c>
      <c r="D587" s="32" t="s">
        <v>4</v>
      </c>
      <c r="E587" s="32"/>
      <c r="F587" s="32" cm="1">
        <f t="array" aca="1" ref="F587" ca="1">IF(Table3[[#This Row],[Stage]]="Closed",0,IF(IFERROR(
  IF(
    COUNTIF(A$2:A$1997, A587) &gt; 1,
    MIN(IF(A$2:A$1997=A587, IF(B$2:B$1997&gt;B587, B$2:B$1997))) - B587,
    TODAY() - Table3[[#This Row],[Date of Update]]
  ),
  TODAY()-Table3[[#This Row],[Date of Update]]
)&lt;=0,
TODAY()-Table3[[#This Row],[Date of Update]],
IFERROR(
  IF(
    COUNTIF(A$2:A$1997, A587) &gt; 1,
    MIN(IF(A$2:A$1997=A587, IF(B$2:B$1997&gt;B587, B$2:B$1997))) - B587,
    TODAY() - Table3[[#This Row],[Date of Update]]
  ),
  TODAY()-Table3[[#This Row],[Date of Update]]
)))</f>
        <v>0</v>
      </c>
      <c r="G587" s="40">
        <f>IF(Table3[[#This Row],[Stage]]="Closed",Table3[[#This Row],[Date of Update]]-(_xlfn.MINIFS(Table3[Date of Update],Table3[Ref], Table3[[#This Row],[Ref]])),"")</f>
        <v>9</v>
      </c>
    </row>
    <row r="588" spans="1:7" x14ac:dyDescent="0.25">
      <c r="A588" s="39" t="s">
        <v>1338</v>
      </c>
      <c r="B588" s="33">
        <v>45120</v>
      </c>
      <c r="C588" s="32" t="s">
        <v>169</v>
      </c>
      <c r="D588" s="32" t="s">
        <v>4</v>
      </c>
      <c r="E588" s="32" t="s">
        <v>775</v>
      </c>
      <c r="F588" s="32" cm="1">
        <f t="array" aca="1" ref="F588" ca="1">IF(Table3[[#This Row],[Stage]]="Closed",0,IF(IFERROR(
  IF(
    COUNTIF(A$2:A$1997, A588) &gt; 1,
    MIN(IF(A$2:A$1997=A588, IF(B$2:B$1997&gt;B588, B$2:B$1997))) - B588,
    TODAY() - Table3[[#This Row],[Date of Update]]
  ),
  TODAY()-Table3[[#This Row],[Date of Update]]
)&lt;=0,
TODAY()-Table3[[#This Row],[Date of Update]],
IFERROR(
  IF(
    COUNTIF(A$2:A$1997, A588) &gt; 1,
    MIN(IF(A$2:A$1997=A588, IF(B$2:B$1997&gt;B588, B$2:B$1997))) - B588,
    TODAY() - Table3[[#This Row],[Date of Update]]
  ),
  TODAY()-Table3[[#This Row],[Date of Update]]
)))</f>
        <v>0</v>
      </c>
      <c r="G588" s="40">
        <f>IF(Table3[[#This Row],[Stage]]="Closed",Table3[[#This Row],[Date of Update]]-(_xlfn.MINIFS(Table3[Date of Update],Table3[Ref], Table3[[#This Row],[Ref]])),"")</f>
        <v>92</v>
      </c>
    </row>
    <row r="589" spans="1:7" x14ac:dyDescent="0.25">
      <c r="A589" s="39" t="s">
        <v>1360</v>
      </c>
      <c r="B589" s="33">
        <v>45120</v>
      </c>
      <c r="C589" s="32" t="s">
        <v>23</v>
      </c>
      <c r="D589" s="32" t="s">
        <v>4</v>
      </c>
      <c r="E589" s="32" t="s">
        <v>715</v>
      </c>
      <c r="F589" s="32" cm="1">
        <f t="array" aca="1" ref="F589" ca="1">IF(Table3[[#This Row],[Stage]]="Closed",0,IF(IFERROR(
  IF(
    COUNTIF(A$2:A$1997, A589) &gt; 1,
    MIN(IF(A$2:A$1997=A589, IF(B$2:B$1997&gt;B589, B$2:B$1997))) - B589,
    TODAY() - Table3[[#This Row],[Date of Update]]
  ),
  TODAY()-Table3[[#This Row],[Date of Update]]
)&lt;=0,
TODAY()-Table3[[#This Row],[Date of Update]],
IFERROR(
  IF(
    COUNTIF(A$2:A$1997, A589) &gt; 1,
    MIN(IF(A$2:A$1997=A589, IF(B$2:B$1997&gt;B589, B$2:B$1997))) - B589,
    TODAY() - Table3[[#This Row],[Date of Update]]
  ),
  TODAY()-Table3[[#This Row],[Date of Update]]
)))</f>
        <v>14</v>
      </c>
      <c r="G589" s="40" t="str">
        <f>IF(Table3[[#This Row],[Stage]]="Closed",Table3[[#This Row],[Date of Update]]-(_xlfn.MINIFS(Table3[Date of Update],Table3[Ref], Table3[[#This Row],[Ref]])),"")</f>
        <v/>
      </c>
    </row>
    <row r="590" spans="1:7" x14ac:dyDescent="0.25">
      <c r="A590" s="39" t="s">
        <v>1339</v>
      </c>
      <c r="B590" s="33">
        <v>45120</v>
      </c>
      <c r="C590" s="32" t="s">
        <v>169</v>
      </c>
      <c r="D590" s="32" t="s">
        <v>4</v>
      </c>
      <c r="E590" s="32" t="s">
        <v>778</v>
      </c>
      <c r="F590" s="32" cm="1">
        <f t="array" aca="1" ref="F590" ca="1">IF(Table3[[#This Row],[Stage]]="Closed",0,IF(IFERROR(
  IF(
    COUNTIF(A$2:A$1997, A590) &gt; 1,
    MIN(IF(A$2:A$1997=A590, IF(B$2:B$1997&gt;B590, B$2:B$1997))) - B590,
    TODAY() - Table3[[#This Row],[Date of Update]]
  ),
  TODAY()-Table3[[#This Row],[Date of Update]]
)&lt;=0,
TODAY()-Table3[[#This Row],[Date of Update]],
IFERROR(
  IF(
    COUNTIF(A$2:A$1997, A590) &gt; 1,
    MIN(IF(A$2:A$1997=A590, IF(B$2:B$1997&gt;B590, B$2:B$1997))) - B590,
    TODAY() - Table3[[#This Row],[Date of Update]]
  ),
  TODAY()-Table3[[#This Row],[Date of Update]]
)))</f>
        <v>0</v>
      </c>
      <c r="G590" s="40">
        <f>IF(Table3[[#This Row],[Stage]]="Closed",Table3[[#This Row],[Date of Update]]-(_xlfn.MINIFS(Table3[Date of Update],Table3[Ref], Table3[[#This Row],[Ref]])),"")</f>
        <v>85</v>
      </c>
    </row>
    <row r="591" spans="1:7" x14ac:dyDescent="0.25">
      <c r="A591" s="39" t="s">
        <v>1361</v>
      </c>
      <c r="B591" s="33">
        <v>45120</v>
      </c>
      <c r="C591" s="32" t="s">
        <v>23</v>
      </c>
      <c r="D591" s="32" t="s">
        <v>4</v>
      </c>
      <c r="E591" s="32" t="s">
        <v>715</v>
      </c>
      <c r="F591" s="32" cm="1">
        <f t="array" aca="1" ref="F591" ca="1">IF(Table3[[#This Row],[Stage]]="Closed",0,IF(IFERROR(
  IF(
    COUNTIF(A$2:A$1997, A591) &gt; 1,
    MIN(IF(A$2:A$1997=A591, IF(B$2:B$1997&gt;B591, B$2:B$1997))) - B591,
    TODAY() - Table3[[#This Row],[Date of Update]]
  ),
  TODAY()-Table3[[#This Row],[Date of Update]]
)&lt;=0,
TODAY()-Table3[[#This Row],[Date of Update]],
IFERROR(
  IF(
    COUNTIF(A$2:A$1997, A591) &gt; 1,
    MIN(IF(A$2:A$1997=A591, IF(B$2:B$1997&gt;B591, B$2:B$1997))) - B591,
    TODAY() - Table3[[#This Row],[Date of Update]]
  ),
  TODAY()-Table3[[#This Row],[Date of Update]]
)))</f>
        <v>14</v>
      </c>
      <c r="G591" s="40" t="str">
        <f>IF(Table3[[#This Row],[Stage]]="Closed",Table3[[#This Row],[Date of Update]]-(_xlfn.MINIFS(Table3[Date of Update],Table3[Ref], Table3[[#This Row],[Ref]])),"")</f>
        <v/>
      </c>
    </row>
    <row r="592" spans="1:7" x14ac:dyDescent="0.25">
      <c r="A592" s="39" t="s">
        <v>1348</v>
      </c>
      <c r="B592" s="33">
        <v>45123</v>
      </c>
      <c r="C592" s="32" t="s">
        <v>23</v>
      </c>
      <c r="D592" s="32" t="s">
        <v>4</v>
      </c>
      <c r="E592" s="32" t="s">
        <v>453</v>
      </c>
      <c r="F592" s="32" cm="1">
        <f t="array" aca="1" ref="F592" ca="1">IF(Table3[[#This Row],[Stage]]="Closed",0,IF(IFERROR(
  IF(
    COUNTIF(A$2:A$1997, A592) &gt; 1,
    MIN(IF(A$2:A$1997=A592, IF(B$2:B$1997&gt;B592, B$2:B$1997))) - B592,
    TODAY() - Table3[[#This Row],[Date of Update]]
  ),
  TODAY()-Table3[[#This Row],[Date of Update]]
)&lt;=0,
TODAY()-Table3[[#This Row],[Date of Update]],
IFERROR(
  IF(
    COUNTIF(A$2:A$1997, A592) &gt; 1,
    MIN(IF(A$2:A$1997=A592, IF(B$2:B$1997&gt;B592, B$2:B$1997))) - B592,
    TODAY() - Table3[[#This Row],[Date of Update]]
  ),
  TODAY()-Table3[[#This Row],[Date of Update]]
)))</f>
        <v>12</v>
      </c>
      <c r="G592" s="40" t="str">
        <f>IF(Table3[[#This Row],[Stage]]="Closed",Table3[[#This Row],[Date of Update]]-(_xlfn.MINIFS(Table3[Date of Update],Table3[Ref], Table3[[#This Row],[Ref]])),"")</f>
        <v/>
      </c>
    </row>
    <row r="593" spans="1:7" x14ac:dyDescent="0.25">
      <c r="A593" s="39" t="s">
        <v>1493</v>
      </c>
      <c r="B593" s="33">
        <v>45125</v>
      </c>
      <c r="C593" s="32" t="s">
        <v>23</v>
      </c>
      <c r="D593" s="32" t="s">
        <v>4</v>
      </c>
      <c r="E593" s="32" t="s">
        <v>780</v>
      </c>
      <c r="F593" s="32" cm="1">
        <f t="array" aca="1" ref="F593" ca="1">IF(Table3[[#This Row],[Stage]]="Closed",0,IF(IFERROR(
  IF(
    COUNTIF(A$2:A$1997, A593) &gt; 1,
    MIN(IF(A$2:A$1997=A593, IF(B$2:B$1997&gt;B593, B$2:B$1997))) - B593,
    TODAY() - Table3[[#This Row],[Date of Update]]
  ),
  TODAY()-Table3[[#This Row],[Date of Update]]
)&lt;=0,
TODAY()-Table3[[#This Row],[Date of Update]],
IFERROR(
  IF(
    COUNTIF(A$2:A$1997, A593) &gt; 1,
    MIN(IF(A$2:A$1997=A593, IF(B$2:B$1997&gt;B593, B$2:B$1997))) - B593,
    TODAY() - Table3[[#This Row],[Date of Update]]
  ),
  TODAY()-Table3[[#This Row],[Date of Update]]
)))</f>
        <v>3</v>
      </c>
      <c r="G593" s="40" t="str">
        <f>IF(Table3[[#This Row],[Stage]]="Closed",Table3[[#This Row],[Date of Update]]-(_xlfn.MINIFS(Table3[Date of Update],Table3[Ref], Table3[[#This Row],[Ref]])),"")</f>
        <v/>
      </c>
    </row>
    <row r="594" spans="1:7" x14ac:dyDescent="0.25">
      <c r="A594" s="39" t="s">
        <v>1341</v>
      </c>
      <c r="B594" s="33">
        <v>45126</v>
      </c>
      <c r="C594" s="32" t="s">
        <v>23</v>
      </c>
      <c r="D594" s="32" t="s">
        <v>4</v>
      </c>
      <c r="E594" s="32" t="s">
        <v>783</v>
      </c>
      <c r="F594" s="32" cm="1">
        <f t="array" aca="1" ref="F594" ca="1">IF(Table3[[#This Row],[Stage]]="Closed",0,IF(IFERROR(
  IF(
    COUNTIF(A$2:A$1997, A594) &gt; 1,
    MIN(IF(A$2:A$1997=A594, IF(B$2:B$1997&gt;B594, B$2:B$1997))) - B594,
    TODAY() - Table3[[#This Row],[Date of Update]]
  ),
  TODAY()-Table3[[#This Row],[Date of Update]]
)&lt;=0,
TODAY()-Table3[[#This Row],[Date of Update]],
IFERROR(
  IF(
    COUNTIF(A$2:A$1997, A594) &gt; 1,
    MIN(IF(A$2:A$1997=A594, IF(B$2:B$1997&gt;B594, B$2:B$1997))) - B594,
    TODAY() - Table3[[#This Row],[Date of Update]]
  ),
  TODAY()-Table3[[#This Row],[Date of Update]]
)))</f>
        <v>2</v>
      </c>
      <c r="G594" s="40" t="str">
        <f>IF(Table3[[#This Row],[Stage]]="Closed",Table3[[#This Row],[Date of Update]]-(_xlfn.MINIFS(Table3[Date of Update],Table3[Ref], Table3[[#This Row],[Ref]])),"")</f>
        <v/>
      </c>
    </row>
    <row r="595" spans="1:7" x14ac:dyDescent="0.25">
      <c r="A595" s="39" t="s">
        <v>1340</v>
      </c>
      <c r="B595" s="33">
        <v>45127</v>
      </c>
      <c r="C595" s="32" t="s">
        <v>169</v>
      </c>
      <c r="D595" s="32" t="s">
        <v>4</v>
      </c>
      <c r="E595" s="32" t="s">
        <v>453</v>
      </c>
      <c r="F595" s="32" cm="1">
        <f t="array" aca="1" ref="F595" ca="1">IF(Table3[[#This Row],[Stage]]="Closed",0,IF(IFERROR(
  IF(
    COUNTIF(A$2:A$1997, A595) &gt; 1,
    MIN(IF(A$2:A$1997=A595, IF(B$2:B$1997&gt;B595, B$2:B$1997))) - B595,
    TODAY() - Table3[[#This Row],[Date of Update]]
  ),
  TODAY()-Table3[[#This Row],[Date of Update]]
)&lt;=0,
TODAY()-Table3[[#This Row],[Date of Update]],
IFERROR(
  IF(
    COUNTIF(A$2:A$1997, A595) &gt; 1,
    MIN(IF(A$2:A$1997=A595, IF(B$2:B$1997&gt;B595, B$2:B$1997))) - B595,
    TODAY() - Table3[[#This Row],[Date of Update]]
  ),
  TODAY()-Table3[[#This Row],[Date of Update]]
)))</f>
        <v>0</v>
      </c>
      <c r="G595" s="40">
        <f>IF(Table3[[#This Row],[Stage]]="Closed",Table3[[#This Row],[Date of Update]]-(_xlfn.MINIFS(Table3[Date of Update],Table3[Ref], Table3[[#This Row],[Ref]])),"")</f>
        <v>31</v>
      </c>
    </row>
    <row r="596" spans="1:7" x14ac:dyDescent="0.25">
      <c r="A596" s="39" t="s">
        <v>1392</v>
      </c>
      <c r="B596" s="33">
        <v>45127</v>
      </c>
      <c r="C596" s="32" t="s">
        <v>23</v>
      </c>
      <c r="D596" s="32" t="s">
        <v>4</v>
      </c>
      <c r="E596" s="32" t="s">
        <v>453</v>
      </c>
      <c r="F596" s="32" cm="1">
        <f t="array" aca="1" ref="F596" ca="1">IF(Table3[[#This Row],[Stage]]="Closed",0,IF(IFERROR(
  IF(
    COUNTIF(A$2:A$1997, A596) &gt; 1,
    MIN(IF(A$2:A$1997=A596, IF(B$2:B$1997&gt;B596, B$2:B$1997))) - B596,
    TODAY() - Table3[[#This Row],[Date of Update]]
  ),
  TODAY()-Table3[[#This Row],[Date of Update]]
)&lt;=0,
TODAY()-Table3[[#This Row],[Date of Update]],
IFERROR(
  IF(
    COUNTIF(A$2:A$1997, A596) &gt; 1,
    MIN(IF(A$2:A$1997=A596, IF(B$2:B$1997&gt;B596, B$2:B$1997))) - B596,
    TODAY() - Table3[[#This Row],[Date of Update]]
  ),
  TODAY()-Table3[[#This Row],[Date of Update]]
)))</f>
        <v>104</v>
      </c>
      <c r="G596" s="40" t="str">
        <f>IF(Table3[[#This Row],[Stage]]="Closed",Table3[[#This Row],[Date of Update]]-(_xlfn.MINIFS(Table3[Date of Update],Table3[Ref], Table3[[#This Row],[Ref]])),"")</f>
        <v/>
      </c>
    </row>
    <row r="597" spans="1:7" x14ac:dyDescent="0.25">
      <c r="A597" s="39" t="s">
        <v>1493</v>
      </c>
      <c r="B597" s="33">
        <v>45128</v>
      </c>
      <c r="C597" s="32" t="s">
        <v>169</v>
      </c>
      <c r="D597" s="32" t="s">
        <v>4</v>
      </c>
      <c r="E597" s="32" t="s">
        <v>780</v>
      </c>
      <c r="F597" s="32" cm="1">
        <f t="array" aca="1" ref="F597" ca="1">IF(Table3[[#This Row],[Stage]]="Closed",0,IF(IFERROR(
  IF(
    COUNTIF(A$2:A$1997, A597) &gt; 1,
    MIN(IF(A$2:A$1997=A597, IF(B$2:B$1997&gt;B597, B$2:B$1997))) - B597,
    TODAY() - Table3[[#This Row],[Date of Update]]
  ),
  TODAY()-Table3[[#This Row],[Date of Update]]
)&lt;=0,
TODAY()-Table3[[#This Row],[Date of Update]],
IFERROR(
  IF(
    COUNTIF(A$2:A$1997, A597) &gt; 1,
    MIN(IF(A$2:A$1997=A597, IF(B$2:B$1997&gt;B597, B$2:B$1997))) - B597,
    TODAY() - Table3[[#This Row],[Date of Update]]
  ),
  TODAY()-Table3[[#This Row],[Date of Update]]
)))</f>
        <v>0</v>
      </c>
      <c r="G597" s="40">
        <f>IF(Table3[[#This Row],[Stage]]="Closed",Table3[[#This Row],[Date of Update]]-(_xlfn.MINIFS(Table3[Date of Update],Table3[Ref], Table3[[#This Row],[Ref]])),"")</f>
        <v>3</v>
      </c>
    </row>
    <row r="598" spans="1:7" x14ac:dyDescent="0.25">
      <c r="A598" s="39" t="s">
        <v>1341</v>
      </c>
      <c r="B598" s="33">
        <v>45128</v>
      </c>
      <c r="C598" s="32" t="s">
        <v>169</v>
      </c>
      <c r="D598" s="32" t="s">
        <v>4</v>
      </c>
      <c r="E598" s="32" t="s">
        <v>783</v>
      </c>
      <c r="F598" s="32" cm="1">
        <f t="array" aca="1" ref="F598" ca="1">IF(Table3[[#This Row],[Stage]]="Closed",0,IF(IFERROR(
  IF(
    COUNTIF(A$2:A$1997, A598) &gt; 1,
    MIN(IF(A$2:A$1997=A598, IF(B$2:B$1997&gt;B598, B$2:B$1997))) - B598,
    TODAY() - Table3[[#This Row],[Date of Update]]
  ),
  TODAY()-Table3[[#This Row],[Date of Update]]
)&lt;=0,
TODAY()-Table3[[#This Row],[Date of Update]],
IFERROR(
  IF(
    COUNTIF(A$2:A$1997, A598) &gt; 1,
    MIN(IF(A$2:A$1997=A598, IF(B$2:B$1997&gt;B598, B$2:B$1997))) - B598,
    TODAY() - Table3[[#This Row],[Date of Update]]
  ),
  TODAY()-Table3[[#This Row],[Date of Update]]
)))</f>
        <v>0</v>
      </c>
      <c r="G598" s="40">
        <f>IF(Table3[[#This Row],[Stage]]="Closed",Table3[[#This Row],[Date of Update]]-(_xlfn.MINIFS(Table3[Date of Update],Table3[Ref], Table3[[#This Row],[Ref]])),"")</f>
        <v>2</v>
      </c>
    </row>
    <row r="599" spans="1:7" x14ac:dyDescent="0.25">
      <c r="A599" s="39" t="s">
        <v>1358</v>
      </c>
      <c r="B599" s="33">
        <v>45132</v>
      </c>
      <c r="C599" s="32" t="s">
        <v>23</v>
      </c>
      <c r="D599" s="32" t="s">
        <v>4</v>
      </c>
      <c r="E599" s="32" t="s">
        <v>827</v>
      </c>
      <c r="F599" s="32" cm="1">
        <f t="array" aca="1" ref="F599" ca="1">IF(Table3[[#This Row],[Stage]]="Closed",0,IF(IFERROR(
  IF(
    COUNTIF(A$2:A$1997, A599) &gt; 1,
    MIN(IF(A$2:A$1997=A599, IF(B$2:B$1997&gt;B599, B$2:B$1997))) - B599,
    TODAY() - Table3[[#This Row],[Date of Update]]
  ),
  TODAY()-Table3[[#This Row],[Date of Update]]
)&lt;=0,
TODAY()-Table3[[#This Row],[Date of Update]],
IFERROR(
  IF(
    COUNTIF(A$2:A$1997, A599) &gt; 1,
    MIN(IF(A$2:A$1997=A599, IF(B$2:B$1997&gt;B599, B$2:B$1997))) - B599,
    TODAY() - Table3[[#This Row],[Date of Update]]
  ),
  TODAY()-Table3[[#This Row],[Date of Update]]
)))</f>
        <v>15</v>
      </c>
      <c r="G599" s="40" t="str">
        <f>IF(Table3[[#This Row],[Stage]]="Closed",Table3[[#This Row],[Date of Update]]-(_xlfn.MINIFS(Table3[Date of Update],Table3[Ref], Table3[[#This Row],[Ref]])),"")</f>
        <v/>
      </c>
    </row>
    <row r="600" spans="1:7" x14ac:dyDescent="0.25">
      <c r="A600" s="39" t="s">
        <v>1439</v>
      </c>
      <c r="B600" s="33">
        <v>45132</v>
      </c>
      <c r="C600" s="32" t="s">
        <v>23</v>
      </c>
      <c r="D600" s="32" t="s">
        <v>4</v>
      </c>
      <c r="E600" s="32" t="s">
        <v>980</v>
      </c>
      <c r="F600" s="32" cm="1">
        <f t="array" aca="1" ref="F600" ca="1">IF(Table3[[#This Row],[Stage]]="Closed",0,IF(IFERROR(
  IF(
    COUNTIF(A$2:A$1997, A600) &gt; 1,
    MIN(IF(A$2:A$1997=A600, IF(B$2:B$1997&gt;B600, B$2:B$1997))) - B600,
    TODAY() - Table3[[#This Row],[Date of Update]]
  ),
  TODAY()-Table3[[#This Row],[Date of Update]]
)&lt;=0,
TODAY()-Table3[[#This Row],[Date of Update]],
IFERROR(
  IF(
    COUNTIF(A$2:A$1997, A600) &gt; 1,
    MIN(IF(A$2:A$1997=A600, IF(B$2:B$1997&gt;B600, B$2:B$1997))) - B600,
    TODAY() - Table3[[#This Row],[Date of Update]]
  ),
  TODAY()-Table3[[#This Row],[Date of Update]]
)))</f>
        <v>255</v>
      </c>
      <c r="G600" s="40" t="str">
        <f>IF(Table3[[#This Row],[Stage]]="Closed",Table3[[#This Row],[Date of Update]]-(_xlfn.MINIFS(Table3[Date of Update],Table3[Ref], Table3[[#This Row],[Ref]])),"")</f>
        <v/>
      </c>
    </row>
    <row r="601" spans="1:7" x14ac:dyDescent="0.25">
      <c r="A601" s="39" t="s">
        <v>1349</v>
      </c>
      <c r="B601" s="33">
        <v>45134</v>
      </c>
      <c r="C601" s="32" t="s">
        <v>169</v>
      </c>
      <c r="D601" s="32" t="s">
        <v>4</v>
      </c>
      <c r="E601" s="32" t="s">
        <v>803</v>
      </c>
      <c r="F601" s="32" cm="1">
        <f t="array" aca="1" ref="F601" ca="1">IF(Table3[[#This Row],[Stage]]="Closed",0,IF(IFERROR(
  IF(
    COUNTIF(A$2:A$1997, A601) &gt; 1,
    MIN(IF(A$2:A$1997=A601, IF(B$2:B$1997&gt;B601, B$2:B$1997))) - B601,
    TODAY() - Table3[[#This Row],[Date of Update]]
  ),
  TODAY()-Table3[[#This Row],[Date of Update]]
)&lt;=0,
TODAY()-Table3[[#This Row],[Date of Update]],
IFERROR(
  IF(
    COUNTIF(A$2:A$1997, A601) &gt; 1,
    MIN(IF(A$2:A$1997=A601, IF(B$2:B$1997&gt;B601, B$2:B$1997))) - B601,
    TODAY() - Table3[[#This Row],[Date of Update]]
  ),
  TODAY()-Table3[[#This Row],[Date of Update]]
)))</f>
        <v>0</v>
      </c>
      <c r="G601" s="40">
        <f>IF(Table3[[#This Row],[Stage]]="Closed",Table3[[#This Row],[Date of Update]]-(_xlfn.MINIFS(Table3[Date of Update],Table3[Ref], Table3[[#This Row],[Ref]])),"")</f>
        <v>31</v>
      </c>
    </row>
    <row r="602" spans="1:7" x14ac:dyDescent="0.25">
      <c r="A602" s="39" t="s">
        <v>1360</v>
      </c>
      <c r="B602" s="33">
        <v>45134</v>
      </c>
      <c r="C602" s="32" t="s">
        <v>169</v>
      </c>
      <c r="D602" s="32" t="s">
        <v>4</v>
      </c>
      <c r="E602" s="32" t="s">
        <v>715</v>
      </c>
      <c r="F602" s="32" cm="1">
        <f t="array" aca="1" ref="F602" ca="1">IF(Table3[[#This Row],[Stage]]="Closed",0,IF(IFERROR(
  IF(
    COUNTIF(A$2:A$1997, A602) &gt; 1,
    MIN(IF(A$2:A$1997=A602, IF(B$2:B$1997&gt;B602, B$2:B$1997))) - B602,
    TODAY() - Table3[[#This Row],[Date of Update]]
  ),
  TODAY()-Table3[[#This Row],[Date of Update]]
)&lt;=0,
TODAY()-Table3[[#This Row],[Date of Update]],
IFERROR(
  IF(
    COUNTIF(A$2:A$1997, A602) &gt; 1,
    MIN(IF(A$2:A$1997=A602, IF(B$2:B$1997&gt;B602, B$2:B$1997))) - B602,
    TODAY() - Table3[[#This Row],[Date of Update]]
  ),
  TODAY()-Table3[[#This Row],[Date of Update]]
)))</f>
        <v>0</v>
      </c>
      <c r="G602" s="40">
        <f>IF(Table3[[#This Row],[Stage]]="Closed",Table3[[#This Row],[Date of Update]]-(_xlfn.MINIFS(Table3[Date of Update],Table3[Ref], Table3[[#This Row],[Ref]])),"")</f>
        <v>14</v>
      </c>
    </row>
    <row r="603" spans="1:7" x14ac:dyDescent="0.25">
      <c r="A603" s="39" t="s">
        <v>1311</v>
      </c>
      <c r="B603" s="33">
        <v>45134</v>
      </c>
      <c r="C603" s="32" t="s">
        <v>169</v>
      </c>
      <c r="D603" s="32" t="s">
        <v>4</v>
      </c>
      <c r="E603" s="32" t="s">
        <v>727</v>
      </c>
      <c r="F603" s="32" cm="1">
        <f t="array" aca="1" ref="F603" ca="1">IF(Table3[[#This Row],[Stage]]="Closed",0,IF(IFERROR(
  IF(
    COUNTIF(A$2:A$1997, A603) &gt; 1,
    MIN(IF(A$2:A$1997=A603, IF(B$2:B$1997&gt;B603, B$2:B$1997))) - B603,
    TODAY() - Table3[[#This Row],[Date of Update]]
  ),
  TODAY()-Table3[[#This Row],[Date of Update]]
)&lt;=0,
TODAY()-Table3[[#This Row],[Date of Update]],
IFERROR(
  IF(
    COUNTIF(A$2:A$1997, A603) &gt; 1,
    MIN(IF(A$2:A$1997=A603, IF(B$2:B$1997&gt;B603, B$2:B$1997))) - B603,
    TODAY() - Table3[[#This Row],[Date of Update]]
  ),
  TODAY()-Table3[[#This Row],[Date of Update]]
)))</f>
        <v>0</v>
      </c>
      <c r="G603" s="40">
        <f>IF(Table3[[#This Row],[Stage]]="Closed",Table3[[#This Row],[Date of Update]]-(_xlfn.MINIFS(Table3[Date of Update],Table3[Ref], Table3[[#This Row],[Ref]])),"")</f>
        <v>71</v>
      </c>
    </row>
    <row r="604" spans="1:7" x14ac:dyDescent="0.25">
      <c r="A604" s="39" t="s">
        <v>1321</v>
      </c>
      <c r="B604" s="33">
        <v>45134</v>
      </c>
      <c r="C604" s="32" t="s">
        <v>169</v>
      </c>
      <c r="D604" s="32" t="s">
        <v>4</v>
      </c>
      <c r="E604" s="32" t="s">
        <v>48</v>
      </c>
      <c r="F604" s="32" cm="1">
        <f t="array" aca="1" ref="F604" ca="1">IF(Table3[[#This Row],[Stage]]="Closed",0,IF(IFERROR(
  IF(
    COUNTIF(A$2:A$1997, A604) &gt; 1,
    MIN(IF(A$2:A$1997=A604, IF(B$2:B$1997&gt;B604, B$2:B$1997))) - B604,
    TODAY() - Table3[[#This Row],[Date of Update]]
  ),
  TODAY()-Table3[[#This Row],[Date of Update]]
)&lt;=0,
TODAY()-Table3[[#This Row],[Date of Update]],
IFERROR(
  IF(
    COUNTIF(A$2:A$1997, A604) &gt; 1,
    MIN(IF(A$2:A$1997=A604, IF(B$2:B$1997&gt;B604, B$2:B$1997))) - B604,
    TODAY() - Table3[[#This Row],[Date of Update]]
  ),
  TODAY()-Table3[[#This Row],[Date of Update]]
)))</f>
        <v>0</v>
      </c>
      <c r="G604" s="40">
        <f>IF(Table3[[#This Row],[Stage]]="Closed",Table3[[#This Row],[Date of Update]]-(_xlfn.MINIFS(Table3[Date of Update],Table3[Ref], Table3[[#This Row],[Ref]])),"")</f>
        <v>57</v>
      </c>
    </row>
    <row r="605" spans="1:7" x14ac:dyDescent="0.25">
      <c r="A605" s="39" t="s">
        <v>1361</v>
      </c>
      <c r="B605" s="33">
        <v>45134</v>
      </c>
      <c r="C605" s="32" t="s">
        <v>169</v>
      </c>
      <c r="D605" s="32" t="s">
        <v>4</v>
      </c>
      <c r="E605" s="32" t="s">
        <v>715</v>
      </c>
      <c r="F605" s="32" cm="1">
        <f t="array" aca="1" ref="F605" ca="1">IF(Table3[[#This Row],[Stage]]="Closed",0,IF(IFERROR(
  IF(
    COUNTIF(A$2:A$1997, A605) &gt; 1,
    MIN(IF(A$2:A$1997=A605, IF(B$2:B$1997&gt;B605, B$2:B$1997))) - B605,
    TODAY() - Table3[[#This Row],[Date of Update]]
  ),
  TODAY()-Table3[[#This Row],[Date of Update]]
)&lt;=0,
TODAY()-Table3[[#This Row],[Date of Update]],
IFERROR(
  IF(
    COUNTIF(A$2:A$1997, A605) &gt; 1,
    MIN(IF(A$2:A$1997=A605, IF(B$2:B$1997&gt;B605, B$2:B$1997))) - B605,
    TODAY() - Table3[[#This Row],[Date of Update]]
  ),
  TODAY()-Table3[[#This Row],[Date of Update]]
)))</f>
        <v>0</v>
      </c>
      <c r="G605" s="40">
        <f>IF(Table3[[#This Row],[Stage]]="Closed",Table3[[#This Row],[Date of Update]]-(_xlfn.MINIFS(Table3[Date of Update],Table3[Ref], Table3[[#This Row],[Ref]])),"")</f>
        <v>14</v>
      </c>
    </row>
    <row r="606" spans="1:7" x14ac:dyDescent="0.25">
      <c r="A606" s="39" t="s">
        <v>1359</v>
      </c>
      <c r="B606" s="33">
        <v>45135</v>
      </c>
      <c r="C606" s="32" t="s">
        <v>23</v>
      </c>
      <c r="D606" s="32" t="s">
        <v>4</v>
      </c>
      <c r="E606" s="32" t="s">
        <v>469</v>
      </c>
      <c r="F606" s="32" cm="1">
        <f t="array" aca="1" ref="F606" ca="1">IF(Table3[[#This Row],[Stage]]="Closed",0,IF(IFERROR(
  IF(
    COUNTIF(A$2:A$1997, A606) &gt; 1,
    MIN(IF(A$2:A$1997=A606, IF(B$2:B$1997&gt;B606, B$2:B$1997))) - B606,
    TODAY() - Table3[[#This Row],[Date of Update]]
  ),
  TODAY()-Table3[[#This Row],[Date of Update]]
)&lt;=0,
TODAY()-Table3[[#This Row],[Date of Update]],
IFERROR(
  IF(
    COUNTIF(A$2:A$1997, A606) &gt; 1,
    MIN(IF(A$2:A$1997=A606, IF(B$2:B$1997&gt;B606, B$2:B$1997))) - B606,
    TODAY() - Table3[[#This Row],[Date of Update]]
  ),
  TODAY()-Table3[[#This Row],[Date of Update]]
)))</f>
        <v>12</v>
      </c>
      <c r="G606" s="40" t="str">
        <f>IF(Table3[[#This Row],[Stage]]="Closed",Table3[[#This Row],[Date of Update]]-(_xlfn.MINIFS(Table3[Date of Update],Table3[Ref], Table3[[#This Row],[Ref]])),"")</f>
        <v/>
      </c>
    </row>
    <row r="607" spans="1:7" x14ac:dyDescent="0.25">
      <c r="A607" s="39" t="s">
        <v>1348</v>
      </c>
      <c r="B607" s="33">
        <v>45135</v>
      </c>
      <c r="C607" s="32" t="s">
        <v>169</v>
      </c>
      <c r="D607" s="32" t="s">
        <v>4</v>
      </c>
      <c r="E607" s="32" t="s">
        <v>453</v>
      </c>
      <c r="F607" s="32" cm="1">
        <f t="array" aca="1" ref="F607" ca="1">IF(Table3[[#This Row],[Stage]]="Closed",0,IF(IFERROR(
  IF(
    COUNTIF(A$2:A$1997, A607) &gt; 1,
    MIN(IF(A$2:A$1997=A607, IF(B$2:B$1997&gt;B607, B$2:B$1997))) - B607,
    TODAY() - Table3[[#This Row],[Date of Update]]
  ),
  TODAY()-Table3[[#This Row],[Date of Update]]
)&lt;=0,
TODAY()-Table3[[#This Row],[Date of Update]],
IFERROR(
  IF(
    COUNTIF(A$2:A$1997, A607) &gt; 1,
    MIN(IF(A$2:A$1997=A607, IF(B$2:B$1997&gt;B607, B$2:B$1997))) - B607,
    TODAY() - Table3[[#This Row],[Date of Update]]
  ),
  TODAY()-Table3[[#This Row],[Date of Update]]
)))</f>
        <v>0</v>
      </c>
      <c r="G607" s="40">
        <f>IF(Table3[[#This Row],[Stage]]="Closed",Table3[[#This Row],[Date of Update]]-(_xlfn.MINIFS(Table3[Date of Update],Table3[Ref], Table3[[#This Row],[Ref]])),"")</f>
        <v>12</v>
      </c>
    </row>
    <row r="608" spans="1:7" x14ac:dyDescent="0.25">
      <c r="A608" s="39" t="s">
        <v>1352</v>
      </c>
      <c r="B608" s="33">
        <v>45135</v>
      </c>
      <c r="C608" s="32" t="s">
        <v>23</v>
      </c>
      <c r="D608" s="32" t="s">
        <v>4</v>
      </c>
      <c r="E608" s="32" t="s">
        <v>70</v>
      </c>
      <c r="F608" s="32" cm="1">
        <f t="array" aca="1" ref="F608" ca="1">IF(Table3[[#This Row],[Stage]]="Closed",0,IF(IFERROR(
  IF(
    COUNTIF(A$2:A$1997, A608) &gt; 1,
    MIN(IF(A$2:A$1997=A608, IF(B$2:B$1997&gt;B608, B$2:B$1997))) - B608,
    TODAY() - Table3[[#This Row],[Date of Update]]
  ),
  TODAY()-Table3[[#This Row],[Date of Update]]
)&lt;=0,
TODAY()-Table3[[#This Row],[Date of Update]],
IFERROR(
  IF(
    COUNTIF(A$2:A$1997, A608) &gt; 1,
    MIN(IF(A$2:A$1997=A608, IF(B$2:B$1997&gt;B608, B$2:B$1997))) - B608,
    TODAY() - Table3[[#This Row],[Date of Update]]
  ),
  TODAY()-Table3[[#This Row],[Date of Update]]
)))</f>
        <v>7</v>
      </c>
      <c r="G608" s="40" t="str">
        <f>IF(Table3[[#This Row],[Stage]]="Closed",Table3[[#This Row],[Date of Update]]-(_xlfn.MINIFS(Table3[Date of Update],Table3[Ref], Table3[[#This Row],[Ref]])),"")</f>
        <v/>
      </c>
    </row>
    <row r="609" spans="1:7" x14ac:dyDescent="0.25">
      <c r="A609" s="39" t="s">
        <v>1353</v>
      </c>
      <c r="B609" s="33">
        <v>45135</v>
      </c>
      <c r="C609" s="32" t="s">
        <v>23</v>
      </c>
      <c r="D609" s="32" t="s">
        <v>4</v>
      </c>
      <c r="E609" s="32" t="s">
        <v>814</v>
      </c>
      <c r="F609" s="32" cm="1">
        <f t="array" aca="1" ref="F609" ca="1">IF(Table3[[#This Row],[Stage]]="Closed",0,IF(IFERROR(
  IF(
    COUNTIF(A$2:A$1997, A609) &gt; 1,
    MIN(IF(A$2:A$1997=A609, IF(B$2:B$1997&gt;B609, B$2:B$1997))) - B609,
    TODAY() - Table3[[#This Row],[Date of Update]]
  ),
  TODAY()-Table3[[#This Row],[Date of Update]]
)&lt;=0,
TODAY()-Table3[[#This Row],[Date of Update]],
IFERROR(
  IF(
    COUNTIF(A$2:A$1997, A609) &gt; 1,
    MIN(IF(A$2:A$1997=A609, IF(B$2:B$1997&gt;B609, B$2:B$1997))) - B609,
    TODAY() - Table3[[#This Row],[Date of Update]]
  ),
  TODAY()-Table3[[#This Row],[Date of Update]]
)))</f>
        <v>7</v>
      </c>
      <c r="G609" s="40" t="str">
        <f>IF(Table3[[#This Row],[Stage]]="Closed",Table3[[#This Row],[Date of Update]]-(_xlfn.MINIFS(Table3[Date of Update],Table3[Ref], Table3[[#This Row],[Ref]])),"")</f>
        <v/>
      </c>
    </row>
    <row r="610" spans="1:7" x14ac:dyDescent="0.25">
      <c r="A610" s="39" t="s">
        <v>1347</v>
      </c>
      <c r="B610" s="33">
        <v>45135</v>
      </c>
      <c r="C610" s="32" t="s">
        <v>169</v>
      </c>
      <c r="D610" s="32" t="s">
        <v>4</v>
      </c>
      <c r="E610" s="32" t="s">
        <v>645</v>
      </c>
      <c r="F610" s="32" cm="1">
        <f t="array" aca="1" ref="F610" ca="1">IF(Table3[[#This Row],[Stage]]="Closed",0,IF(IFERROR(
  IF(
    COUNTIF(A$2:A$1997, A610) &gt; 1,
    MIN(IF(A$2:A$1997=A610, IF(B$2:B$1997&gt;B610, B$2:B$1997))) - B610,
    TODAY() - Table3[[#This Row],[Date of Update]]
  ),
  TODAY()-Table3[[#This Row],[Date of Update]]
)&lt;=0,
TODAY()-Table3[[#This Row],[Date of Update]],
IFERROR(
  IF(
    COUNTIF(A$2:A$1997, A610) &gt; 1,
    MIN(IF(A$2:A$1997=A610, IF(B$2:B$1997&gt;B610, B$2:B$1997))) - B610,
    TODAY() - Table3[[#This Row],[Date of Update]]
  ),
  TODAY()-Table3[[#This Row],[Date of Update]]
)))</f>
        <v>0</v>
      </c>
      <c r="G610" s="40">
        <f>IF(Table3[[#This Row],[Stage]]="Closed",Table3[[#This Row],[Date of Update]]-(_xlfn.MINIFS(Table3[Date of Update],Table3[Ref], Table3[[#This Row],[Ref]])),"")</f>
        <v>164</v>
      </c>
    </row>
    <row r="611" spans="1:7" x14ac:dyDescent="0.25">
      <c r="A611" s="39" t="s">
        <v>1540</v>
      </c>
      <c r="B611" s="33">
        <v>45135</v>
      </c>
      <c r="C611" s="32" t="s">
        <v>169</v>
      </c>
      <c r="D611" s="32" t="s">
        <v>4</v>
      </c>
      <c r="E611" s="32" t="s">
        <v>169</v>
      </c>
      <c r="F611" s="32" cm="1">
        <f t="array" aca="1" ref="F611" ca="1">IF(Table3[[#This Row],[Stage]]="Closed",0,IF(IFERROR(
  IF(
    COUNTIF(A$2:A$1997, A611) &gt; 1,
    MIN(IF(A$2:A$1997=A611, IF(B$2:B$1997&gt;B611, B$2:B$1997))) - B611,
    TODAY() - Table3[[#This Row],[Date of Update]]
  ),
  TODAY()-Table3[[#This Row],[Date of Update]]
)&lt;=0,
TODAY()-Table3[[#This Row],[Date of Update]],
IFERROR(
  IF(
    COUNTIF(A$2:A$1997, A611) &gt; 1,
    MIN(IF(A$2:A$1997=A611, IF(B$2:B$1997&gt;B611, B$2:B$1997))) - B611,
    TODAY() - Table3[[#This Row],[Date of Update]]
  ),
  TODAY()-Table3[[#This Row],[Date of Update]]
)))</f>
        <v>0</v>
      </c>
      <c r="G611" s="40">
        <f>IF(Table3[[#This Row],[Stage]]="Closed",Table3[[#This Row],[Date of Update]]-(_xlfn.MINIFS(Table3[Date of Update],Table3[Ref], Table3[[#This Row],[Ref]])),"")</f>
        <v>238</v>
      </c>
    </row>
    <row r="612" spans="1:7" x14ac:dyDescent="0.25">
      <c r="A612" s="39" t="s">
        <v>1362</v>
      </c>
      <c r="B612" s="33">
        <v>45138</v>
      </c>
      <c r="C612" s="32" t="s">
        <v>23</v>
      </c>
      <c r="D612" s="32" t="s">
        <v>4</v>
      </c>
      <c r="E612" s="32" t="s">
        <v>521</v>
      </c>
      <c r="F612" s="32" cm="1">
        <f t="array" aca="1" ref="F612" ca="1">IF(Table3[[#This Row],[Stage]]="Closed",0,IF(IFERROR(
  IF(
    COUNTIF(A$2:A$1997, A612) &gt; 1,
    MIN(IF(A$2:A$1997=A612, IF(B$2:B$1997&gt;B612, B$2:B$1997))) - B612,
    TODAY() - Table3[[#This Row],[Date of Update]]
  ),
  TODAY()-Table3[[#This Row],[Date of Update]]
)&lt;=0,
TODAY()-Table3[[#This Row],[Date of Update]],
IFERROR(
  IF(
    COUNTIF(A$2:A$1997, A612) &gt; 1,
    MIN(IF(A$2:A$1997=A612, IF(B$2:B$1997&gt;B612, B$2:B$1997))) - B612,
    TODAY() - Table3[[#This Row],[Date of Update]]
  ),
  TODAY()-Table3[[#This Row],[Date of Update]]
)))</f>
        <v>597</v>
      </c>
      <c r="G612" s="40" t="str">
        <f>IF(Table3[[#This Row],[Stage]]="Closed",Table3[[#This Row],[Date of Update]]-(_xlfn.MINIFS(Table3[Date of Update],Table3[Ref], Table3[[#This Row],[Ref]])),"")</f>
        <v/>
      </c>
    </row>
    <row r="613" spans="1:7" x14ac:dyDescent="0.25">
      <c r="A613" s="39" t="s">
        <v>1362</v>
      </c>
      <c r="B613" s="33">
        <v>45138</v>
      </c>
      <c r="C613" s="32" t="s">
        <v>169</v>
      </c>
      <c r="D613" s="32" t="s">
        <v>4</v>
      </c>
      <c r="E613" s="32" t="s">
        <v>521</v>
      </c>
      <c r="F613" s="32" cm="1">
        <f t="array" aca="1" ref="F613" ca="1">IF(Table3[[#This Row],[Stage]]="Closed",0,IF(IFERROR(
  IF(
    COUNTIF(A$2:A$1997, A613) &gt; 1,
    MIN(IF(A$2:A$1997=A613, IF(B$2:B$1997&gt;B613, B$2:B$1997))) - B613,
    TODAY() - Table3[[#This Row],[Date of Update]]
  ),
  TODAY()-Table3[[#This Row],[Date of Update]]
)&lt;=0,
TODAY()-Table3[[#This Row],[Date of Update]],
IFERROR(
  IF(
    COUNTIF(A$2:A$1997, A613) &gt; 1,
    MIN(IF(A$2:A$1997=A613, IF(B$2:B$1997&gt;B613, B$2:B$1997))) - B613,
    TODAY() - Table3[[#This Row],[Date of Update]]
  ),
  TODAY()-Table3[[#This Row],[Date of Update]]
)))</f>
        <v>0</v>
      </c>
      <c r="G613" s="40">
        <f>IF(Table3[[#This Row],[Stage]]="Closed",Table3[[#This Row],[Date of Update]]-(_xlfn.MINIFS(Table3[Date of Update],Table3[Ref], Table3[[#This Row],[Ref]])),"")</f>
        <v>0</v>
      </c>
    </row>
    <row r="614" spans="1:7" x14ac:dyDescent="0.25">
      <c r="A614" s="39" t="s">
        <v>1489</v>
      </c>
      <c r="B614" s="33">
        <v>45139</v>
      </c>
      <c r="C614" s="32" t="s">
        <v>23</v>
      </c>
      <c r="D614" s="32" t="s">
        <v>4</v>
      </c>
      <c r="E614" s="32" t="s">
        <v>69</v>
      </c>
      <c r="F614" s="32" cm="1">
        <f t="array" aca="1" ref="F614" ca="1">IF(Table3[[#This Row],[Stage]]="Closed",0,IF(IFERROR(
  IF(
    COUNTIF(A$2:A$1997, A614) &gt; 1,
    MIN(IF(A$2:A$1997=A614, IF(B$2:B$1997&gt;B614, B$2:B$1997))) - B614,
    TODAY() - Table3[[#This Row],[Date of Update]]
  ),
  TODAY()-Table3[[#This Row],[Date of Update]]
)&lt;=0,
TODAY()-Table3[[#This Row],[Date of Update]],
IFERROR(
  IF(
    COUNTIF(A$2:A$1997, A614) &gt; 1,
    MIN(IF(A$2:A$1997=A614, IF(B$2:B$1997&gt;B614, B$2:B$1997))) - B614,
    TODAY() - Table3[[#This Row],[Date of Update]]
  ),
  TODAY()-Table3[[#This Row],[Date of Update]]
)))</f>
        <v>2</v>
      </c>
      <c r="G614" s="40" t="str">
        <f>IF(Table3[[#This Row],[Stage]]="Closed",Table3[[#This Row],[Date of Update]]-(_xlfn.MINIFS(Table3[Date of Update],Table3[Ref], Table3[[#This Row],[Ref]])),"")</f>
        <v/>
      </c>
    </row>
    <row r="615" spans="1:7" x14ac:dyDescent="0.25">
      <c r="A615" s="39" t="s">
        <v>1520</v>
      </c>
      <c r="B615" s="33">
        <v>45140</v>
      </c>
      <c r="C615" s="32" t="s">
        <v>23</v>
      </c>
      <c r="D615" s="32" t="s">
        <v>4</v>
      </c>
      <c r="E615" s="32" t="s">
        <v>469</v>
      </c>
      <c r="F615" s="32" cm="1">
        <f t="array" aca="1" ref="F615" ca="1">IF(Table3[[#This Row],[Stage]]="Closed",0,IF(IFERROR(
  IF(
    COUNTIF(A$2:A$1997, A615) &gt; 1,
    MIN(IF(A$2:A$1997=A615, IF(B$2:B$1997&gt;B615, B$2:B$1997))) - B615,
    TODAY() - Table3[[#This Row],[Date of Update]]
  ),
  TODAY()-Table3[[#This Row],[Date of Update]]
)&lt;=0,
TODAY()-Table3[[#This Row],[Date of Update]],
IFERROR(
  IF(
    COUNTIF(A$2:A$1997, A615) &gt; 1,
    MIN(IF(A$2:A$1997=A615, IF(B$2:B$1997&gt;B615, B$2:B$1997))) - B615,
    TODAY() - Table3[[#This Row],[Date of Update]]
  ),
  TODAY()-Table3[[#This Row],[Date of Update]]
)))</f>
        <v>2</v>
      </c>
      <c r="G615" s="40" t="str">
        <f>IF(Table3[[#This Row],[Stage]]="Closed",Table3[[#This Row],[Date of Update]]-(_xlfn.MINIFS(Table3[Date of Update],Table3[Ref], Table3[[#This Row],[Ref]])),"")</f>
        <v/>
      </c>
    </row>
    <row r="616" spans="1:7" x14ac:dyDescent="0.25">
      <c r="A616" s="39" t="s">
        <v>1423</v>
      </c>
      <c r="B616" s="33">
        <v>45140</v>
      </c>
      <c r="C616" s="32" t="s">
        <v>23</v>
      </c>
      <c r="D616" s="32" t="s">
        <v>4</v>
      </c>
      <c r="E616" s="32" t="s">
        <v>645</v>
      </c>
      <c r="F616" s="32" cm="1">
        <f t="array" aca="1" ref="F616" ca="1">IF(Table3[[#This Row],[Stage]]="Closed",0,IF(IFERROR(
  IF(
    COUNTIF(A$2:A$1997, A616) &gt; 1,
    MIN(IF(A$2:A$1997=A616, IF(B$2:B$1997&gt;B616, B$2:B$1997))) - B616,
    TODAY() - Table3[[#This Row],[Date of Update]]
  ),
  TODAY()-Table3[[#This Row],[Date of Update]]
)&lt;=0,
TODAY()-Table3[[#This Row],[Date of Update]],
IFERROR(
  IF(
    COUNTIF(A$2:A$1997, A616) &gt; 1,
    MIN(IF(A$2:A$1997=A616, IF(B$2:B$1997&gt;B616, B$2:B$1997))) - B616,
    TODAY() - Table3[[#This Row],[Date of Update]]
  ),
  TODAY()-Table3[[#This Row],[Date of Update]]
)))</f>
        <v>184</v>
      </c>
      <c r="G616" s="40" t="str">
        <f>IF(Table3[[#This Row],[Stage]]="Closed",Table3[[#This Row],[Date of Update]]-(_xlfn.MINIFS(Table3[Date of Update],Table3[Ref], Table3[[#This Row],[Ref]])),"")</f>
        <v/>
      </c>
    </row>
    <row r="617" spans="1:7" x14ac:dyDescent="0.25">
      <c r="A617" s="39" t="s">
        <v>1489</v>
      </c>
      <c r="B617" s="33">
        <v>45141</v>
      </c>
      <c r="C617" s="32" t="s">
        <v>169</v>
      </c>
      <c r="D617" s="32" t="s">
        <v>4</v>
      </c>
      <c r="E617" s="32" t="s">
        <v>69</v>
      </c>
      <c r="F617" s="32" cm="1">
        <f t="array" aca="1" ref="F617" ca="1">IF(Table3[[#This Row],[Stage]]="Closed",0,IF(IFERROR(
  IF(
    COUNTIF(A$2:A$1997, A617) &gt; 1,
    MIN(IF(A$2:A$1997=A617, IF(B$2:B$1997&gt;B617, B$2:B$1997))) - B617,
    TODAY() - Table3[[#This Row],[Date of Update]]
  ),
  TODAY()-Table3[[#This Row],[Date of Update]]
)&lt;=0,
TODAY()-Table3[[#This Row],[Date of Update]],
IFERROR(
  IF(
    COUNTIF(A$2:A$1997, A617) &gt; 1,
    MIN(IF(A$2:A$1997=A617, IF(B$2:B$1997&gt;B617, B$2:B$1997))) - B617,
    TODAY() - Table3[[#This Row],[Date of Update]]
  ),
  TODAY()-Table3[[#This Row],[Date of Update]]
)))</f>
        <v>0</v>
      </c>
      <c r="G617" s="40">
        <f>IF(Table3[[#This Row],[Stage]]="Closed",Table3[[#This Row],[Date of Update]]-(_xlfn.MINIFS(Table3[Date of Update],Table3[Ref], Table3[[#This Row],[Ref]])),"")</f>
        <v>2</v>
      </c>
    </row>
    <row r="618" spans="1:7" x14ac:dyDescent="0.25">
      <c r="A618" s="39" t="s">
        <v>1365</v>
      </c>
      <c r="B618" s="33">
        <v>45141</v>
      </c>
      <c r="C618" s="32" t="s">
        <v>23</v>
      </c>
      <c r="D618" s="32" t="s">
        <v>4</v>
      </c>
      <c r="E618" s="32" t="s">
        <v>841</v>
      </c>
      <c r="F618" s="32" cm="1">
        <f t="array" aca="1" ref="F618" ca="1">IF(Table3[[#This Row],[Stage]]="Closed",0,IF(IFERROR(
  IF(
    COUNTIF(A$2:A$1997, A618) &gt; 1,
    MIN(IF(A$2:A$1997=A618, IF(B$2:B$1997&gt;B618, B$2:B$1997))) - B618,
    TODAY() - Table3[[#This Row],[Date of Update]]
  ),
  TODAY()-Table3[[#This Row],[Date of Update]]
)&lt;=0,
TODAY()-Table3[[#This Row],[Date of Update]],
IFERROR(
  IF(
    COUNTIF(A$2:A$1997, A618) &gt; 1,
    MIN(IF(A$2:A$1997=A618, IF(B$2:B$1997&gt;B618, B$2:B$1997))) - B618,
    TODAY() - Table3[[#This Row],[Date of Update]]
  ),
  TODAY()-Table3[[#This Row],[Date of Update]]
)))</f>
        <v>4</v>
      </c>
      <c r="G618" s="40" t="str">
        <f>IF(Table3[[#This Row],[Stage]]="Closed",Table3[[#This Row],[Date of Update]]-(_xlfn.MINIFS(Table3[Date of Update],Table3[Ref], Table3[[#This Row],[Ref]])),"")</f>
        <v/>
      </c>
    </row>
    <row r="619" spans="1:7" x14ac:dyDescent="0.25">
      <c r="A619" s="39" t="s">
        <v>1352</v>
      </c>
      <c r="B619" s="33">
        <v>45142</v>
      </c>
      <c r="C619" s="32" t="s">
        <v>169</v>
      </c>
      <c r="D619" s="32" t="s">
        <v>4</v>
      </c>
      <c r="E619" s="32" t="s">
        <v>70</v>
      </c>
      <c r="F619" s="32" cm="1">
        <f t="array" aca="1" ref="F619" ca="1">IF(Table3[[#This Row],[Stage]]="Closed",0,IF(IFERROR(
  IF(
    COUNTIF(A$2:A$1997, A619) &gt; 1,
    MIN(IF(A$2:A$1997=A619, IF(B$2:B$1997&gt;B619, B$2:B$1997))) - B619,
    TODAY() - Table3[[#This Row],[Date of Update]]
  ),
  TODAY()-Table3[[#This Row],[Date of Update]]
)&lt;=0,
TODAY()-Table3[[#This Row],[Date of Update]],
IFERROR(
  IF(
    COUNTIF(A$2:A$1997, A619) &gt; 1,
    MIN(IF(A$2:A$1997=A619, IF(B$2:B$1997&gt;B619, B$2:B$1997))) - B619,
    TODAY() - Table3[[#This Row],[Date of Update]]
  ),
  TODAY()-Table3[[#This Row],[Date of Update]]
)))</f>
        <v>0</v>
      </c>
      <c r="G619" s="40">
        <f>IF(Table3[[#This Row],[Stage]]="Closed",Table3[[#This Row],[Date of Update]]-(_xlfn.MINIFS(Table3[Date of Update],Table3[Ref], Table3[[#This Row],[Ref]])),"")</f>
        <v>7</v>
      </c>
    </row>
    <row r="620" spans="1:7" x14ac:dyDescent="0.25">
      <c r="A620" s="39" t="s">
        <v>1355</v>
      </c>
      <c r="B620" s="33">
        <v>45142</v>
      </c>
      <c r="C620" s="32" t="s">
        <v>23</v>
      </c>
      <c r="D620" s="32" t="s">
        <v>4</v>
      </c>
      <c r="E620" s="32" t="s">
        <v>819</v>
      </c>
      <c r="F620" s="32" cm="1">
        <f t="array" aca="1" ref="F620" ca="1">IF(Table3[[#This Row],[Stage]]="Closed",0,IF(IFERROR(
  IF(
    COUNTIF(A$2:A$1997, A620) &gt; 1,
    MIN(IF(A$2:A$1997=A620, IF(B$2:B$1997&gt;B620, B$2:B$1997))) - B620,
    TODAY() - Table3[[#This Row],[Date of Update]]
  ),
  TODAY()-Table3[[#This Row],[Date of Update]]
)&lt;=0,
TODAY()-Table3[[#This Row],[Date of Update]],
IFERROR(
  IF(
    COUNTIF(A$2:A$1997, A620) &gt; 1,
    MIN(IF(A$2:A$1997=A620, IF(B$2:B$1997&gt;B620, B$2:B$1997))) - B620,
    TODAY() - Table3[[#This Row],[Date of Update]]
  ),
  TODAY()-Table3[[#This Row],[Date of Update]]
)))</f>
        <v>593</v>
      </c>
      <c r="G620" s="40" t="str">
        <f>IF(Table3[[#This Row],[Stage]]="Closed",Table3[[#This Row],[Date of Update]]-(_xlfn.MINIFS(Table3[Date of Update],Table3[Ref], Table3[[#This Row],[Ref]])),"")</f>
        <v/>
      </c>
    </row>
    <row r="621" spans="1:7" x14ac:dyDescent="0.25">
      <c r="A621" s="39" t="s">
        <v>1355</v>
      </c>
      <c r="B621" s="33">
        <v>45142</v>
      </c>
      <c r="C621" s="32" t="s">
        <v>169</v>
      </c>
      <c r="D621" s="32" t="s">
        <v>4</v>
      </c>
      <c r="E621" s="32" t="s">
        <v>819</v>
      </c>
      <c r="F621" s="32" cm="1">
        <f t="array" aca="1" ref="F621" ca="1">IF(Table3[[#This Row],[Stage]]="Closed",0,IF(IFERROR(
  IF(
    COUNTIF(A$2:A$1997, A621) &gt; 1,
    MIN(IF(A$2:A$1997=A621, IF(B$2:B$1997&gt;B621, B$2:B$1997))) - B621,
    TODAY() - Table3[[#This Row],[Date of Update]]
  ),
  TODAY()-Table3[[#This Row],[Date of Update]]
)&lt;=0,
TODAY()-Table3[[#This Row],[Date of Update]],
IFERROR(
  IF(
    COUNTIF(A$2:A$1997, A621) &gt; 1,
    MIN(IF(A$2:A$1997=A621, IF(B$2:B$1997&gt;B621, B$2:B$1997))) - B621,
    TODAY() - Table3[[#This Row],[Date of Update]]
  ),
  TODAY()-Table3[[#This Row],[Date of Update]]
)))</f>
        <v>0</v>
      </c>
      <c r="G621" s="40">
        <f>IF(Table3[[#This Row],[Stage]]="Closed",Table3[[#This Row],[Date of Update]]-(_xlfn.MINIFS(Table3[Date of Update],Table3[Ref], Table3[[#This Row],[Ref]])),"")</f>
        <v>0</v>
      </c>
    </row>
    <row r="622" spans="1:7" x14ac:dyDescent="0.25">
      <c r="A622" s="39" t="s">
        <v>1356</v>
      </c>
      <c r="B622" s="33">
        <v>45142</v>
      </c>
      <c r="C622" s="32" t="s">
        <v>23</v>
      </c>
      <c r="D622" s="32" t="s">
        <v>4</v>
      </c>
      <c r="E622" s="32" t="s">
        <v>822</v>
      </c>
      <c r="F622" s="32" cm="1">
        <f t="array" aca="1" ref="F622" ca="1">IF(Table3[[#This Row],[Stage]]="Closed",0,IF(IFERROR(
  IF(
    COUNTIF(A$2:A$1997, A622) &gt; 1,
    MIN(IF(A$2:A$1997=A622, IF(B$2:B$1997&gt;B622, B$2:B$1997))) - B622,
    TODAY() - Table3[[#This Row],[Date of Update]]
  ),
  TODAY()-Table3[[#This Row],[Date of Update]]
)&lt;=0,
TODAY()-Table3[[#This Row],[Date of Update]],
IFERROR(
  IF(
    COUNTIF(A$2:A$1997, A622) &gt; 1,
    MIN(IF(A$2:A$1997=A622, IF(B$2:B$1997&gt;B622, B$2:B$1997))) - B622,
    TODAY() - Table3[[#This Row],[Date of Update]]
  ),
  TODAY()-Table3[[#This Row],[Date of Update]]
)))</f>
        <v>593</v>
      </c>
      <c r="G622" s="40" t="str">
        <f>IF(Table3[[#This Row],[Stage]]="Closed",Table3[[#This Row],[Date of Update]]-(_xlfn.MINIFS(Table3[Date of Update],Table3[Ref], Table3[[#This Row],[Ref]])),"")</f>
        <v/>
      </c>
    </row>
    <row r="623" spans="1:7" x14ac:dyDescent="0.25">
      <c r="A623" s="39" t="s">
        <v>1356</v>
      </c>
      <c r="B623" s="33">
        <v>45142</v>
      </c>
      <c r="C623" s="32" t="s">
        <v>169</v>
      </c>
      <c r="D623" s="32" t="s">
        <v>4</v>
      </c>
      <c r="E623" s="32" t="s">
        <v>822</v>
      </c>
      <c r="F623" s="32" cm="1">
        <f t="array" aca="1" ref="F623" ca="1">IF(Table3[[#This Row],[Stage]]="Closed",0,IF(IFERROR(
  IF(
    COUNTIF(A$2:A$1997, A623) &gt; 1,
    MIN(IF(A$2:A$1997=A623, IF(B$2:B$1997&gt;B623, B$2:B$1997))) - B623,
    TODAY() - Table3[[#This Row],[Date of Update]]
  ),
  TODAY()-Table3[[#This Row],[Date of Update]]
)&lt;=0,
TODAY()-Table3[[#This Row],[Date of Update]],
IFERROR(
  IF(
    COUNTIF(A$2:A$1997, A623) &gt; 1,
    MIN(IF(A$2:A$1997=A623, IF(B$2:B$1997&gt;B623, B$2:B$1997))) - B623,
    TODAY() - Table3[[#This Row],[Date of Update]]
  ),
  TODAY()-Table3[[#This Row],[Date of Update]]
)))</f>
        <v>0</v>
      </c>
      <c r="G623" s="40">
        <f>IF(Table3[[#This Row],[Stage]]="Closed",Table3[[#This Row],[Date of Update]]-(_xlfn.MINIFS(Table3[Date of Update],Table3[Ref], Table3[[#This Row],[Ref]])),"")</f>
        <v>0</v>
      </c>
    </row>
    <row r="624" spans="1:7" x14ac:dyDescent="0.25">
      <c r="A624" s="39" t="s">
        <v>1351</v>
      </c>
      <c r="B624" s="33">
        <v>45142</v>
      </c>
      <c r="C624" s="32" t="s">
        <v>169</v>
      </c>
      <c r="D624" s="32" t="s">
        <v>4</v>
      </c>
      <c r="E624" s="32" t="s">
        <v>810</v>
      </c>
      <c r="F624" s="32" cm="1">
        <f t="array" aca="1" ref="F624" ca="1">IF(Table3[[#This Row],[Stage]]="Closed",0,IF(IFERROR(
  IF(
    COUNTIF(A$2:A$1997, A624) &gt; 1,
    MIN(IF(A$2:A$1997=A624, IF(B$2:B$1997&gt;B624, B$2:B$1997))) - B624,
    TODAY() - Table3[[#This Row],[Date of Update]]
  ),
  TODAY()-Table3[[#This Row],[Date of Update]]
)&lt;=0,
TODAY()-Table3[[#This Row],[Date of Update]],
IFERROR(
  IF(
    COUNTIF(A$2:A$1997, A624) &gt; 1,
    MIN(IF(A$2:A$1997=A624, IF(B$2:B$1997&gt;B624, B$2:B$1997))) - B624,
    TODAY() - Table3[[#This Row],[Date of Update]]
  ),
  TODAY()-Table3[[#This Row],[Date of Update]]
)))</f>
        <v>0</v>
      </c>
      <c r="G624" s="40">
        <f>IF(Table3[[#This Row],[Stage]]="Closed",Table3[[#This Row],[Date of Update]]-(_xlfn.MINIFS(Table3[Date of Update],Table3[Ref], Table3[[#This Row],[Ref]])),"")</f>
        <v>114</v>
      </c>
    </row>
    <row r="625" spans="1:7" x14ac:dyDescent="0.25">
      <c r="A625" s="39" t="s">
        <v>1520</v>
      </c>
      <c r="B625" s="33">
        <v>45142</v>
      </c>
      <c r="C625" s="32" t="s">
        <v>169</v>
      </c>
      <c r="D625" s="32" t="s">
        <v>4</v>
      </c>
      <c r="E625" s="32" t="s">
        <v>469</v>
      </c>
      <c r="F625" s="32" cm="1">
        <f t="array" aca="1" ref="F625" ca="1">IF(Table3[[#This Row],[Stage]]="Closed",0,IF(IFERROR(
  IF(
    COUNTIF(A$2:A$1997, A625) &gt; 1,
    MIN(IF(A$2:A$1997=A625, IF(B$2:B$1997&gt;B625, B$2:B$1997))) - B625,
    TODAY() - Table3[[#This Row],[Date of Update]]
  ),
  TODAY()-Table3[[#This Row],[Date of Update]]
)&lt;=0,
TODAY()-Table3[[#This Row],[Date of Update]],
IFERROR(
  IF(
    COUNTIF(A$2:A$1997, A625) &gt; 1,
    MIN(IF(A$2:A$1997=A625, IF(B$2:B$1997&gt;B625, B$2:B$1997))) - B625,
    TODAY() - Table3[[#This Row],[Date of Update]]
  ),
  TODAY()-Table3[[#This Row],[Date of Update]]
)))</f>
        <v>0</v>
      </c>
      <c r="G625" s="40">
        <f>IF(Table3[[#This Row],[Stage]]="Closed",Table3[[#This Row],[Date of Update]]-(_xlfn.MINIFS(Table3[Date of Update],Table3[Ref], Table3[[#This Row],[Ref]])),"")</f>
        <v>2</v>
      </c>
    </row>
    <row r="626" spans="1:7" x14ac:dyDescent="0.25">
      <c r="A626" s="39" t="s">
        <v>1366</v>
      </c>
      <c r="B626" s="33">
        <v>45142</v>
      </c>
      <c r="C626" s="32" t="s">
        <v>23</v>
      </c>
      <c r="D626" s="32" t="s">
        <v>4</v>
      </c>
      <c r="E626" s="32" t="s">
        <v>844</v>
      </c>
      <c r="F626" s="32" cm="1">
        <f t="array" aca="1" ref="F626" ca="1">IF(Table3[[#This Row],[Stage]]="Closed",0,IF(IFERROR(
  IF(
    COUNTIF(A$2:A$1997, A626) &gt; 1,
    MIN(IF(A$2:A$1997=A626, IF(B$2:B$1997&gt;B626, B$2:B$1997))) - B626,
    TODAY() - Table3[[#This Row],[Date of Update]]
  ),
  TODAY()-Table3[[#This Row],[Date of Update]]
)&lt;=0,
TODAY()-Table3[[#This Row],[Date of Update]],
IFERROR(
  IF(
    COUNTIF(A$2:A$1997, A626) &gt; 1,
    MIN(IF(A$2:A$1997=A626, IF(B$2:B$1997&gt;B626, B$2:B$1997))) - B626,
    TODAY() - Table3[[#This Row],[Date of Update]]
  ),
  TODAY()-Table3[[#This Row],[Date of Update]]
)))</f>
        <v>21</v>
      </c>
      <c r="G626" s="40" t="str">
        <f>IF(Table3[[#This Row],[Stage]]="Closed",Table3[[#This Row],[Date of Update]]-(_xlfn.MINIFS(Table3[Date of Update],Table3[Ref], Table3[[#This Row],[Ref]])),"")</f>
        <v/>
      </c>
    </row>
    <row r="627" spans="1:7" x14ac:dyDescent="0.25">
      <c r="A627" s="39" t="s">
        <v>1353</v>
      </c>
      <c r="B627" s="33">
        <v>45142</v>
      </c>
      <c r="C627" s="32" t="s">
        <v>169</v>
      </c>
      <c r="D627" s="32" t="s">
        <v>4</v>
      </c>
      <c r="E627" s="32" t="s">
        <v>814</v>
      </c>
      <c r="F627" s="32" cm="1">
        <f t="array" aca="1" ref="F627" ca="1">IF(Table3[[#This Row],[Stage]]="Closed",0,IF(IFERROR(
  IF(
    COUNTIF(A$2:A$1997, A627) &gt; 1,
    MIN(IF(A$2:A$1997=A627, IF(B$2:B$1997&gt;B627, B$2:B$1997))) - B627,
    TODAY() - Table3[[#This Row],[Date of Update]]
  ),
  TODAY()-Table3[[#This Row],[Date of Update]]
)&lt;=0,
TODAY()-Table3[[#This Row],[Date of Update]],
IFERROR(
  IF(
    COUNTIF(A$2:A$1997, A627) &gt; 1,
    MIN(IF(A$2:A$1997=A627, IF(B$2:B$1997&gt;B627, B$2:B$1997))) - B627,
    TODAY() - Table3[[#This Row],[Date of Update]]
  ),
  TODAY()-Table3[[#This Row],[Date of Update]]
)))</f>
        <v>0</v>
      </c>
      <c r="G627" s="40">
        <f>IF(Table3[[#This Row],[Stage]]="Closed",Table3[[#This Row],[Date of Update]]-(_xlfn.MINIFS(Table3[Date of Update],Table3[Ref], Table3[[#This Row],[Ref]])),"")</f>
        <v>7</v>
      </c>
    </row>
    <row r="628" spans="1:7" x14ac:dyDescent="0.25">
      <c r="A628" s="39" t="s">
        <v>1533</v>
      </c>
      <c r="B628" s="33">
        <v>45142</v>
      </c>
      <c r="C628" s="32" t="s">
        <v>23</v>
      </c>
      <c r="D628" s="32" t="s">
        <v>4</v>
      </c>
      <c r="E628" s="32" t="s">
        <v>645</v>
      </c>
      <c r="F628" s="32" cm="1">
        <f t="array" aca="1" ref="F628" ca="1">IF(Table3[[#This Row],[Stage]]="Closed",0,IF(IFERROR(
  IF(
    COUNTIF(A$2:A$1997, A628) &gt; 1,
    MIN(IF(A$2:A$1997=A628, IF(B$2:B$1997&gt;B628, B$2:B$1997))) - B628,
    TODAY() - Table3[[#This Row],[Date of Update]]
  ),
  TODAY()-Table3[[#This Row],[Date of Update]]
)&lt;=0,
TODAY()-Table3[[#This Row],[Date of Update]],
IFERROR(
  IF(
    COUNTIF(A$2:A$1997, A628) &gt; 1,
    MIN(IF(A$2:A$1997=A628, IF(B$2:B$1997&gt;B628, B$2:B$1997))) - B628,
    TODAY() - Table3[[#This Row],[Date of Update]]
  ),
  TODAY()-Table3[[#This Row],[Date of Update]]
)))</f>
        <v>98</v>
      </c>
      <c r="G628" s="40" t="str">
        <f>IF(Table3[[#This Row],[Stage]]="Closed",Table3[[#This Row],[Date of Update]]-(_xlfn.MINIFS(Table3[Date of Update],Table3[Ref], Table3[[#This Row],[Ref]])),"")</f>
        <v/>
      </c>
    </row>
    <row r="629" spans="1:7" x14ac:dyDescent="0.25">
      <c r="A629" s="39" t="s">
        <v>1365</v>
      </c>
      <c r="B629" s="33">
        <v>45145</v>
      </c>
      <c r="C629" s="32" t="s">
        <v>169</v>
      </c>
      <c r="D629" s="32" t="s">
        <v>4</v>
      </c>
      <c r="E629" s="32" t="s">
        <v>841</v>
      </c>
      <c r="F629" s="32" cm="1">
        <f t="array" aca="1" ref="F629" ca="1">IF(Table3[[#This Row],[Stage]]="Closed",0,IF(IFERROR(
  IF(
    COUNTIF(A$2:A$1997, A629) &gt; 1,
    MIN(IF(A$2:A$1997=A629, IF(B$2:B$1997&gt;B629, B$2:B$1997))) - B629,
    TODAY() - Table3[[#This Row],[Date of Update]]
  ),
  TODAY()-Table3[[#This Row],[Date of Update]]
)&lt;=0,
TODAY()-Table3[[#This Row],[Date of Update]],
IFERROR(
  IF(
    COUNTIF(A$2:A$1997, A629) &gt; 1,
    MIN(IF(A$2:A$1997=A629, IF(B$2:B$1997&gt;B629, B$2:B$1997))) - B629,
    TODAY() - Table3[[#This Row],[Date of Update]]
  ),
  TODAY()-Table3[[#This Row],[Date of Update]]
)))</f>
        <v>0</v>
      </c>
      <c r="G629" s="40">
        <f>IF(Table3[[#This Row],[Stage]]="Closed",Table3[[#This Row],[Date of Update]]-(_xlfn.MINIFS(Table3[Date of Update],Table3[Ref], Table3[[#This Row],[Ref]])),"")</f>
        <v>4</v>
      </c>
    </row>
    <row r="630" spans="1:7" x14ac:dyDescent="0.25">
      <c r="A630" s="39" t="s">
        <v>1359</v>
      </c>
      <c r="B630" s="33">
        <v>45147</v>
      </c>
      <c r="C630" s="32" t="s">
        <v>169</v>
      </c>
      <c r="D630" s="32" t="s">
        <v>4</v>
      </c>
      <c r="E630" s="32" t="s">
        <v>469</v>
      </c>
      <c r="F630" s="32" cm="1">
        <f t="array" aca="1" ref="F630" ca="1">IF(Table3[[#This Row],[Stage]]="Closed",0,IF(IFERROR(
  IF(
    COUNTIF(A$2:A$1997, A630) &gt; 1,
    MIN(IF(A$2:A$1997=A630, IF(B$2:B$1997&gt;B630, B$2:B$1997))) - B630,
    TODAY() - Table3[[#This Row],[Date of Update]]
  ),
  TODAY()-Table3[[#This Row],[Date of Update]]
)&lt;=0,
TODAY()-Table3[[#This Row],[Date of Update]],
IFERROR(
  IF(
    COUNTIF(A$2:A$1997, A630) &gt; 1,
    MIN(IF(A$2:A$1997=A630, IF(B$2:B$1997&gt;B630, B$2:B$1997))) - B630,
    TODAY() - Table3[[#This Row],[Date of Update]]
  ),
  TODAY()-Table3[[#This Row],[Date of Update]]
)))</f>
        <v>0</v>
      </c>
      <c r="G630" s="40">
        <f>IF(Table3[[#This Row],[Stage]]="Closed",Table3[[#This Row],[Date of Update]]-(_xlfn.MINIFS(Table3[Date of Update],Table3[Ref], Table3[[#This Row],[Ref]])),"")</f>
        <v>12</v>
      </c>
    </row>
    <row r="631" spans="1:7" x14ac:dyDescent="0.25">
      <c r="A631" s="39" t="s">
        <v>1526</v>
      </c>
      <c r="B631" s="33">
        <v>45147</v>
      </c>
      <c r="C631" s="32" t="s">
        <v>23</v>
      </c>
      <c r="D631" s="32" t="s">
        <v>4</v>
      </c>
      <c r="E631" s="32" t="s">
        <v>788</v>
      </c>
      <c r="F631" s="32" cm="1">
        <f t="array" aca="1" ref="F631" ca="1">IF(Table3[[#This Row],[Stage]]="Closed",0,IF(IFERROR(
  IF(
    COUNTIF(A$2:A$1997, A631) &gt; 1,
    MIN(IF(A$2:A$1997=A631, IF(B$2:B$1997&gt;B631, B$2:B$1997))) - B631,
    TODAY() - Table3[[#This Row],[Date of Update]]
  ),
  TODAY()-Table3[[#This Row],[Date of Update]]
)&lt;=0,
TODAY()-Table3[[#This Row],[Date of Update]],
IFERROR(
  IF(
    COUNTIF(A$2:A$1997, A631) &gt; 1,
    MIN(IF(A$2:A$1997=A631, IF(B$2:B$1997&gt;B631, B$2:B$1997))) - B631,
    TODAY() - Table3[[#This Row],[Date of Update]]
  ),
  TODAY()-Table3[[#This Row],[Date of Update]]
)))</f>
        <v>588</v>
      </c>
      <c r="G631" s="40" t="str">
        <f>IF(Table3[[#This Row],[Stage]]="Closed",Table3[[#This Row],[Date of Update]]-(_xlfn.MINIFS(Table3[Date of Update],Table3[Ref], Table3[[#This Row],[Ref]])),"")</f>
        <v/>
      </c>
    </row>
    <row r="632" spans="1:7" x14ac:dyDescent="0.25">
      <c r="A632" s="39" t="s">
        <v>1358</v>
      </c>
      <c r="B632" s="33">
        <v>45147</v>
      </c>
      <c r="C632" s="32" t="s">
        <v>169</v>
      </c>
      <c r="D632" s="32" t="s">
        <v>4</v>
      </c>
      <c r="E632" s="32" t="s">
        <v>827</v>
      </c>
      <c r="F632" s="32" cm="1">
        <f t="array" aca="1" ref="F632" ca="1">IF(Table3[[#This Row],[Stage]]="Closed",0,IF(IFERROR(
  IF(
    COUNTIF(A$2:A$1997, A632) &gt; 1,
    MIN(IF(A$2:A$1997=A632, IF(B$2:B$1997&gt;B632, B$2:B$1997))) - B632,
    TODAY() - Table3[[#This Row],[Date of Update]]
  ),
  TODAY()-Table3[[#This Row],[Date of Update]]
)&lt;=0,
TODAY()-Table3[[#This Row],[Date of Update]],
IFERROR(
  IF(
    COUNTIF(A$2:A$1997, A632) &gt; 1,
    MIN(IF(A$2:A$1997=A632, IF(B$2:B$1997&gt;B632, B$2:B$1997))) - B632,
    TODAY() - Table3[[#This Row],[Date of Update]]
  ),
  TODAY()-Table3[[#This Row],[Date of Update]]
)))</f>
        <v>0</v>
      </c>
      <c r="G632" s="40">
        <f>IF(Table3[[#This Row],[Stage]]="Closed",Table3[[#This Row],[Date of Update]]-(_xlfn.MINIFS(Table3[Date of Update],Table3[Ref], Table3[[#This Row],[Ref]])),"")</f>
        <v>15</v>
      </c>
    </row>
    <row r="633" spans="1:7" x14ac:dyDescent="0.25">
      <c r="A633" s="39" t="s">
        <v>1345</v>
      </c>
      <c r="B633" s="33">
        <v>45149</v>
      </c>
      <c r="C633" s="32" t="s">
        <v>169</v>
      </c>
      <c r="D633" s="32" t="s">
        <v>4</v>
      </c>
      <c r="E633" s="32" t="s">
        <v>795</v>
      </c>
      <c r="F633" s="32" cm="1">
        <f t="array" aca="1" ref="F633" ca="1">IF(Table3[[#This Row],[Stage]]="Closed",0,IF(IFERROR(
  IF(
    COUNTIF(A$2:A$1997, A633) &gt; 1,
    MIN(IF(A$2:A$1997=A633, IF(B$2:B$1997&gt;B633, B$2:B$1997))) - B633,
    TODAY() - Table3[[#This Row],[Date of Update]]
  ),
  TODAY()-Table3[[#This Row],[Date of Update]]
)&lt;=0,
TODAY()-Table3[[#This Row],[Date of Update]],
IFERROR(
  IF(
    COUNTIF(A$2:A$1997, A633) &gt; 1,
    MIN(IF(A$2:A$1997=A633, IF(B$2:B$1997&gt;B633, B$2:B$1997))) - B633,
    TODAY() - Table3[[#This Row],[Date of Update]]
  ),
  TODAY()-Table3[[#This Row],[Date of Update]]
)))</f>
        <v>0</v>
      </c>
      <c r="G633" s="40">
        <f>IF(Table3[[#This Row],[Stage]]="Closed",Table3[[#This Row],[Date of Update]]-(_xlfn.MINIFS(Table3[Date of Update],Table3[Ref], Table3[[#This Row],[Ref]])),"")</f>
        <v>64</v>
      </c>
    </row>
    <row r="634" spans="1:7" x14ac:dyDescent="0.25">
      <c r="A634" s="39" t="s">
        <v>1343</v>
      </c>
      <c r="B634" s="33">
        <v>45149</v>
      </c>
      <c r="C634" s="32" t="s">
        <v>169</v>
      </c>
      <c r="D634" s="32" t="s">
        <v>4</v>
      </c>
      <c r="E634" s="32" t="s">
        <v>788</v>
      </c>
      <c r="F634" s="32" cm="1">
        <f t="array" aca="1" ref="F634" ca="1">IF(Table3[[#This Row],[Stage]]="Closed",0,IF(IFERROR(
  IF(
    COUNTIF(A$2:A$1997, A634) &gt; 1,
    MIN(IF(A$2:A$1997=A634, IF(B$2:B$1997&gt;B634, B$2:B$1997))) - B634,
    TODAY() - Table3[[#This Row],[Date of Update]]
  ),
  TODAY()-Table3[[#This Row],[Date of Update]]
)&lt;=0,
TODAY()-Table3[[#This Row],[Date of Update]],
IFERROR(
  IF(
    COUNTIF(A$2:A$1997, A634) &gt; 1,
    MIN(IF(A$2:A$1997=A634, IF(B$2:B$1997&gt;B634, B$2:B$1997))) - B634,
    TODAY() - Table3[[#This Row],[Date of Update]]
  ),
  TODAY()-Table3[[#This Row],[Date of Update]]
)))</f>
        <v>0</v>
      </c>
      <c r="G634" s="40">
        <f>IF(Table3[[#This Row],[Stage]]="Closed",Table3[[#This Row],[Date of Update]]-(_xlfn.MINIFS(Table3[Date of Update],Table3[Ref], Table3[[#This Row],[Ref]])),"")</f>
        <v>0</v>
      </c>
    </row>
    <row r="635" spans="1:7" x14ac:dyDescent="0.25">
      <c r="A635" s="39" t="s">
        <v>1373</v>
      </c>
      <c r="B635" s="33">
        <v>45152</v>
      </c>
      <c r="C635" s="32" t="s">
        <v>23</v>
      </c>
      <c r="D635" s="32" t="s">
        <v>4</v>
      </c>
      <c r="E635" s="32" t="s">
        <v>788</v>
      </c>
      <c r="F635" s="32" cm="1">
        <f t="array" aca="1" ref="F635" ca="1">IF(Table3[[#This Row],[Stage]]="Closed",0,IF(IFERROR(
  IF(
    COUNTIF(A$2:A$1997, A635) &gt; 1,
    MIN(IF(A$2:A$1997=A635, IF(B$2:B$1997&gt;B635, B$2:B$1997))) - B635,
    TODAY() - Table3[[#This Row],[Date of Update]]
  ),
  TODAY()-Table3[[#This Row],[Date of Update]]
)&lt;=0,
TODAY()-Table3[[#This Row],[Date of Update]],
IFERROR(
  IF(
    COUNTIF(A$2:A$1997, A635) &gt; 1,
    MIN(IF(A$2:A$1997=A635, IF(B$2:B$1997&gt;B635, B$2:B$1997))) - B635,
    TODAY() - Table3[[#This Row],[Date of Update]]
  ),
  TODAY()-Table3[[#This Row],[Date of Update]]
)))</f>
        <v>60</v>
      </c>
      <c r="G635" s="40" t="str">
        <f>IF(Table3[[#This Row],[Stage]]="Closed",Table3[[#This Row],[Date of Update]]-(_xlfn.MINIFS(Table3[Date of Update],Table3[Ref], Table3[[#This Row],[Ref]])),"")</f>
        <v/>
      </c>
    </row>
    <row r="636" spans="1:7" x14ac:dyDescent="0.25">
      <c r="A636" s="39" t="s">
        <v>1343</v>
      </c>
      <c r="B636" s="33">
        <v>45152</v>
      </c>
      <c r="C636" s="32" t="s">
        <v>169</v>
      </c>
      <c r="D636" s="32" t="s">
        <v>4</v>
      </c>
      <c r="E636" s="32" t="s">
        <v>788</v>
      </c>
      <c r="F636" s="32" cm="1">
        <f t="array" aca="1" ref="F636" ca="1">IF(Table3[[#This Row],[Stage]]="Closed",0,IF(IFERROR(
  IF(
    COUNTIF(A$2:A$1997, A636) &gt; 1,
    MIN(IF(A$2:A$1997=A636, IF(B$2:B$1997&gt;B636, B$2:B$1997))) - B636,
    TODAY() - Table3[[#This Row],[Date of Update]]
  ),
  TODAY()-Table3[[#This Row],[Date of Update]]
)&lt;=0,
TODAY()-Table3[[#This Row],[Date of Update]],
IFERROR(
  IF(
    COUNTIF(A$2:A$1997, A636) &gt; 1,
    MIN(IF(A$2:A$1997=A636, IF(B$2:B$1997&gt;B636, B$2:B$1997))) - B636,
    TODAY() - Table3[[#This Row],[Date of Update]]
  ),
  TODAY()-Table3[[#This Row],[Date of Update]]
)))</f>
        <v>0</v>
      </c>
      <c r="G636" s="40">
        <f>IF(Table3[[#This Row],[Stage]]="Closed",Table3[[#This Row],[Date of Update]]-(_xlfn.MINIFS(Table3[Date of Update],Table3[Ref], Table3[[#This Row],[Ref]])),"")</f>
        <v>3</v>
      </c>
    </row>
    <row r="637" spans="1:7" x14ac:dyDescent="0.25">
      <c r="A637" s="39" t="s">
        <v>1363</v>
      </c>
      <c r="B637" s="33">
        <v>45152</v>
      </c>
      <c r="C637" s="32" t="s">
        <v>23</v>
      </c>
      <c r="D637" s="32" t="s">
        <v>4</v>
      </c>
      <c r="E637" s="32" t="s">
        <v>835</v>
      </c>
      <c r="F637" s="32" cm="1">
        <f t="array" aca="1" ref="F637" ca="1">IF(Table3[[#This Row],[Stage]]="Closed",0,IF(IFERROR(
  IF(
    COUNTIF(A$2:A$1997, A637) &gt; 1,
    MIN(IF(A$2:A$1997=A637, IF(B$2:B$1997&gt;B637, B$2:B$1997))) - B637,
    TODAY() - Table3[[#This Row],[Date of Update]]
  ),
  TODAY()-Table3[[#This Row],[Date of Update]]
)&lt;=0,
TODAY()-Table3[[#This Row],[Date of Update]],
IFERROR(
  IF(
    COUNTIF(A$2:A$1997, A637) &gt; 1,
    MIN(IF(A$2:A$1997=A637, IF(B$2:B$1997&gt;B637, B$2:B$1997))) - B637,
    TODAY() - Table3[[#This Row],[Date of Update]]
  ),
  TODAY()-Table3[[#This Row],[Date of Update]]
)))</f>
        <v>1</v>
      </c>
      <c r="G637" s="40" t="str">
        <f>IF(Table3[[#This Row],[Stage]]="Closed",Table3[[#This Row],[Date of Update]]-(_xlfn.MINIFS(Table3[Date of Update],Table3[Ref], Table3[[#This Row],[Ref]])),"")</f>
        <v/>
      </c>
    </row>
    <row r="638" spans="1:7" x14ac:dyDescent="0.25">
      <c r="A638" s="39" t="s">
        <v>1374</v>
      </c>
      <c r="B638" s="33">
        <v>45152</v>
      </c>
      <c r="C638" s="32" t="s">
        <v>23</v>
      </c>
      <c r="D638" s="32" t="s">
        <v>4</v>
      </c>
      <c r="E638" s="32" t="s">
        <v>788</v>
      </c>
      <c r="F638" s="32" cm="1">
        <f t="array" aca="1" ref="F638" ca="1">IF(Table3[[#This Row],[Stage]]="Closed",0,IF(IFERROR(
  IF(
    COUNTIF(A$2:A$1997, A638) &gt; 1,
    MIN(IF(A$2:A$1997=A638, IF(B$2:B$1997&gt;B638, B$2:B$1997))) - B638,
    TODAY() - Table3[[#This Row],[Date of Update]]
  ),
  TODAY()-Table3[[#This Row],[Date of Update]]
)&lt;=0,
TODAY()-Table3[[#This Row],[Date of Update]],
IFERROR(
  IF(
    COUNTIF(A$2:A$1997, A638) &gt; 1,
    MIN(IF(A$2:A$1997=A638, IF(B$2:B$1997&gt;B638, B$2:B$1997))) - B638,
    TODAY() - Table3[[#This Row],[Date of Update]]
  ),
  TODAY()-Table3[[#This Row],[Date of Update]]
)))</f>
        <v>60</v>
      </c>
      <c r="G638" s="40" t="str">
        <f>IF(Table3[[#This Row],[Stage]]="Closed",Table3[[#This Row],[Date of Update]]-(_xlfn.MINIFS(Table3[Date of Update],Table3[Ref], Table3[[#This Row],[Ref]])),"")</f>
        <v/>
      </c>
    </row>
    <row r="639" spans="1:7" x14ac:dyDescent="0.25">
      <c r="A639" s="39" t="s">
        <v>1383</v>
      </c>
      <c r="B639" s="33">
        <v>45153</v>
      </c>
      <c r="C639" s="32" t="s">
        <v>23</v>
      </c>
      <c r="D639" s="32" t="s">
        <v>4</v>
      </c>
      <c r="E639" s="32" t="s">
        <v>788</v>
      </c>
      <c r="F639" s="32" cm="1">
        <f t="array" aca="1" ref="F639" ca="1">IF(Table3[[#This Row],[Stage]]="Closed",0,IF(IFERROR(
  IF(
    COUNTIF(A$2:A$1997, A639) &gt; 1,
    MIN(IF(A$2:A$1997=A639, IF(B$2:B$1997&gt;B639, B$2:B$1997))) - B639,
    TODAY() - Table3[[#This Row],[Date of Update]]
  ),
  TODAY()-Table3[[#This Row],[Date of Update]]
)&lt;=0,
TODAY()-Table3[[#This Row],[Date of Update]],
IFERROR(
  IF(
    COUNTIF(A$2:A$1997, A639) &gt; 1,
    MIN(IF(A$2:A$1997=A639, IF(B$2:B$1997&gt;B639, B$2:B$1997))) - B639,
    TODAY() - Table3[[#This Row],[Date of Update]]
  ),
  TODAY()-Table3[[#This Row],[Date of Update]]
)))</f>
        <v>59</v>
      </c>
      <c r="G639" s="40" t="str">
        <f>IF(Table3[[#This Row],[Stage]]="Closed",Table3[[#This Row],[Date of Update]]-(_xlfn.MINIFS(Table3[Date of Update],Table3[Ref], Table3[[#This Row],[Ref]])),"")</f>
        <v/>
      </c>
    </row>
    <row r="640" spans="1:7" x14ac:dyDescent="0.25">
      <c r="A640" s="39" t="s">
        <v>1364</v>
      </c>
      <c r="B640" s="33">
        <v>45153</v>
      </c>
      <c r="C640" s="32" t="s">
        <v>169</v>
      </c>
      <c r="D640" s="32" t="s">
        <v>4</v>
      </c>
      <c r="E640" s="32" t="s">
        <v>838</v>
      </c>
      <c r="F640" s="32" cm="1">
        <f t="array" aca="1" ref="F640" ca="1">IF(Table3[[#This Row],[Stage]]="Closed",0,IF(IFERROR(
  IF(
    COUNTIF(A$2:A$1997, A640) &gt; 1,
    MIN(IF(A$2:A$1997=A640, IF(B$2:B$1997&gt;B640, B$2:B$1997))) - B640,
    TODAY() - Table3[[#This Row],[Date of Update]]
  ),
  TODAY()-Table3[[#This Row],[Date of Update]]
)&lt;=0,
TODAY()-Table3[[#This Row],[Date of Update]],
IFERROR(
  IF(
    COUNTIF(A$2:A$1997, A640) &gt; 1,
    MIN(IF(A$2:A$1997=A640, IF(B$2:B$1997&gt;B640, B$2:B$1997))) - B640,
    TODAY() - Table3[[#This Row],[Date of Update]]
  ),
  TODAY()-Table3[[#This Row],[Date of Update]]
)))</f>
        <v>0</v>
      </c>
      <c r="G640" s="40">
        <f>IF(Table3[[#This Row],[Stage]]="Closed",Table3[[#This Row],[Date of Update]]-(_xlfn.MINIFS(Table3[Date of Update],Table3[Ref], Table3[[#This Row],[Ref]])),"")</f>
        <v>0</v>
      </c>
    </row>
    <row r="641" spans="1:7" x14ac:dyDescent="0.25">
      <c r="A641" s="39" t="s">
        <v>1378</v>
      </c>
      <c r="B641" s="33">
        <v>45153</v>
      </c>
      <c r="C641" s="32" t="s">
        <v>23</v>
      </c>
      <c r="D641" s="32" t="s">
        <v>4</v>
      </c>
      <c r="E641" s="32" t="s">
        <v>521</v>
      </c>
      <c r="F641" s="32" cm="1">
        <f t="array" aca="1" ref="F641" ca="1">IF(Table3[[#This Row],[Stage]]="Closed",0,IF(IFERROR(
  IF(
    COUNTIF(A$2:A$1997, A641) &gt; 1,
    MIN(IF(A$2:A$1997=A641, IF(B$2:B$1997&gt;B641, B$2:B$1997))) - B641,
    TODAY() - Table3[[#This Row],[Date of Update]]
  ),
  TODAY()-Table3[[#This Row],[Date of Update]]
)&lt;=0,
TODAY()-Table3[[#This Row],[Date of Update]],
IFERROR(
  IF(
    COUNTIF(A$2:A$1997, A641) &gt; 1,
    MIN(IF(A$2:A$1997=A641, IF(B$2:B$1997&gt;B641, B$2:B$1997))) - B641,
    TODAY() - Table3[[#This Row],[Date of Update]]
  ),
  TODAY()-Table3[[#This Row],[Date of Update]]
)))</f>
        <v>8</v>
      </c>
      <c r="G641" s="40" t="str">
        <f>IF(Table3[[#This Row],[Stage]]="Closed",Table3[[#This Row],[Date of Update]]-(_xlfn.MINIFS(Table3[Date of Update],Table3[Ref], Table3[[#This Row],[Ref]])),"")</f>
        <v/>
      </c>
    </row>
    <row r="642" spans="1:7" x14ac:dyDescent="0.25">
      <c r="A642" s="39" t="s">
        <v>1518</v>
      </c>
      <c r="B642" s="33">
        <v>45153</v>
      </c>
      <c r="C642" s="32" t="s">
        <v>23</v>
      </c>
      <c r="D642" s="32" t="s">
        <v>4</v>
      </c>
      <c r="E642" s="32" t="s">
        <v>788</v>
      </c>
      <c r="F642" s="32" cm="1">
        <f t="array" aca="1" ref="F642" ca="1">IF(Table3[[#This Row],[Stage]]="Closed",0,IF(IFERROR(
  IF(
    COUNTIF(A$2:A$1997, A642) &gt; 1,
    MIN(IF(A$2:A$1997=A642, IF(B$2:B$1997&gt;B642, B$2:B$1997))) - B642,
    TODAY() - Table3[[#This Row],[Date of Update]]
  ),
  TODAY()-Table3[[#This Row],[Date of Update]]
)&lt;=0,
TODAY()-Table3[[#This Row],[Date of Update]],
IFERROR(
  IF(
    COUNTIF(A$2:A$1997, A642) &gt; 1,
    MIN(IF(A$2:A$1997=A642, IF(B$2:B$1997&gt;B642, B$2:B$1997))) - B642,
    TODAY() - Table3[[#This Row],[Date of Update]]
  ),
  TODAY()-Table3[[#This Row],[Date of Update]]
)))</f>
        <v>59</v>
      </c>
      <c r="G642" s="40" t="str">
        <f>IF(Table3[[#This Row],[Stage]]="Closed",Table3[[#This Row],[Date of Update]]-(_xlfn.MINIFS(Table3[Date of Update],Table3[Ref], Table3[[#This Row],[Ref]])),"")</f>
        <v/>
      </c>
    </row>
    <row r="643" spans="1:7" x14ac:dyDescent="0.25">
      <c r="A643" s="39" t="s">
        <v>1363</v>
      </c>
      <c r="B643" s="33">
        <v>45153</v>
      </c>
      <c r="C643" s="32" t="s">
        <v>169</v>
      </c>
      <c r="D643" s="32" t="s">
        <v>4</v>
      </c>
      <c r="E643" s="32" t="s">
        <v>835</v>
      </c>
      <c r="F643" s="32" cm="1">
        <f t="array" aca="1" ref="F643" ca="1">IF(Table3[[#This Row],[Stage]]="Closed",0,IF(IFERROR(
  IF(
    COUNTIF(A$2:A$1997, A643) &gt; 1,
    MIN(IF(A$2:A$1997=A643, IF(B$2:B$1997&gt;B643, B$2:B$1997))) - B643,
    TODAY() - Table3[[#This Row],[Date of Update]]
  ),
  TODAY()-Table3[[#This Row],[Date of Update]]
)&lt;=0,
TODAY()-Table3[[#This Row],[Date of Update]],
IFERROR(
  IF(
    COUNTIF(A$2:A$1997, A643) &gt; 1,
    MIN(IF(A$2:A$1997=A643, IF(B$2:B$1997&gt;B643, B$2:B$1997))) - B643,
    TODAY() - Table3[[#This Row],[Date of Update]]
  ),
  TODAY()-Table3[[#This Row],[Date of Update]]
)))</f>
        <v>0</v>
      </c>
      <c r="G643" s="40">
        <f>IF(Table3[[#This Row],[Stage]]="Closed",Table3[[#This Row],[Date of Update]]-(_xlfn.MINIFS(Table3[Date of Update],Table3[Ref], Table3[[#This Row],[Ref]])),"")</f>
        <v>1</v>
      </c>
    </row>
    <row r="644" spans="1:7" x14ac:dyDescent="0.25">
      <c r="A644" s="39" t="s">
        <v>1364</v>
      </c>
      <c r="B644" s="33">
        <v>45154</v>
      </c>
      <c r="C644" s="32" t="s">
        <v>23</v>
      </c>
      <c r="D644" s="32" t="s">
        <v>4</v>
      </c>
      <c r="E644" s="32" t="s">
        <v>838</v>
      </c>
      <c r="F644" s="32" cm="1">
        <f t="array" aca="1" ref="F644" ca="1">IF(Table3[[#This Row],[Stage]]="Closed",0,IF(IFERROR(
  IF(
    COUNTIF(A$2:A$1997, A644) &gt; 1,
    MIN(IF(A$2:A$1997=A644, IF(B$2:B$1997&gt;B644, B$2:B$1997))) - B644,
    TODAY() - Table3[[#This Row],[Date of Update]]
  ),
  TODAY()-Table3[[#This Row],[Date of Update]]
)&lt;=0,
TODAY()-Table3[[#This Row],[Date of Update]],
IFERROR(
  IF(
    COUNTIF(A$2:A$1997, A644) &gt; 1,
    MIN(IF(A$2:A$1997=A644, IF(B$2:B$1997&gt;B644, B$2:B$1997))) - B644,
    TODAY() - Table3[[#This Row],[Date of Update]]
  ),
  TODAY()-Table3[[#This Row],[Date of Update]]
)))</f>
        <v>581</v>
      </c>
      <c r="G644" s="40" t="str">
        <f>IF(Table3[[#This Row],[Stage]]="Closed",Table3[[#This Row],[Date of Update]]-(_xlfn.MINIFS(Table3[Date of Update],Table3[Ref], Table3[[#This Row],[Ref]])),"")</f>
        <v/>
      </c>
    </row>
    <row r="645" spans="1:7" x14ac:dyDescent="0.25">
      <c r="A645" s="39" t="s">
        <v>1376</v>
      </c>
      <c r="B645" s="33">
        <v>45154</v>
      </c>
      <c r="C645" s="32" t="s">
        <v>23</v>
      </c>
      <c r="D645" s="32" t="s">
        <v>4</v>
      </c>
      <c r="E645" s="32" t="s">
        <v>453</v>
      </c>
      <c r="F645" s="32" cm="1">
        <f t="array" aca="1" ref="F645" ca="1">IF(Table3[[#This Row],[Stage]]="Closed",0,IF(IFERROR(
  IF(
    COUNTIF(A$2:A$1997, A645) &gt; 1,
    MIN(IF(A$2:A$1997=A645, IF(B$2:B$1997&gt;B645, B$2:B$1997))) - B645,
    TODAY() - Table3[[#This Row],[Date of Update]]
  ),
  TODAY()-Table3[[#This Row],[Date of Update]]
)&lt;=0,
TODAY()-Table3[[#This Row],[Date of Update]],
IFERROR(
  IF(
    COUNTIF(A$2:A$1997, A645) &gt; 1,
    MIN(IF(A$2:A$1997=A645, IF(B$2:B$1997&gt;B645, B$2:B$1997))) - B645,
    TODAY() - Table3[[#This Row],[Date of Update]]
  ),
  TODAY()-Table3[[#This Row],[Date of Update]]
)))</f>
        <v>55</v>
      </c>
      <c r="G645" s="40" t="str">
        <f>IF(Table3[[#This Row],[Stage]]="Closed",Table3[[#This Row],[Date of Update]]-(_xlfn.MINIFS(Table3[Date of Update],Table3[Ref], Table3[[#This Row],[Ref]])),"")</f>
        <v/>
      </c>
    </row>
    <row r="646" spans="1:7" x14ac:dyDescent="0.25">
      <c r="A646" s="39" t="s">
        <v>1396</v>
      </c>
      <c r="B646" s="33">
        <v>45156</v>
      </c>
      <c r="C646" s="32" t="s">
        <v>23</v>
      </c>
      <c r="D646" s="32" t="s">
        <v>4</v>
      </c>
      <c r="E646" s="32" t="s">
        <v>645</v>
      </c>
      <c r="F646" s="32" cm="1">
        <f t="array" aca="1" ref="F646" ca="1">IF(Table3[[#This Row],[Stage]]="Closed",0,IF(IFERROR(
  IF(
    COUNTIF(A$2:A$1997, A646) &gt; 1,
    MIN(IF(A$2:A$1997=A646, IF(B$2:B$1997&gt;B646, B$2:B$1997))) - B646,
    TODAY() - Table3[[#This Row],[Date of Update]]
  ),
  TODAY()-Table3[[#This Row],[Date of Update]]
)&lt;=0,
TODAY()-Table3[[#This Row],[Date of Update]],
IFERROR(
  IF(
    COUNTIF(A$2:A$1997, A646) &gt; 1,
    MIN(IF(A$2:A$1997=A646, IF(B$2:B$1997&gt;B646, B$2:B$1997))) - B646,
    TODAY() - Table3[[#This Row],[Date of Update]]
  ),
  TODAY()-Table3[[#This Row],[Date of Update]]
)))</f>
        <v>87</v>
      </c>
      <c r="G646" s="40" t="str">
        <f>IF(Table3[[#This Row],[Stage]]="Closed",Table3[[#This Row],[Date of Update]]-(_xlfn.MINIFS(Table3[Date of Update],Table3[Ref], Table3[[#This Row],[Ref]])),"")</f>
        <v/>
      </c>
    </row>
    <row r="647" spans="1:7" x14ac:dyDescent="0.25">
      <c r="A647" s="39" t="s">
        <v>1378</v>
      </c>
      <c r="B647" s="33">
        <v>45161</v>
      </c>
      <c r="C647" s="32" t="s">
        <v>169</v>
      </c>
      <c r="D647" s="32" t="s">
        <v>4</v>
      </c>
      <c r="E647" s="32" t="s">
        <v>521</v>
      </c>
      <c r="F647" s="32" cm="1">
        <f t="array" aca="1" ref="F647" ca="1">IF(Table3[[#This Row],[Stage]]="Closed",0,IF(IFERROR(
  IF(
    COUNTIF(A$2:A$1997, A647) &gt; 1,
    MIN(IF(A$2:A$1997=A647, IF(B$2:B$1997&gt;B647, B$2:B$1997))) - B647,
    TODAY() - Table3[[#This Row],[Date of Update]]
  ),
  TODAY()-Table3[[#This Row],[Date of Update]]
)&lt;=0,
TODAY()-Table3[[#This Row],[Date of Update]],
IFERROR(
  IF(
    COUNTIF(A$2:A$1997, A647) &gt; 1,
    MIN(IF(A$2:A$1997=A647, IF(B$2:B$1997&gt;B647, B$2:B$1997))) - B647,
    TODAY() - Table3[[#This Row],[Date of Update]]
  ),
  TODAY()-Table3[[#This Row],[Date of Update]]
)))</f>
        <v>0</v>
      </c>
      <c r="G647" s="40">
        <f>IF(Table3[[#This Row],[Stage]]="Closed",Table3[[#This Row],[Date of Update]]-(_xlfn.MINIFS(Table3[Date of Update],Table3[Ref], Table3[[#This Row],[Ref]])),"")</f>
        <v>8</v>
      </c>
    </row>
    <row r="648" spans="1:7" x14ac:dyDescent="0.25">
      <c r="A648" s="39" t="s">
        <v>1366</v>
      </c>
      <c r="B648" s="33">
        <v>45163</v>
      </c>
      <c r="C648" s="32" t="s">
        <v>169</v>
      </c>
      <c r="D648" s="32" t="s">
        <v>4</v>
      </c>
      <c r="E648" s="32" t="s">
        <v>844</v>
      </c>
      <c r="F648" s="32" cm="1">
        <f t="array" aca="1" ref="F648" ca="1">IF(Table3[[#This Row],[Stage]]="Closed",0,IF(IFERROR(
  IF(
    COUNTIF(A$2:A$1997, A648) &gt; 1,
    MIN(IF(A$2:A$1997=A648, IF(B$2:B$1997&gt;B648, B$2:B$1997))) - B648,
    TODAY() - Table3[[#This Row],[Date of Update]]
  ),
  TODAY()-Table3[[#This Row],[Date of Update]]
)&lt;=0,
TODAY()-Table3[[#This Row],[Date of Update]],
IFERROR(
  IF(
    COUNTIF(A$2:A$1997, A648) &gt; 1,
    MIN(IF(A$2:A$1997=A648, IF(B$2:B$1997&gt;B648, B$2:B$1997))) - B648,
    TODAY() - Table3[[#This Row],[Date of Update]]
  ),
  TODAY()-Table3[[#This Row],[Date of Update]]
)))</f>
        <v>0</v>
      </c>
      <c r="G648" s="40">
        <f>IF(Table3[[#This Row],[Stage]]="Closed",Table3[[#This Row],[Date of Update]]-(_xlfn.MINIFS(Table3[Date of Update],Table3[Ref], Table3[[#This Row],[Ref]])),"")</f>
        <v>21</v>
      </c>
    </row>
    <row r="649" spans="1:7" x14ac:dyDescent="0.25">
      <c r="A649" s="39" t="s">
        <v>1393</v>
      </c>
      <c r="B649" s="33">
        <v>45168</v>
      </c>
      <c r="C649" s="32" t="s">
        <v>23</v>
      </c>
      <c r="D649" s="32" t="s">
        <v>4</v>
      </c>
      <c r="E649" s="32" t="s">
        <v>531</v>
      </c>
      <c r="F649" s="32" cm="1">
        <f t="array" aca="1" ref="F649" ca="1">IF(Table3[[#This Row],[Stage]]="Closed",0,IF(IFERROR(
  IF(
    COUNTIF(A$2:A$1997, A649) &gt; 1,
    MIN(IF(A$2:A$1997=A649, IF(B$2:B$1997&gt;B649, B$2:B$1997))) - B649,
    TODAY() - Table3[[#This Row],[Date of Update]]
  ),
  TODAY()-Table3[[#This Row],[Date of Update]]
)&lt;=0,
TODAY()-Table3[[#This Row],[Date of Update]],
IFERROR(
  IF(
    COUNTIF(A$2:A$1997, A649) &gt; 1,
    MIN(IF(A$2:A$1997=A649, IF(B$2:B$1997&gt;B649, B$2:B$1997))) - B649,
    TODAY() - Table3[[#This Row],[Date of Update]]
  ),
  TODAY()-Table3[[#This Row],[Date of Update]]
)))</f>
        <v>63</v>
      </c>
      <c r="G649" s="40" t="str">
        <f>IF(Table3[[#This Row],[Stage]]="Closed",Table3[[#This Row],[Date of Update]]-(_xlfn.MINIFS(Table3[Date of Update],Table3[Ref], Table3[[#This Row],[Ref]])),"")</f>
        <v/>
      </c>
    </row>
    <row r="650" spans="1:7" x14ac:dyDescent="0.25">
      <c r="A650" s="39" t="s">
        <v>1402</v>
      </c>
      <c r="B650" s="33">
        <v>45168</v>
      </c>
      <c r="C650" s="32" t="s">
        <v>23</v>
      </c>
      <c r="D650" s="32" t="s">
        <v>4</v>
      </c>
      <c r="E650" s="32" t="s">
        <v>645</v>
      </c>
      <c r="F650" s="32" cm="1">
        <f t="array" aca="1" ref="F650" ca="1">IF(Table3[[#This Row],[Stage]]="Closed",0,IF(IFERROR(
  IF(
    COUNTIF(A$2:A$1997, A650) &gt; 1,
    MIN(IF(A$2:A$1997=A650, IF(B$2:B$1997&gt;B650, B$2:B$1997))) - B650,
    TODAY() - Table3[[#This Row],[Date of Update]]
  ),
  TODAY()-Table3[[#This Row],[Date of Update]]
)&lt;=0,
TODAY()-Table3[[#This Row],[Date of Update]],
IFERROR(
  IF(
    COUNTIF(A$2:A$1997, A650) &gt; 1,
    MIN(IF(A$2:A$1997=A650, IF(B$2:B$1997&gt;B650, B$2:B$1997))) - B650,
    TODAY() - Table3[[#This Row],[Date of Update]]
  ),
  TODAY()-Table3[[#This Row],[Date of Update]]
)))</f>
        <v>93</v>
      </c>
      <c r="G650" s="40" t="str">
        <f>IF(Table3[[#This Row],[Stage]]="Closed",Table3[[#This Row],[Date of Update]]-(_xlfn.MINIFS(Table3[Date of Update],Table3[Ref], Table3[[#This Row],[Ref]])),"")</f>
        <v/>
      </c>
    </row>
    <row r="651" spans="1:7" x14ac:dyDescent="0.25">
      <c r="A651" s="39" t="s">
        <v>1523</v>
      </c>
      <c r="B651" s="33">
        <v>45168</v>
      </c>
      <c r="C651" s="32" t="s">
        <v>23</v>
      </c>
      <c r="D651" s="32" t="s">
        <v>4</v>
      </c>
      <c r="E651" s="32" t="s">
        <v>453</v>
      </c>
      <c r="F651" s="32" cm="1">
        <f t="array" aca="1" ref="F651" ca="1">IF(Table3[[#This Row],[Stage]]="Closed",0,IF(IFERROR(
  IF(
    COUNTIF(A$2:A$1997, A651) &gt; 1,
    MIN(IF(A$2:A$1997=A651, IF(B$2:B$1997&gt;B651, B$2:B$1997))) - B651,
    TODAY() - Table3[[#This Row],[Date of Update]]
  ),
  TODAY()-Table3[[#This Row],[Date of Update]]
)&lt;=0,
TODAY()-Table3[[#This Row],[Date of Update]],
IFERROR(
  IF(
    COUNTIF(A$2:A$1997, A651) &gt; 1,
    MIN(IF(A$2:A$1997=A651, IF(B$2:B$1997&gt;B651, B$2:B$1997))) - B651,
    TODAY() - Table3[[#This Row],[Date of Update]]
  ),
  TODAY()-Table3[[#This Row],[Date of Update]]
)))</f>
        <v>12</v>
      </c>
      <c r="G651" s="40" t="str">
        <f>IF(Table3[[#This Row],[Stage]]="Closed",Table3[[#This Row],[Date of Update]]-(_xlfn.MINIFS(Table3[Date of Update],Table3[Ref], Table3[[#This Row],[Ref]])),"")</f>
        <v/>
      </c>
    </row>
    <row r="652" spans="1:7" x14ac:dyDescent="0.25">
      <c r="A652" s="39" t="s">
        <v>1367</v>
      </c>
      <c r="B652" s="33">
        <v>45170</v>
      </c>
      <c r="C652" s="32" t="s">
        <v>169</v>
      </c>
      <c r="D652" s="32" t="s">
        <v>4</v>
      </c>
      <c r="E652" s="32" t="s">
        <v>453</v>
      </c>
      <c r="F652" s="32" cm="1">
        <f t="array" aca="1" ref="F652" ca="1">IF(Table3[[#This Row],[Stage]]="Closed",0,IF(IFERROR(
  IF(
    COUNTIF(A$2:A$1997, A652) &gt; 1,
    MIN(IF(A$2:A$1997=A652, IF(B$2:B$1997&gt;B652, B$2:B$1997))) - B652,
    TODAY() - Table3[[#This Row],[Date of Update]]
  ),
  TODAY()-Table3[[#This Row],[Date of Update]]
)&lt;=0,
TODAY()-Table3[[#This Row],[Date of Update]],
IFERROR(
  IF(
    COUNTIF(A$2:A$1997, A652) &gt; 1,
    MIN(IF(A$2:A$1997=A652, IF(B$2:B$1997&gt;B652, B$2:B$1997))) - B652,
    TODAY() - Table3[[#This Row],[Date of Update]]
  ),
  TODAY()-Table3[[#This Row],[Date of Update]]
)))</f>
        <v>0</v>
      </c>
      <c r="G652" s="40">
        <f>IF(Table3[[#This Row],[Stage]]="Closed",Table3[[#This Row],[Date of Update]]-(_xlfn.MINIFS(Table3[Date of Update],Table3[Ref], Table3[[#This Row],[Ref]])),"")</f>
        <v>209</v>
      </c>
    </row>
    <row r="653" spans="1:7" x14ac:dyDescent="0.25">
      <c r="A653" s="39" t="s">
        <v>1370</v>
      </c>
      <c r="B653" s="33">
        <v>45170</v>
      </c>
      <c r="C653" s="32" t="s">
        <v>169</v>
      </c>
      <c r="D653" s="32" t="s">
        <v>4</v>
      </c>
      <c r="E653" s="32" t="s">
        <v>850</v>
      </c>
      <c r="F653" s="32" cm="1">
        <f t="array" aca="1" ref="F653" ca="1">IF(Table3[[#This Row],[Stage]]="Closed",0,IF(IFERROR(
  IF(
    COUNTIF(A$2:A$1997, A653) &gt; 1,
    MIN(IF(A$2:A$1997=A653, IF(B$2:B$1997&gt;B653, B$2:B$1997))) - B653,
    TODAY() - Table3[[#This Row],[Date of Update]]
  ),
  TODAY()-Table3[[#This Row],[Date of Update]]
)&lt;=0,
TODAY()-Table3[[#This Row],[Date of Update]],
IFERROR(
  IF(
    COUNTIF(A$2:A$1997, A653) &gt; 1,
    MIN(IF(A$2:A$1997=A653, IF(B$2:B$1997&gt;B653, B$2:B$1997))) - B653,
    TODAY() - Table3[[#This Row],[Date of Update]]
  ),
  TODAY()-Table3[[#This Row],[Date of Update]]
)))</f>
        <v>0</v>
      </c>
      <c r="G653" s="40">
        <f>IF(Table3[[#This Row],[Stage]]="Closed",Table3[[#This Row],[Date of Update]]-(_xlfn.MINIFS(Table3[Date of Update],Table3[Ref], Table3[[#This Row],[Ref]])),"")</f>
        <v>74</v>
      </c>
    </row>
    <row r="654" spans="1:7" x14ac:dyDescent="0.25">
      <c r="A654" s="39" t="s">
        <v>1371</v>
      </c>
      <c r="B654" s="33">
        <v>45170</v>
      </c>
      <c r="C654" s="32" t="s">
        <v>169</v>
      </c>
      <c r="D654" s="32" t="s">
        <v>4</v>
      </c>
      <c r="E654" s="32" t="s">
        <v>531</v>
      </c>
      <c r="F654" s="32" cm="1">
        <f t="array" aca="1" ref="F654" ca="1">IF(Table3[[#This Row],[Stage]]="Closed",0,IF(IFERROR(
  IF(
    COUNTIF(A$2:A$1997, A654) &gt; 1,
    MIN(IF(A$2:A$1997=A654, IF(B$2:B$1997&gt;B654, B$2:B$1997))) - B654,
    TODAY() - Table3[[#This Row],[Date of Update]]
  ),
  TODAY()-Table3[[#This Row],[Date of Update]]
)&lt;=0,
TODAY()-Table3[[#This Row],[Date of Update]],
IFERROR(
  IF(
    COUNTIF(A$2:A$1997, A654) &gt; 1,
    MIN(IF(A$2:A$1997=A654, IF(B$2:B$1997&gt;B654, B$2:B$1997))) - B654,
    TODAY() - Table3[[#This Row],[Date of Update]]
  ),
  TODAY()-Table3[[#This Row],[Date of Update]]
)))</f>
        <v>0</v>
      </c>
      <c r="G654" s="40">
        <f>IF(Table3[[#This Row],[Stage]]="Closed",Table3[[#This Row],[Date of Update]]-(_xlfn.MINIFS(Table3[Date of Update],Table3[Ref], Table3[[#This Row],[Ref]])),"")</f>
        <v>74</v>
      </c>
    </row>
    <row r="655" spans="1:7" x14ac:dyDescent="0.25">
      <c r="A655" s="39" t="s">
        <v>1369</v>
      </c>
      <c r="B655" s="33">
        <v>45170</v>
      </c>
      <c r="C655" s="32" t="s">
        <v>169</v>
      </c>
      <c r="D655" s="32" t="s">
        <v>4</v>
      </c>
      <c r="E655" s="32" t="s">
        <v>848</v>
      </c>
      <c r="F655" s="32" cm="1">
        <f t="array" aca="1" ref="F655" ca="1">IF(Table3[[#This Row],[Stage]]="Closed",0,IF(IFERROR(
  IF(
    COUNTIF(A$2:A$1997, A655) &gt; 1,
    MIN(IF(A$2:A$1997=A655, IF(B$2:B$1997&gt;B655, B$2:B$1997))) - B655,
    TODAY() - Table3[[#This Row],[Date of Update]]
  ),
  TODAY()-Table3[[#This Row],[Date of Update]]
)&lt;=0,
TODAY()-Table3[[#This Row],[Date of Update]],
IFERROR(
  IF(
    COUNTIF(A$2:A$1997, A655) &gt; 1,
    MIN(IF(A$2:A$1997=A655, IF(B$2:B$1997&gt;B655, B$2:B$1997))) - B655,
    TODAY() - Table3[[#This Row],[Date of Update]]
  ),
  TODAY()-Table3[[#This Row],[Date of Update]]
)))</f>
        <v>0</v>
      </c>
      <c r="G655" s="40">
        <f>IF(Table3[[#This Row],[Stage]]="Closed",Table3[[#This Row],[Date of Update]]-(_xlfn.MINIFS(Table3[Date of Update],Table3[Ref], Table3[[#This Row],[Ref]])),"")</f>
        <v>91</v>
      </c>
    </row>
    <row r="656" spans="1:7" x14ac:dyDescent="0.25">
      <c r="A656" s="39" t="s">
        <v>1368</v>
      </c>
      <c r="B656" s="33">
        <v>45170</v>
      </c>
      <c r="C656" s="32" t="s">
        <v>169</v>
      </c>
      <c r="D656" s="32" t="s">
        <v>4</v>
      </c>
      <c r="E656" s="32" t="s">
        <v>453</v>
      </c>
      <c r="F656" s="32" cm="1">
        <f t="array" aca="1" ref="F656" ca="1">IF(Table3[[#This Row],[Stage]]="Closed",0,IF(IFERROR(
  IF(
    COUNTIF(A$2:A$1997, A656) &gt; 1,
    MIN(IF(A$2:A$1997=A656, IF(B$2:B$1997&gt;B656, B$2:B$1997))) - B656,
    TODAY() - Table3[[#This Row],[Date of Update]]
  ),
  TODAY()-Table3[[#This Row],[Date of Update]]
)&lt;=0,
TODAY()-Table3[[#This Row],[Date of Update]],
IFERROR(
  IF(
    COUNTIF(A$2:A$1997, A656) &gt; 1,
    MIN(IF(A$2:A$1997=A656, IF(B$2:B$1997&gt;B656, B$2:B$1997))) - B656,
    TODAY() - Table3[[#This Row],[Date of Update]]
  ),
  TODAY()-Table3[[#This Row],[Date of Update]]
)))</f>
        <v>0</v>
      </c>
      <c r="G656" s="40">
        <f>IF(Table3[[#This Row],[Stage]]="Closed",Table3[[#This Row],[Date of Update]]-(_xlfn.MINIFS(Table3[Date of Update],Table3[Ref], Table3[[#This Row],[Ref]])),"")</f>
        <v>177</v>
      </c>
    </row>
    <row r="657" spans="1:7" x14ac:dyDescent="0.25">
      <c r="A657" s="39" t="s">
        <v>1384</v>
      </c>
      <c r="B657" s="33">
        <v>45176</v>
      </c>
      <c r="C657" s="32" t="s">
        <v>23</v>
      </c>
      <c r="D657" s="32" t="s">
        <v>4</v>
      </c>
      <c r="E657" s="32" t="s">
        <v>521</v>
      </c>
      <c r="F657" s="32" cm="1">
        <f t="array" aca="1" ref="F657" ca="1">IF(Table3[[#This Row],[Stage]]="Closed",0,IF(IFERROR(
  IF(
    COUNTIF(A$2:A$1997, A657) &gt; 1,
    MIN(IF(A$2:A$1997=A657, IF(B$2:B$1997&gt;B657, B$2:B$1997))) - B657,
    TODAY() - Table3[[#This Row],[Date of Update]]
  ),
  TODAY()-Table3[[#This Row],[Date of Update]]
)&lt;=0,
TODAY()-Table3[[#This Row],[Date of Update]],
IFERROR(
  IF(
    COUNTIF(A$2:A$1997, A657) &gt; 1,
    MIN(IF(A$2:A$1997=A657, IF(B$2:B$1997&gt;B657, B$2:B$1997))) - B657,
    TODAY() - Table3[[#This Row],[Date of Update]]
  ),
  TODAY()-Table3[[#This Row],[Date of Update]]
)))</f>
        <v>559</v>
      </c>
      <c r="G657" s="40" t="str">
        <f>IF(Table3[[#This Row],[Stage]]="Closed",Table3[[#This Row],[Date of Update]]-(_xlfn.MINIFS(Table3[Date of Update],Table3[Ref], Table3[[#This Row],[Ref]])),"")</f>
        <v/>
      </c>
    </row>
    <row r="658" spans="1:7" x14ac:dyDescent="0.25">
      <c r="A658" s="39" t="s">
        <v>1384</v>
      </c>
      <c r="B658" s="33">
        <v>45176</v>
      </c>
      <c r="C658" s="32" t="s">
        <v>169</v>
      </c>
      <c r="D658" s="32" t="s">
        <v>4</v>
      </c>
      <c r="E658" s="32" t="s">
        <v>521</v>
      </c>
      <c r="F658" s="32" cm="1">
        <f t="array" aca="1" ref="F658" ca="1">IF(Table3[[#This Row],[Stage]]="Closed",0,IF(IFERROR(
  IF(
    COUNTIF(A$2:A$1997, A658) &gt; 1,
    MIN(IF(A$2:A$1997=A658, IF(B$2:B$1997&gt;B658, B$2:B$1997))) - B658,
    TODAY() - Table3[[#This Row],[Date of Update]]
  ),
  TODAY()-Table3[[#This Row],[Date of Update]]
)&lt;=0,
TODAY()-Table3[[#This Row],[Date of Update]],
IFERROR(
  IF(
    COUNTIF(A$2:A$1997, A658) &gt; 1,
    MIN(IF(A$2:A$1997=A658, IF(B$2:B$1997&gt;B658, B$2:B$1997))) - B658,
    TODAY() - Table3[[#This Row],[Date of Update]]
  ),
  TODAY()-Table3[[#This Row],[Date of Update]]
)))</f>
        <v>0</v>
      </c>
      <c r="G658" s="40">
        <f>IF(Table3[[#This Row],[Stage]]="Closed",Table3[[#This Row],[Date of Update]]-(_xlfn.MINIFS(Table3[Date of Update],Table3[Ref], Table3[[#This Row],[Ref]])),"")</f>
        <v>0</v>
      </c>
    </row>
    <row r="659" spans="1:7" x14ac:dyDescent="0.25">
      <c r="A659" s="39" t="s">
        <v>1523</v>
      </c>
      <c r="B659" s="33">
        <v>45180</v>
      </c>
      <c r="C659" s="32" t="s">
        <v>169</v>
      </c>
      <c r="D659" s="32" t="s">
        <v>4</v>
      </c>
      <c r="E659" s="32" t="s">
        <v>453</v>
      </c>
      <c r="F659" s="32" cm="1">
        <f t="array" aca="1" ref="F659" ca="1">IF(Table3[[#This Row],[Stage]]="Closed",0,IF(IFERROR(
  IF(
    COUNTIF(A$2:A$1997, A659) &gt; 1,
    MIN(IF(A$2:A$1997=A659, IF(B$2:B$1997&gt;B659, B$2:B$1997))) - B659,
    TODAY() - Table3[[#This Row],[Date of Update]]
  ),
  TODAY()-Table3[[#This Row],[Date of Update]]
)&lt;=0,
TODAY()-Table3[[#This Row],[Date of Update]],
IFERROR(
  IF(
    COUNTIF(A$2:A$1997, A659) &gt; 1,
    MIN(IF(A$2:A$1997=A659, IF(B$2:B$1997&gt;B659, B$2:B$1997))) - B659,
    TODAY() - Table3[[#This Row],[Date of Update]]
  ),
  TODAY()-Table3[[#This Row],[Date of Update]]
)))</f>
        <v>0</v>
      </c>
      <c r="G659" s="40">
        <f>IF(Table3[[#This Row],[Stage]]="Closed",Table3[[#This Row],[Date of Update]]-(_xlfn.MINIFS(Table3[Date of Update],Table3[Ref], Table3[[#This Row],[Ref]])),"")</f>
        <v>12</v>
      </c>
    </row>
    <row r="660" spans="1:7" x14ac:dyDescent="0.25">
      <c r="A660" s="39" t="s">
        <v>1385</v>
      </c>
      <c r="B660" s="33">
        <v>45181</v>
      </c>
      <c r="C660" s="32" t="s">
        <v>23</v>
      </c>
      <c r="D660" s="32" t="s">
        <v>4</v>
      </c>
      <c r="E660" s="32" t="s">
        <v>521</v>
      </c>
      <c r="F660" s="32" cm="1">
        <f t="array" aca="1" ref="F660" ca="1">IF(Table3[[#This Row],[Stage]]="Closed",0,IF(IFERROR(
  IF(
    COUNTIF(A$2:A$1997, A660) &gt; 1,
    MIN(IF(A$2:A$1997=A660, IF(B$2:B$1997&gt;B660, B$2:B$1997))) - B660,
    TODAY() - Table3[[#This Row],[Date of Update]]
  ),
  TODAY()-Table3[[#This Row],[Date of Update]]
)&lt;=0,
TODAY()-Table3[[#This Row],[Date of Update]],
IFERROR(
  IF(
    COUNTIF(A$2:A$1997, A660) &gt; 1,
    MIN(IF(A$2:A$1997=A660, IF(B$2:B$1997&gt;B660, B$2:B$1997))) - B660,
    TODAY() - Table3[[#This Row],[Date of Update]]
  ),
  TODAY()-Table3[[#This Row],[Date of Update]]
)))</f>
        <v>554</v>
      </c>
      <c r="G660" s="40" t="str">
        <f>IF(Table3[[#This Row],[Stage]]="Closed",Table3[[#This Row],[Date of Update]]-(_xlfn.MINIFS(Table3[Date of Update],Table3[Ref], Table3[[#This Row],[Ref]])),"")</f>
        <v/>
      </c>
    </row>
    <row r="661" spans="1:7" x14ac:dyDescent="0.25">
      <c r="A661" s="39" t="s">
        <v>1385</v>
      </c>
      <c r="B661" s="33">
        <v>45181</v>
      </c>
      <c r="C661" s="32" t="s">
        <v>169</v>
      </c>
      <c r="D661" s="32" t="s">
        <v>4</v>
      </c>
      <c r="E661" s="32" t="s">
        <v>521</v>
      </c>
      <c r="F661" s="32" cm="1">
        <f t="array" aca="1" ref="F661" ca="1">IF(Table3[[#This Row],[Stage]]="Closed",0,IF(IFERROR(
  IF(
    COUNTIF(A$2:A$1997, A661) &gt; 1,
    MIN(IF(A$2:A$1997=A661, IF(B$2:B$1997&gt;B661, B$2:B$1997))) - B661,
    TODAY() - Table3[[#This Row],[Date of Update]]
  ),
  TODAY()-Table3[[#This Row],[Date of Update]]
)&lt;=0,
TODAY()-Table3[[#This Row],[Date of Update]],
IFERROR(
  IF(
    COUNTIF(A$2:A$1997, A661) &gt; 1,
    MIN(IF(A$2:A$1997=A661, IF(B$2:B$1997&gt;B661, B$2:B$1997))) - B661,
    TODAY() - Table3[[#This Row],[Date of Update]]
  ),
  TODAY()-Table3[[#This Row],[Date of Update]]
)))</f>
        <v>0</v>
      </c>
      <c r="G661" s="40">
        <f>IF(Table3[[#This Row],[Stage]]="Closed",Table3[[#This Row],[Date of Update]]-(_xlfn.MINIFS(Table3[Date of Update],Table3[Ref], Table3[[#This Row],[Ref]])),"")</f>
        <v>0</v>
      </c>
    </row>
    <row r="662" spans="1:7" x14ac:dyDescent="0.25">
      <c r="A662" s="39" t="s">
        <v>1377</v>
      </c>
      <c r="B662" s="33">
        <v>45182</v>
      </c>
      <c r="C662" s="32" t="s">
        <v>23</v>
      </c>
      <c r="D662" s="32" t="s">
        <v>4</v>
      </c>
      <c r="E662" s="32" t="s">
        <v>72</v>
      </c>
      <c r="F662" s="32" cm="1">
        <f t="array" aca="1" ref="F662" ca="1">IF(Table3[[#This Row],[Stage]]="Closed",0,IF(IFERROR(
  IF(
    COUNTIF(A$2:A$1997, A662) &gt; 1,
    MIN(IF(A$2:A$1997=A662, IF(B$2:B$1997&gt;B662, B$2:B$1997))) - B662,
    TODAY() - Table3[[#This Row],[Date of Update]]
  ),
  TODAY()-Table3[[#This Row],[Date of Update]]
)&lt;=0,
TODAY()-Table3[[#This Row],[Date of Update]],
IFERROR(
  IF(
    COUNTIF(A$2:A$1997, A662) &gt; 1,
    MIN(IF(A$2:A$1997=A662, IF(B$2:B$1997&gt;B662, B$2:B$1997))) - B662,
    TODAY() - Table3[[#This Row],[Date of Update]]
  ),
  TODAY()-Table3[[#This Row],[Date of Update]]
)))</f>
        <v>27</v>
      </c>
      <c r="G662" s="40" t="str">
        <f>IF(Table3[[#This Row],[Stage]]="Closed",Table3[[#This Row],[Date of Update]]-(_xlfn.MINIFS(Table3[Date of Update],Table3[Ref], Table3[[#This Row],[Ref]])),"")</f>
        <v/>
      </c>
    </row>
    <row r="663" spans="1:7" x14ac:dyDescent="0.25">
      <c r="A663" s="39" t="s">
        <v>1424</v>
      </c>
      <c r="B663" s="33">
        <v>45184</v>
      </c>
      <c r="C663" s="32" t="s">
        <v>23</v>
      </c>
      <c r="D663" s="32" t="s">
        <v>4</v>
      </c>
      <c r="E663" s="32" t="s">
        <v>952</v>
      </c>
      <c r="F663" s="32" cm="1">
        <f t="array" aca="1" ref="F663" ca="1">IF(Table3[[#This Row],[Stage]]="Closed",0,IF(IFERROR(
  IF(
    COUNTIF(A$2:A$1997, A663) &gt; 1,
    MIN(IF(A$2:A$1997=A663, IF(B$2:B$1997&gt;B663, B$2:B$1997))) - B663,
    TODAY() - Table3[[#This Row],[Date of Update]]
  ),
  TODAY()-Table3[[#This Row],[Date of Update]]
)&lt;=0,
TODAY()-Table3[[#This Row],[Date of Update]],
IFERROR(
  IF(
    COUNTIF(A$2:A$1997, A663) &gt; 1,
    MIN(IF(A$2:A$1997=A663, IF(B$2:B$1997&gt;B663, B$2:B$1997))) - B663,
    TODAY() - Table3[[#This Row],[Date of Update]]
  ),
  TODAY()-Table3[[#This Row],[Date of Update]]
)))</f>
        <v>143</v>
      </c>
      <c r="G663" s="40" t="str">
        <f>IF(Table3[[#This Row],[Stage]]="Closed",Table3[[#This Row],[Date of Update]]-(_xlfn.MINIFS(Table3[Date of Update],Table3[Ref], Table3[[#This Row],[Ref]])),"")</f>
        <v/>
      </c>
    </row>
    <row r="664" spans="1:7" x14ac:dyDescent="0.25">
      <c r="A664" s="39" t="s">
        <v>1492</v>
      </c>
      <c r="B664" s="33">
        <v>45190</v>
      </c>
      <c r="C664" s="32" t="s">
        <v>23</v>
      </c>
      <c r="D664" s="32" t="s">
        <v>4</v>
      </c>
      <c r="E664" s="32" t="s">
        <v>875</v>
      </c>
      <c r="F664" s="32" cm="1">
        <f t="array" aca="1" ref="F664" ca="1">IF(Table3[[#This Row],[Stage]]="Closed",0,IF(IFERROR(
  IF(
    COUNTIF(A$2:A$1997, A664) &gt; 1,
    MIN(IF(A$2:A$1997=A664, IF(B$2:B$1997&gt;B664, B$2:B$1997))) - B664,
    TODAY() - Table3[[#This Row],[Date of Update]]
  ),
  TODAY()-Table3[[#This Row],[Date of Update]]
)&lt;=0,
TODAY()-Table3[[#This Row],[Date of Update]],
IFERROR(
  IF(
    COUNTIF(A$2:A$1997, A664) &gt; 1,
    MIN(IF(A$2:A$1997=A664, IF(B$2:B$1997&gt;B664, B$2:B$1997))) - B664,
    TODAY() - Table3[[#This Row],[Date of Update]]
  ),
  TODAY()-Table3[[#This Row],[Date of Update]]
)))</f>
        <v>545</v>
      </c>
      <c r="G664" s="40" t="str">
        <f>IF(Table3[[#This Row],[Stage]]="Closed",Table3[[#This Row],[Date of Update]]-(_xlfn.MINIFS(Table3[Date of Update],Table3[Ref], Table3[[#This Row],[Ref]])),"")</f>
        <v/>
      </c>
    </row>
    <row r="665" spans="1:7" x14ac:dyDescent="0.25">
      <c r="A665" s="39" t="s">
        <v>1492</v>
      </c>
      <c r="B665" s="33">
        <v>45190</v>
      </c>
      <c r="C665" s="32" t="s">
        <v>169</v>
      </c>
      <c r="D665" s="32" t="s">
        <v>4</v>
      </c>
      <c r="E665" s="32" t="s">
        <v>875</v>
      </c>
      <c r="F665" s="32" cm="1">
        <f t="array" aca="1" ref="F665" ca="1">IF(Table3[[#This Row],[Stage]]="Closed",0,IF(IFERROR(
  IF(
    COUNTIF(A$2:A$1997, A665) &gt; 1,
    MIN(IF(A$2:A$1997=A665, IF(B$2:B$1997&gt;B665, B$2:B$1997))) - B665,
    TODAY() - Table3[[#This Row],[Date of Update]]
  ),
  TODAY()-Table3[[#This Row],[Date of Update]]
)&lt;=0,
TODAY()-Table3[[#This Row],[Date of Update]],
IFERROR(
  IF(
    COUNTIF(A$2:A$1997, A665) &gt; 1,
    MIN(IF(A$2:A$1997=A665, IF(B$2:B$1997&gt;B665, B$2:B$1997))) - B665,
    TODAY() - Table3[[#This Row],[Date of Update]]
  ),
  TODAY()-Table3[[#This Row],[Date of Update]]
)))</f>
        <v>0</v>
      </c>
      <c r="G665" s="40">
        <f>IF(Table3[[#This Row],[Stage]]="Closed",Table3[[#This Row],[Date of Update]]-(_xlfn.MINIFS(Table3[Date of Update],Table3[Ref], Table3[[#This Row],[Ref]])),"")</f>
        <v>0</v>
      </c>
    </row>
    <row r="666" spans="1:7" x14ac:dyDescent="0.25">
      <c r="A666" s="39" t="s">
        <v>1354</v>
      </c>
      <c r="B666" s="33">
        <v>45194</v>
      </c>
      <c r="C666" s="32" t="s">
        <v>23</v>
      </c>
      <c r="D666" s="32" t="s">
        <v>4</v>
      </c>
      <c r="E666" s="32" t="s">
        <v>453</v>
      </c>
      <c r="F666" s="32" cm="1">
        <f t="array" aca="1" ref="F666" ca="1">IF(Table3[[#This Row],[Stage]]="Closed",0,IF(IFERROR(
  IF(
    COUNTIF(A$2:A$1997, A666) &gt; 1,
    MIN(IF(A$2:A$1997=A666, IF(B$2:B$1997&gt;B666, B$2:B$1997))) - B666,
    TODAY() - Table3[[#This Row],[Date of Update]]
  ),
  TODAY()-Table3[[#This Row],[Date of Update]]
)&lt;=0,
TODAY()-Table3[[#This Row],[Date of Update]],
IFERROR(
  IF(
    COUNTIF(A$2:A$1997, A666) &gt; 1,
    MIN(IF(A$2:A$1997=A666, IF(B$2:B$1997&gt;B666, B$2:B$1997))) - B666,
    TODAY() - Table3[[#This Row],[Date of Update]]
  ),
  TODAY()-Table3[[#This Row],[Date of Update]]
)))</f>
        <v>67</v>
      </c>
      <c r="G666" s="40" t="str">
        <f>IF(Table3[[#This Row],[Stage]]="Closed",Table3[[#This Row],[Date of Update]]-(_xlfn.MINIFS(Table3[Date of Update],Table3[Ref], Table3[[#This Row],[Ref]])),"")</f>
        <v/>
      </c>
    </row>
    <row r="667" spans="1:7" x14ac:dyDescent="0.25">
      <c r="A667" s="39" t="s">
        <v>1382</v>
      </c>
      <c r="B667" s="33">
        <v>45196</v>
      </c>
      <c r="C667" s="32" t="s">
        <v>23</v>
      </c>
      <c r="D667" s="32" t="s">
        <v>4</v>
      </c>
      <c r="E667" s="32" t="s">
        <v>453</v>
      </c>
      <c r="F667" s="32" cm="1">
        <f t="array" aca="1" ref="F667" ca="1">IF(Table3[[#This Row],[Stage]]="Closed",0,IF(IFERROR(
  IF(
    COUNTIF(A$2:A$1997, A667) &gt; 1,
    MIN(IF(A$2:A$1997=A667, IF(B$2:B$1997&gt;B667, B$2:B$1997))) - B667,
    TODAY() - Table3[[#This Row],[Date of Update]]
  ),
  TODAY()-Table3[[#This Row],[Date of Update]]
)&lt;=0,
TODAY()-Table3[[#This Row],[Date of Update]],
IFERROR(
  IF(
    COUNTIF(A$2:A$1997, A667) &gt; 1,
    MIN(IF(A$2:A$1997=A667, IF(B$2:B$1997&gt;B667, B$2:B$1997))) - B667,
    TODAY() - Table3[[#This Row],[Date of Update]]
  ),
  TODAY()-Table3[[#This Row],[Date of Update]]
)))</f>
        <v>15</v>
      </c>
      <c r="G667" s="40" t="str">
        <f>IF(Table3[[#This Row],[Stage]]="Closed",Table3[[#This Row],[Date of Update]]-(_xlfn.MINIFS(Table3[Date of Update],Table3[Ref], Table3[[#This Row],[Ref]])),"")</f>
        <v/>
      </c>
    </row>
    <row r="668" spans="1:7" x14ac:dyDescent="0.25">
      <c r="A668" s="39" t="s">
        <v>1387</v>
      </c>
      <c r="B668" s="33">
        <v>45201</v>
      </c>
      <c r="C668" s="32" t="s">
        <v>23</v>
      </c>
      <c r="D668" s="32" t="s">
        <v>4</v>
      </c>
      <c r="E668" s="32" t="s">
        <v>878</v>
      </c>
      <c r="F668" s="32" cm="1">
        <f t="array" aca="1" ref="F668" ca="1">IF(Table3[[#This Row],[Stage]]="Closed",0,IF(IFERROR(
  IF(
    COUNTIF(A$2:A$1997, A668) &gt; 1,
    MIN(IF(A$2:A$1997=A668, IF(B$2:B$1997&gt;B668, B$2:B$1997))) - B668,
    TODAY() - Table3[[#This Row],[Date of Update]]
  ),
  TODAY()-Table3[[#This Row],[Date of Update]]
)&lt;=0,
TODAY()-Table3[[#This Row],[Date of Update]],
IFERROR(
  IF(
    COUNTIF(A$2:A$1997, A668) &gt; 1,
    MIN(IF(A$2:A$1997=A668, IF(B$2:B$1997&gt;B668, B$2:B$1997))) - B668,
    TODAY() - Table3[[#This Row],[Date of Update]]
  ),
  TODAY()-Table3[[#This Row],[Date of Update]]
)))</f>
        <v>9</v>
      </c>
      <c r="G668" s="40" t="str">
        <f>IF(Table3[[#This Row],[Stage]]="Closed",Table3[[#This Row],[Date of Update]]-(_xlfn.MINIFS(Table3[Date of Update],Table3[Ref], Table3[[#This Row],[Ref]])),"")</f>
        <v/>
      </c>
    </row>
    <row r="669" spans="1:7" x14ac:dyDescent="0.25">
      <c r="A669" s="39" t="s">
        <v>1379</v>
      </c>
      <c r="B669" s="33">
        <v>45203</v>
      </c>
      <c r="C669" s="32" t="s">
        <v>23</v>
      </c>
      <c r="D669" s="32" t="s">
        <v>4</v>
      </c>
      <c r="E669" s="32" t="s">
        <v>73</v>
      </c>
      <c r="F669" s="32" cm="1">
        <f t="array" aca="1" ref="F669" ca="1">IF(Table3[[#This Row],[Stage]]="Closed",0,IF(IFERROR(
  IF(
    COUNTIF(A$2:A$1997, A669) &gt; 1,
    MIN(IF(A$2:A$1997=A669, IF(B$2:B$1997&gt;B669, B$2:B$1997))) - B669,
    TODAY() - Table3[[#This Row],[Date of Update]]
  ),
  TODAY()-Table3[[#This Row],[Date of Update]]
)&lt;=0,
TODAY()-Table3[[#This Row],[Date of Update]],
IFERROR(
  IF(
    COUNTIF(A$2:A$1997, A669) &gt; 1,
    MIN(IF(A$2:A$1997=A669, IF(B$2:B$1997&gt;B669, B$2:B$1997))) - B669,
    TODAY() - Table3[[#This Row],[Date of Update]]
  ),
  TODAY()-Table3[[#This Row],[Date of Update]]
)))</f>
        <v>7</v>
      </c>
      <c r="G669" s="40" t="str">
        <f>IF(Table3[[#This Row],[Stage]]="Closed",Table3[[#This Row],[Date of Update]]-(_xlfn.MINIFS(Table3[Date of Update],Table3[Ref], Table3[[#This Row],[Ref]])),"")</f>
        <v/>
      </c>
    </row>
    <row r="670" spans="1:7" x14ac:dyDescent="0.25">
      <c r="A670" s="39" t="s">
        <v>1375</v>
      </c>
      <c r="B670" s="33">
        <v>45205</v>
      </c>
      <c r="C670" s="32" t="s">
        <v>169</v>
      </c>
      <c r="D670" s="32" t="s">
        <v>4</v>
      </c>
      <c r="E670" s="32" t="s">
        <v>856</v>
      </c>
      <c r="F670" s="32" cm="1">
        <f t="array" aca="1" ref="F670" ca="1">IF(Table3[[#This Row],[Stage]]="Closed",0,IF(IFERROR(
  IF(
    COUNTIF(A$2:A$1997, A670) &gt; 1,
    MIN(IF(A$2:A$1997=A670, IF(B$2:B$1997&gt;B670, B$2:B$1997))) - B670,
    TODAY() - Table3[[#This Row],[Date of Update]]
  ),
  TODAY()-Table3[[#This Row],[Date of Update]]
)&lt;=0,
TODAY()-Table3[[#This Row],[Date of Update]],
IFERROR(
  IF(
    COUNTIF(A$2:A$1997, A670) &gt; 1,
    MIN(IF(A$2:A$1997=A670, IF(B$2:B$1997&gt;B670, B$2:B$1997))) - B670,
    TODAY() - Table3[[#This Row],[Date of Update]]
  ),
  TODAY()-Table3[[#This Row],[Date of Update]]
)))</f>
        <v>0</v>
      </c>
      <c r="G670" s="40">
        <f>IF(Table3[[#This Row],[Stage]]="Closed",Table3[[#This Row],[Date of Update]]-(_xlfn.MINIFS(Table3[Date of Update],Table3[Ref], Table3[[#This Row],[Ref]])),"")</f>
        <v>142</v>
      </c>
    </row>
    <row r="671" spans="1:7" x14ac:dyDescent="0.25">
      <c r="A671" s="39" t="s">
        <v>1388</v>
      </c>
      <c r="B671" s="33">
        <v>45208</v>
      </c>
      <c r="C671" s="32" t="s">
        <v>23</v>
      </c>
      <c r="D671" s="32" t="s">
        <v>4</v>
      </c>
      <c r="E671" s="32" t="s">
        <v>788</v>
      </c>
      <c r="F671" s="32" cm="1">
        <f t="array" aca="1" ref="F671" ca="1">IF(Table3[[#This Row],[Stage]]="Closed",0,IF(IFERROR(
  IF(
    COUNTIF(A$2:A$1997, A671) &gt; 1,
    MIN(IF(A$2:A$1997=A671, IF(B$2:B$1997&gt;B671, B$2:B$1997))) - B671,
    TODAY() - Table3[[#This Row],[Date of Update]]
  ),
  TODAY()-Table3[[#This Row],[Date of Update]]
)&lt;=0,
TODAY()-Table3[[#This Row],[Date of Update]],
IFERROR(
  IF(
    COUNTIF(A$2:A$1997, A671) &gt; 1,
    MIN(IF(A$2:A$1997=A671, IF(B$2:B$1997&gt;B671, B$2:B$1997))) - B671,
    TODAY() - Table3[[#This Row],[Date of Update]]
  ),
  TODAY()-Table3[[#This Row],[Date of Update]]
)))</f>
        <v>18</v>
      </c>
      <c r="G671" s="40" t="str">
        <f>IF(Table3[[#This Row],[Stage]]="Closed",Table3[[#This Row],[Date of Update]]-(_xlfn.MINIFS(Table3[Date of Update],Table3[Ref], Table3[[#This Row],[Ref]])),"")</f>
        <v/>
      </c>
    </row>
    <row r="672" spans="1:7" x14ac:dyDescent="0.25">
      <c r="A672" s="39" t="s">
        <v>1389</v>
      </c>
      <c r="B672" s="33">
        <v>45208</v>
      </c>
      <c r="C672" s="32" t="s">
        <v>23</v>
      </c>
      <c r="D672" s="32" t="s">
        <v>4</v>
      </c>
      <c r="E672" s="32" t="s">
        <v>881</v>
      </c>
      <c r="F672" s="32" cm="1">
        <f t="array" aca="1" ref="F672" ca="1">IF(Table3[[#This Row],[Stage]]="Closed",0,IF(IFERROR(
  IF(
    COUNTIF(A$2:A$1997, A672) &gt; 1,
    MIN(IF(A$2:A$1997=A672, IF(B$2:B$1997&gt;B672, B$2:B$1997))) - B672,
    TODAY() - Table3[[#This Row],[Date of Update]]
  ),
  TODAY()-Table3[[#This Row],[Date of Update]]
)&lt;=0,
TODAY()-Table3[[#This Row],[Date of Update]],
IFERROR(
  IF(
    COUNTIF(A$2:A$1997, A672) &gt; 1,
    MIN(IF(A$2:A$1997=A672, IF(B$2:B$1997&gt;B672, B$2:B$1997))) - B672,
    TODAY() - Table3[[#This Row],[Date of Update]]
  ),
  TODAY()-Table3[[#This Row],[Date of Update]]
)))</f>
        <v>14</v>
      </c>
      <c r="G672" s="40" t="str">
        <f>IF(Table3[[#This Row],[Stage]]="Closed",Table3[[#This Row],[Date of Update]]-(_xlfn.MINIFS(Table3[Date of Update],Table3[Ref], Table3[[#This Row],[Ref]])),"")</f>
        <v/>
      </c>
    </row>
    <row r="673" spans="1:7" x14ac:dyDescent="0.25">
      <c r="A673" s="39" t="s">
        <v>1425</v>
      </c>
      <c r="B673" s="33">
        <v>45208</v>
      </c>
      <c r="C673" s="32" t="s">
        <v>23</v>
      </c>
      <c r="D673" s="32" t="s">
        <v>4</v>
      </c>
      <c r="E673" s="32" t="s">
        <v>645</v>
      </c>
      <c r="F673" s="32" cm="1">
        <f t="array" aca="1" ref="F673" ca="1">IF(Table3[[#This Row],[Stage]]="Closed",0,IF(IFERROR(
  IF(
    COUNTIF(A$2:A$1997, A673) &gt; 1,
    MIN(IF(A$2:A$1997=A673, IF(B$2:B$1997&gt;B673, B$2:B$1997))) - B673,
    TODAY() - Table3[[#This Row],[Date of Update]]
  ),
  TODAY()-Table3[[#This Row],[Date of Update]]
)&lt;=0,
TODAY()-Table3[[#This Row],[Date of Update]],
IFERROR(
  IF(
    COUNTIF(A$2:A$1997, A673) &gt; 1,
    MIN(IF(A$2:A$1997=A673, IF(B$2:B$1997&gt;B673, B$2:B$1997))) - B673,
    TODAY() - Table3[[#This Row],[Date of Update]]
  ),
  TODAY()-Table3[[#This Row],[Date of Update]]
)))</f>
        <v>121</v>
      </c>
      <c r="G673" s="40" t="str">
        <f>IF(Table3[[#This Row],[Stage]]="Closed",Table3[[#This Row],[Date of Update]]-(_xlfn.MINIFS(Table3[Date of Update],Table3[Ref], Table3[[#This Row],[Ref]])),"")</f>
        <v/>
      </c>
    </row>
    <row r="674" spans="1:7" x14ac:dyDescent="0.25">
      <c r="A674" s="39" t="s">
        <v>1377</v>
      </c>
      <c r="B674" s="33">
        <v>45209</v>
      </c>
      <c r="C674" s="32" t="s">
        <v>169</v>
      </c>
      <c r="D674" s="32" t="s">
        <v>4</v>
      </c>
      <c r="E674" s="32" t="s">
        <v>72</v>
      </c>
      <c r="F674" s="32" cm="1">
        <f t="array" aca="1" ref="F674" ca="1">IF(Table3[[#This Row],[Stage]]="Closed",0,IF(IFERROR(
  IF(
    COUNTIF(A$2:A$1997, A674) &gt; 1,
    MIN(IF(A$2:A$1997=A674, IF(B$2:B$1997&gt;B674, B$2:B$1997))) - B674,
    TODAY() - Table3[[#This Row],[Date of Update]]
  ),
  TODAY()-Table3[[#This Row],[Date of Update]]
)&lt;=0,
TODAY()-Table3[[#This Row],[Date of Update]],
IFERROR(
  IF(
    COUNTIF(A$2:A$1997, A674) &gt; 1,
    MIN(IF(A$2:A$1997=A674, IF(B$2:B$1997&gt;B674, B$2:B$1997))) - B674,
    TODAY() - Table3[[#This Row],[Date of Update]]
  ),
  TODAY()-Table3[[#This Row],[Date of Update]]
)))</f>
        <v>0</v>
      </c>
      <c r="G674" s="40">
        <f>IF(Table3[[#This Row],[Stage]]="Closed",Table3[[#This Row],[Date of Update]]-(_xlfn.MINIFS(Table3[Date of Update],Table3[Ref], Table3[[#This Row],[Ref]])),"")</f>
        <v>27</v>
      </c>
    </row>
    <row r="675" spans="1:7" x14ac:dyDescent="0.25">
      <c r="A675" s="39" t="s">
        <v>1271</v>
      </c>
      <c r="B675" s="33">
        <v>45209</v>
      </c>
      <c r="C675" s="32" t="s">
        <v>23</v>
      </c>
      <c r="D675" s="32" t="s">
        <v>4</v>
      </c>
      <c r="E675" s="32" t="s">
        <v>453</v>
      </c>
      <c r="F675" s="32" cm="1">
        <f t="array" aca="1" ref="F675" ca="1">IF(Table3[[#This Row],[Stage]]="Closed",0,IF(IFERROR(
  IF(
    COUNTIF(A$2:A$1997, A675) &gt; 1,
    MIN(IF(A$2:A$1997=A675, IF(B$2:B$1997&gt;B675, B$2:B$1997))) - B675,
    TODAY() - Table3[[#This Row],[Date of Update]]
  ),
  TODAY()-Table3[[#This Row],[Date of Update]]
)&lt;=0,
TODAY()-Table3[[#This Row],[Date of Update]],
IFERROR(
  IF(
    COUNTIF(A$2:A$1997, A675) &gt; 1,
    MIN(IF(A$2:A$1997=A675, IF(B$2:B$1997&gt;B675, B$2:B$1997))) - B675,
    TODAY() - Table3[[#This Row],[Date of Update]]
  ),
  TODAY()-Table3[[#This Row],[Date of Update]]
)))</f>
        <v>9</v>
      </c>
      <c r="G675" s="40" t="str">
        <f>IF(Table3[[#This Row],[Stage]]="Closed",Table3[[#This Row],[Date of Update]]-(_xlfn.MINIFS(Table3[Date of Update],Table3[Ref], Table3[[#This Row],[Ref]])),"")</f>
        <v/>
      </c>
    </row>
    <row r="676" spans="1:7" x14ac:dyDescent="0.25">
      <c r="A676" s="39" t="s">
        <v>1376</v>
      </c>
      <c r="B676" s="33">
        <v>45209</v>
      </c>
      <c r="C676" s="32" t="s">
        <v>169</v>
      </c>
      <c r="D676" s="32" t="s">
        <v>4</v>
      </c>
      <c r="E676" s="32" t="s">
        <v>453</v>
      </c>
      <c r="F676" s="32" cm="1">
        <f t="array" aca="1" ref="F676" ca="1">IF(Table3[[#This Row],[Stage]]="Closed",0,IF(IFERROR(
  IF(
    COUNTIF(A$2:A$1997, A676) &gt; 1,
    MIN(IF(A$2:A$1997=A676, IF(B$2:B$1997&gt;B676, B$2:B$1997))) - B676,
    TODAY() - Table3[[#This Row],[Date of Update]]
  ),
  TODAY()-Table3[[#This Row],[Date of Update]]
)&lt;=0,
TODAY()-Table3[[#This Row],[Date of Update]],
IFERROR(
  IF(
    COUNTIF(A$2:A$1997, A676) &gt; 1,
    MIN(IF(A$2:A$1997=A676, IF(B$2:B$1997&gt;B676, B$2:B$1997))) - B676,
    TODAY() - Table3[[#This Row],[Date of Update]]
  ),
  TODAY()-Table3[[#This Row],[Date of Update]]
)))</f>
        <v>0</v>
      </c>
      <c r="G676" s="40">
        <f>IF(Table3[[#This Row],[Stage]]="Closed",Table3[[#This Row],[Date of Update]]-(_xlfn.MINIFS(Table3[Date of Update],Table3[Ref], Table3[[#This Row],[Ref]])),"")</f>
        <v>55</v>
      </c>
    </row>
    <row r="677" spans="1:7" x14ac:dyDescent="0.25">
      <c r="A677" s="39" t="s">
        <v>1379</v>
      </c>
      <c r="B677" s="33">
        <v>45210</v>
      </c>
      <c r="C677" s="32" t="s">
        <v>169</v>
      </c>
      <c r="D677" s="32" t="s">
        <v>4</v>
      </c>
      <c r="E677" s="32" t="s">
        <v>73</v>
      </c>
      <c r="F677" s="32" cm="1">
        <f t="array" aca="1" ref="F677" ca="1">IF(Table3[[#This Row],[Stage]]="Closed",0,IF(IFERROR(
  IF(
    COUNTIF(A$2:A$1997, A677) &gt; 1,
    MIN(IF(A$2:A$1997=A677, IF(B$2:B$1997&gt;B677, B$2:B$1997))) - B677,
    TODAY() - Table3[[#This Row],[Date of Update]]
  ),
  TODAY()-Table3[[#This Row],[Date of Update]]
)&lt;=0,
TODAY()-Table3[[#This Row],[Date of Update]],
IFERROR(
  IF(
    COUNTIF(A$2:A$1997, A677) &gt; 1,
    MIN(IF(A$2:A$1997=A677, IF(B$2:B$1997&gt;B677, B$2:B$1997))) - B677,
    TODAY() - Table3[[#This Row],[Date of Update]]
  ),
  TODAY()-Table3[[#This Row],[Date of Update]]
)))</f>
        <v>0</v>
      </c>
      <c r="G677" s="40">
        <f>IF(Table3[[#This Row],[Stage]]="Closed",Table3[[#This Row],[Date of Update]]-(_xlfn.MINIFS(Table3[Date of Update],Table3[Ref], Table3[[#This Row],[Ref]])),"")</f>
        <v>7</v>
      </c>
    </row>
    <row r="678" spans="1:7" x14ac:dyDescent="0.25">
      <c r="A678" s="39" t="s">
        <v>1387</v>
      </c>
      <c r="B678" s="33">
        <v>45210</v>
      </c>
      <c r="C678" s="32" t="s">
        <v>169</v>
      </c>
      <c r="D678" s="32" t="s">
        <v>4</v>
      </c>
      <c r="E678" s="32" t="s">
        <v>878</v>
      </c>
      <c r="F678" s="32" cm="1">
        <f t="array" aca="1" ref="F678" ca="1">IF(Table3[[#This Row],[Stage]]="Closed",0,IF(IFERROR(
  IF(
    COUNTIF(A$2:A$1997, A678) &gt; 1,
    MIN(IF(A$2:A$1997=A678, IF(B$2:B$1997&gt;B678, B$2:B$1997))) - B678,
    TODAY() - Table3[[#This Row],[Date of Update]]
  ),
  TODAY()-Table3[[#This Row],[Date of Update]]
)&lt;=0,
TODAY()-Table3[[#This Row],[Date of Update]],
IFERROR(
  IF(
    COUNTIF(A$2:A$1997, A678) &gt; 1,
    MIN(IF(A$2:A$1997=A678, IF(B$2:B$1997&gt;B678, B$2:B$1997))) - B678,
    TODAY() - Table3[[#This Row],[Date of Update]]
  ),
  TODAY()-Table3[[#This Row],[Date of Update]]
)))</f>
        <v>0</v>
      </c>
      <c r="G678" s="40">
        <f>IF(Table3[[#This Row],[Stage]]="Closed",Table3[[#This Row],[Date of Update]]-(_xlfn.MINIFS(Table3[Date of Update],Table3[Ref], Table3[[#This Row],[Ref]])),"")</f>
        <v>9</v>
      </c>
    </row>
    <row r="679" spans="1:7" x14ac:dyDescent="0.25">
      <c r="A679" s="39" t="s">
        <v>1491</v>
      </c>
      <c r="B679" s="33">
        <v>45210</v>
      </c>
      <c r="C679" s="32" t="s">
        <v>23</v>
      </c>
      <c r="D679" s="32" t="s">
        <v>4</v>
      </c>
      <c r="E679" s="32" t="s">
        <v>645</v>
      </c>
      <c r="F679" s="32" cm="1">
        <f t="array" aca="1" ref="F679" ca="1">IF(Table3[[#This Row],[Stage]]="Closed",0,IF(IFERROR(
  IF(
    COUNTIF(A$2:A$1997, A679) &gt; 1,
    MIN(IF(A$2:A$1997=A679, IF(B$2:B$1997&gt;B679, B$2:B$1997))) - B679,
    TODAY() - Table3[[#This Row],[Date of Update]]
  ),
  TODAY()-Table3[[#This Row],[Date of Update]]
)&lt;=0,
TODAY()-Table3[[#This Row],[Date of Update]],
IFERROR(
  IF(
    COUNTIF(A$2:A$1997, A679) &gt; 1,
    MIN(IF(A$2:A$1997=A679, IF(B$2:B$1997&gt;B679, B$2:B$1997))) - B679,
    TODAY() - Table3[[#This Row],[Date of Update]]
  ),
  TODAY()-Table3[[#This Row],[Date of Update]]
)))</f>
        <v>37</v>
      </c>
      <c r="G679" s="40" t="str">
        <f>IF(Table3[[#This Row],[Stage]]="Closed",Table3[[#This Row],[Date of Update]]-(_xlfn.MINIFS(Table3[Date of Update],Table3[Ref], Table3[[#This Row],[Ref]])),"")</f>
        <v/>
      </c>
    </row>
    <row r="680" spans="1:7" x14ac:dyDescent="0.25">
      <c r="A680" s="39" t="s">
        <v>1426</v>
      </c>
      <c r="B680" s="33">
        <v>45210</v>
      </c>
      <c r="C680" s="32" t="s">
        <v>23</v>
      </c>
      <c r="D680" s="32" t="s">
        <v>4</v>
      </c>
      <c r="E680" s="32" t="s">
        <v>645</v>
      </c>
      <c r="F680" s="32" cm="1">
        <f t="array" aca="1" ref="F680" ca="1">IF(Table3[[#This Row],[Stage]]="Closed",0,IF(IFERROR(
  IF(
    COUNTIF(A$2:A$1997, A680) &gt; 1,
    MIN(IF(A$2:A$1997=A680, IF(B$2:B$1997&gt;B680, B$2:B$1997))) - B680,
    TODAY() - Table3[[#This Row],[Date of Update]]
  ),
  TODAY()-Table3[[#This Row],[Date of Update]]
)&lt;=0,
TODAY()-Table3[[#This Row],[Date of Update]],
IFERROR(
  IF(
    COUNTIF(A$2:A$1997, A680) &gt; 1,
    MIN(IF(A$2:A$1997=A680, IF(B$2:B$1997&gt;B680, B$2:B$1997))) - B680,
    TODAY() - Table3[[#This Row],[Date of Update]]
  ),
  TODAY()-Table3[[#This Row],[Date of Update]]
)))</f>
        <v>119</v>
      </c>
      <c r="G680" s="40" t="str">
        <f>IF(Table3[[#This Row],[Stage]]="Closed",Table3[[#This Row],[Date of Update]]-(_xlfn.MINIFS(Table3[Date of Update],Table3[Ref], Table3[[#This Row],[Ref]])),"")</f>
        <v/>
      </c>
    </row>
    <row r="681" spans="1:7" x14ac:dyDescent="0.25">
      <c r="A681" s="39" t="s">
        <v>1380</v>
      </c>
      <c r="B681" s="33">
        <v>45211</v>
      </c>
      <c r="C681" s="32" t="s">
        <v>169</v>
      </c>
      <c r="D681" s="32" t="s">
        <v>4</v>
      </c>
      <c r="E681" s="32" t="s">
        <v>865</v>
      </c>
      <c r="F681" s="32" cm="1">
        <f t="array" aca="1" ref="F681" ca="1">IF(Table3[[#This Row],[Stage]]="Closed",0,IF(IFERROR(
  IF(
    COUNTIF(A$2:A$1997, A681) &gt; 1,
    MIN(IF(A$2:A$1997=A681, IF(B$2:B$1997&gt;B681, B$2:B$1997))) - B681,
    TODAY() - Table3[[#This Row],[Date of Update]]
  ),
  TODAY()-Table3[[#This Row],[Date of Update]]
)&lt;=0,
TODAY()-Table3[[#This Row],[Date of Update]],
IFERROR(
  IF(
    COUNTIF(A$2:A$1997, A681) &gt; 1,
    MIN(IF(A$2:A$1997=A681, IF(B$2:B$1997&gt;B681, B$2:B$1997))) - B681,
    TODAY() - Table3[[#This Row],[Date of Update]]
  ),
  TODAY()-Table3[[#This Row],[Date of Update]]
)))</f>
        <v>0</v>
      </c>
      <c r="G681" s="40">
        <f>IF(Table3[[#This Row],[Stage]]="Closed",Table3[[#This Row],[Date of Update]]-(_xlfn.MINIFS(Table3[Date of Update],Table3[Ref], Table3[[#This Row],[Ref]])),"")</f>
        <v>210</v>
      </c>
    </row>
    <row r="682" spans="1:7" x14ac:dyDescent="0.25">
      <c r="A682" s="39" t="s">
        <v>1381</v>
      </c>
      <c r="B682" s="33">
        <v>45211</v>
      </c>
      <c r="C682" s="32" t="s">
        <v>169</v>
      </c>
      <c r="D682" s="32" t="s">
        <v>4</v>
      </c>
      <c r="E682" s="32" t="s">
        <v>865</v>
      </c>
      <c r="F682" s="32" cm="1">
        <f t="array" aca="1" ref="F682" ca="1">IF(Table3[[#This Row],[Stage]]="Closed",0,IF(IFERROR(
  IF(
    COUNTIF(A$2:A$1997, A682) &gt; 1,
    MIN(IF(A$2:A$1997=A682, IF(B$2:B$1997&gt;B682, B$2:B$1997))) - B682,
    TODAY() - Table3[[#This Row],[Date of Update]]
  ),
  TODAY()-Table3[[#This Row],[Date of Update]]
)&lt;=0,
TODAY()-Table3[[#This Row],[Date of Update]],
IFERROR(
  IF(
    COUNTIF(A$2:A$1997, A682) &gt; 1,
    MIN(IF(A$2:A$1997=A682, IF(B$2:B$1997&gt;B682, B$2:B$1997))) - B682,
    TODAY() - Table3[[#This Row],[Date of Update]]
  ),
  TODAY()-Table3[[#This Row],[Date of Update]]
)))</f>
        <v>0</v>
      </c>
      <c r="G682" s="40">
        <f>IF(Table3[[#This Row],[Stage]]="Closed",Table3[[#This Row],[Date of Update]]-(_xlfn.MINIFS(Table3[Date of Update],Table3[Ref], Table3[[#This Row],[Ref]])),"")</f>
        <v>183</v>
      </c>
    </row>
    <row r="683" spans="1:7" x14ac:dyDescent="0.25">
      <c r="A683" s="39" t="s">
        <v>1382</v>
      </c>
      <c r="B683" s="33">
        <v>45211</v>
      </c>
      <c r="C683" s="32" t="s">
        <v>169</v>
      </c>
      <c r="D683" s="32" t="s">
        <v>4</v>
      </c>
      <c r="E683" s="32" t="s">
        <v>453</v>
      </c>
      <c r="F683" s="32" cm="1">
        <f t="array" aca="1" ref="F683" ca="1">IF(Table3[[#This Row],[Stage]]="Closed",0,IF(IFERROR(
  IF(
    COUNTIF(A$2:A$1997, A683) &gt; 1,
    MIN(IF(A$2:A$1997=A683, IF(B$2:B$1997&gt;B683, B$2:B$1997))) - B683,
    TODAY() - Table3[[#This Row],[Date of Update]]
  ),
  TODAY()-Table3[[#This Row],[Date of Update]]
)&lt;=0,
TODAY()-Table3[[#This Row],[Date of Update]],
IFERROR(
  IF(
    COUNTIF(A$2:A$1997, A683) &gt; 1,
    MIN(IF(A$2:A$1997=A683, IF(B$2:B$1997&gt;B683, B$2:B$1997))) - B683,
    TODAY() - Table3[[#This Row],[Date of Update]]
  ),
  TODAY()-Table3[[#This Row],[Date of Update]]
)))</f>
        <v>0</v>
      </c>
      <c r="G683" s="40">
        <f>IF(Table3[[#This Row],[Stage]]="Closed",Table3[[#This Row],[Date of Update]]-(_xlfn.MINIFS(Table3[Date of Update],Table3[Ref], Table3[[#This Row],[Ref]])),"")</f>
        <v>15</v>
      </c>
    </row>
    <row r="684" spans="1:7" x14ac:dyDescent="0.25">
      <c r="A684" s="39" t="s">
        <v>1403</v>
      </c>
      <c r="B684" s="33">
        <v>45212</v>
      </c>
      <c r="C684" s="32" t="s">
        <v>23</v>
      </c>
      <c r="D684" s="32" t="s">
        <v>4</v>
      </c>
      <c r="E684" s="32" t="s">
        <v>865</v>
      </c>
      <c r="F684" s="32" cm="1">
        <f t="array" aca="1" ref="F684" ca="1">IF(Table3[[#This Row],[Stage]]="Closed",0,IF(IFERROR(
  IF(
    COUNTIF(A$2:A$1997, A684) &gt; 1,
    MIN(IF(A$2:A$1997=A684, IF(B$2:B$1997&gt;B684, B$2:B$1997))) - B684,
    TODAY() - Table3[[#This Row],[Date of Update]]
  ),
  TODAY()-Table3[[#This Row],[Date of Update]]
)&lt;=0,
TODAY()-Table3[[#This Row],[Date of Update]],
IFERROR(
  IF(
    COUNTIF(A$2:A$1997, A684) &gt; 1,
    MIN(IF(A$2:A$1997=A684, IF(B$2:B$1997&gt;B684, B$2:B$1997))) - B684,
    TODAY() - Table3[[#This Row],[Date of Update]]
  ),
  TODAY()-Table3[[#This Row],[Date of Update]]
)))</f>
        <v>49</v>
      </c>
      <c r="G684" s="40" t="str">
        <f>IF(Table3[[#This Row],[Stage]]="Closed",Table3[[#This Row],[Date of Update]]-(_xlfn.MINIFS(Table3[Date of Update],Table3[Ref], Table3[[#This Row],[Ref]])),"")</f>
        <v/>
      </c>
    </row>
    <row r="685" spans="1:7" x14ac:dyDescent="0.25">
      <c r="A685" s="39" t="s">
        <v>1383</v>
      </c>
      <c r="B685" s="33">
        <v>45212</v>
      </c>
      <c r="C685" s="32" t="s">
        <v>169</v>
      </c>
      <c r="D685" s="32" t="s">
        <v>4</v>
      </c>
      <c r="E685" s="32" t="s">
        <v>788</v>
      </c>
      <c r="F685" s="32" cm="1">
        <f t="array" aca="1" ref="F685" ca="1">IF(Table3[[#This Row],[Stage]]="Closed",0,IF(IFERROR(
  IF(
    COUNTIF(A$2:A$1997, A685) &gt; 1,
    MIN(IF(A$2:A$1997=A685, IF(B$2:B$1997&gt;B685, B$2:B$1997))) - B685,
    TODAY() - Table3[[#This Row],[Date of Update]]
  ),
  TODAY()-Table3[[#This Row],[Date of Update]]
)&lt;=0,
TODAY()-Table3[[#This Row],[Date of Update]],
IFERROR(
  IF(
    COUNTIF(A$2:A$1997, A685) &gt; 1,
    MIN(IF(A$2:A$1997=A685, IF(B$2:B$1997&gt;B685, B$2:B$1997))) - B685,
    TODAY() - Table3[[#This Row],[Date of Update]]
  ),
  TODAY()-Table3[[#This Row],[Date of Update]]
)))</f>
        <v>0</v>
      </c>
      <c r="G685" s="40">
        <f>IF(Table3[[#This Row],[Stage]]="Closed",Table3[[#This Row],[Date of Update]]-(_xlfn.MINIFS(Table3[Date of Update],Table3[Ref], Table3[[#This Row],[Ref]])),"")</f>
        <v>59</v>
      </c>
    </row>
    <row r="686" spans="1:7" x14ac:dyDescent="0.25">
      <c r="A686" s="39" t="s">
        <v>1518</v>
      </c>
      <c r="B686" s="33">
        <v>45212</v>
      </c>
      <c r="C686" s="32" t="s">
        <v>169</v>
      </c>
      <c r="D686" s="32" t="s">
        <v>4</v>
      </c>
      <c r="E686" s="32" t="s">
        <v>788</v>
      </c>
      <c r="F686" s="32" cm="1">
        <f t="array" aca="1" ref="F686" ca="1">IF(Table3[[#This Row],[Stage]]="Closed",0,IF(IFERROR(
  IF(
    COUNTIF(A$2:A$1997, A686) &gt; 1,
    MIN(IF(A$2:A$1997=A686, IF(B$2:B$1997&gt;B686, B$2:B$1997))) - B686,
    TODAY() - Table3[[#This Row],[Date of Update]]
  ),
  TODAY()-Table3[[#This Row],[Date of Update]]
)&lt;=0,
TODAY()-Table3[[#This Row],[Date of Update]],
IFERROR(
  IF(
    COUNTIF(A$2:A$1997, A686) &gt; 1,
    MIN(IF(A$2:A$1997=A686, IF(B$2:B$1997&gt;B686, B$2:B$1997))) - B686,
    TODAY() - Table3[[#This Row],[Date of Update]]
  ),
  TODAY()-Table3[[#This Row],[Date of Update]]
)))</f>
        <v>0</v>
      </c>
      <c r="G686" s="40">
        <f>IF(Table3[[#This Row],[Stage]]="Closed",Table3[[#This Row],[Date of Update]]-(_xlfn.MINIFS(Table3[Date of Update],Table3[Ref], Table3[[#This Row],[Ref]])),"")</f>
        <v>59</v>
      </c>
    </row>
    <row r="687" spans="1:7" x14ac:dyDescent="0.25">
      <c r="A687" s="39" t="s">
        <v>1322</v>
      </c>
      <c r="B687" s="33">
        <v>45212</v>
      </c>
      <c r="C687" s="32" t="s">
        <v>169</v>
      </c>
      <c r="D687" s="32" t="s">
        <v>4</v>
      </c>
      <c r="E687" s="32" t="s">
        <v>735</v>
      </c>
      <c r="F687" s="32" cm="1">
        <f t="array" aca="1" ref="F687" ca="1">IF(Table3[[#This Row],[Stage]]="Closed",0,IF(IFERROR(
  IF(
    COUNTIF(A$2:A$1997, A687) &gt; 1,
    MIN(IF(A$2:A$1997=A687, IF(B$2:B$1997&gt;B687, B$2:B$1997))) - B687,
    TODAY() - Table3[[#This Row],[Date of Update]]
  ),
  TODAY()-Table3[[#This Row],[Date of Update]]
)&lt;=0,
TODAY()-Table3[[#This Row],[Date of Update]],
IFERROR(
  IF(
    COUNTIF(A$2:A$1997, A687) &gt; 1,
    MIN(IF(A$2:A$1997=A687, IF(B$2:B$1997&gt;B687, B$2:B$1997))) - B687,
    TODAY() - Table3[[#This Row],[Date of Update]]
  ),
  TODAY()-Table3[[#This Row],[Date of Update]]
)))</f>
        <v>0</v>
      </c>
      <c r="G687" s="40">
        <f>IF(Table3[[#This Row],[Stage]]="Closed",Table3[[#This Row],[Date of Update]]-(_xlfn.MINIFS(Table3[Date of Update],Table3[Ref], Table3[[#This Row],[Ref]])),"")</f>
        <v>135</v>
      </c>
    </row>
    <row r="688" spans="1:7" x14ac:dyDescent="0.25">
      <c r="A688" s="39" t="s">
        <v>1373</v>
      </c>
      <c r="B688" s="33">
        <v>45212</v>
      </c>
      <c r="C688" s="32" t="s">
        <v>169</v>
      </c>
      <c r="D688" s="32" t="s">
        <v>4</v>
      </c>
      <c r="E688" s="32" t="s">
        <v>788</v>
      </c>
      <c r="F688" s="32" cm="1">
        <f t="array" aca="1" ref="F688" ca="1">IF(Table3[[#This Row],[Stage]]="Closed",0,IF(IFERROR(
  IF(
    COUNTIF(A$2:A$1997, A688) &gt; 1,
    MIN(IF(A$2:A$1997=A688, IF(B$2:B$1997&gt;B688, B$2:B$1997))) - B688,
    TODAY() - Table3[[#This Row],[Date of Update]]
  ),
  TODAY()-Table3[[#This Row],[Date of Update]]
)&lt;=0,
TODAY()-Table3[[#This Row],[Date of Update]],
IFERROR(
  IF(
    COUNTIF(A$2:A$1997, A688) &gt; 1,
    MIN(IF(A$2:A$1997=A688, IF(B$2:B$1997&gt;B688, B$2:B$1997))) - B688,
    TODAY() - Table3[[#This Row],[Date of Update]]
  ),
  TODAY()-Table3[[#This Row],[Date of Update]]
)))</f>
        <v>0</v>
      </c>
      <c r="G688" s="40">
        <f>IF(Table3[[#This Row],[Stage]]="Closed",Table3[[#This Row],[Date of Update]]-(_xlfn.MINIFS(Table3[Date of Update],Table3[Ref], Table3[[#This Row],[Ref]])),"")</f>
        <v>60</v>
      </c>
    </row>
    <row r="689" spans="1:7" x14ac:dyDescent="0.25">
      <c r="A689" s="39" t="s">
        <v>1346</v>
      </c>
      <c r="B689" s="33">
        <v>45212</v>
      </c>
      <c r="C689" s="32" t="s">
        <v>169</v>
      </c>
      <c r="D689" s="32" t="s">
        <v>4</v>
      </c>
      <c r="E689" s="32" t="s">
        <v>788</v>
      </c>
      <c r="F689" s="32" cm="1">
        <f t="array" aca="1" ref="F689" ca="1">IF(Table3[[#This Row],[Stage]]="Closed",0,IF(IFERROR(
  IF(
    COUNTIF(A$2:A$1997, A689) &gt; 1,
    MIN(IF(A$2:A$1997=A689, IF(B$2:B$1997&gt;B689, B$2:B$1997))) - B689,
    TODAY() - Table3[[#This Row],[Date of Update]]
  ),
  TODAY()-Table3[[#This Row],[Date of Update]]
)&lt;=0,
TODAY()-Table3[[#This Row],[Date of Update]],
IFERROR(
  IF(
    COUNTIF(A$2:A$1997, A689) &gt; 1,
    MIN(IF(A$2:A$1997=A689, IF(B$2:B$1997&gt;B689, B$2:B$1997))) - B689,
    TODAY() - Table3[[#This Row],[Date of Update]]
  ),
  TODAY()-Table3[[#This Row],[Date of Update]]
)))</f>
        <v>0</v>
      </c>
      <c r="G689" s="40">
        <f>IF(Table3[[#This Row],[Stage]]="Closed",Table3[[#This Row],[Date of Update]]-(_xlfn.MINIFS(Table3[Date of Update],Table3[Ref], Table3[[#This Row],[Ref]])),"")</f>
        <v>113</v>
      </c>
    </row>
    <row r="690" spans="1:7" x14ac:dyDescent="0.25">
      <c r="A690" s="39" t="s">
        <v>1374</v>
      </c>
      <c r="B690" s="33">
        <v>45212</v>
      </c>
      <c r="C690" s="32" t="s">
        <v>169</v>
      </c>
      <c r="D690" s="32" t="s">
        <v>4</v>
      </c>
      <c r="E690" s="32" t="s">
        <v>788</v>
      </c>
      <c r="F690" s="32" cm="1">
        <f t="array" aca="1" ref="F690" ca="1">IF(Table3[[#This Row],[Stage]]="Closed",0,IF(IFERROR(
  IF(
    COUNTIF(A$2:A$1997, A690) &gt; 1,
    MIN(IF(A$2:A$1997=A690, IF(B$2:B$1997&gt;B690, B$2:B$1997))) - B690,
    TODAY() - Table3[[#This Row],[Date of Update]]
  ),
  TODAY()-Table3[[#This Row],[Date of Update]]
)&lt;=0,
TODAY()-Table3[[#This Row],[Date of Update]],
IFERROR(
  IF(
    COUNTIF(A$2:A$1997, A690) &gt; 1,
    MIN(IF(A$2:A$1997=A690, IF(B$2:B$1997&gt;B690, B$2:B$1997))) - B690,
    TODAY() - Table3[[#This Row],[Date of Update]]
  ),
  TODAY()-Table3[[#This Row],[Date of Update]]
)))</f>
        <v>0</v>
      </c>
      <c r="G690" s="40">
        <f>IF(Table3[[#This Row],[Stage]]="Closed",Table3[[#This Row],[Date of Update]]-(_xlfn.MINIFS(Table3[Date of Update],Table3[Ref], Table3[[#This Row],[Ref]])),"")</f>
        <v>60</v>
      </c>
    </row>
    <row r="691" spans="1:7" x14ac:dyDescent="0.25">
      <c r="A691" s="39" t="s">
        <v>1394</v>
      </c>
      <c r="B691" s="33">
        <v>45215</v>
      </c>
      <c r="C691" s="32" t="s">
        <v>23</v>
      </c>
      <c r="D691" s="32" t="s">
        <v>4</v>
      </c>
      <c r="E691" s="32" t="s">
        <v>891</v>
      </c>
      <c r="F691" s="32" cm="1">
        <f t="array" aca="1" ref="F691" ca="1">IF(Table3[[#This Row],[Stage]]="Closed",0,IF(IFERROR(
  IF(
    COUNTIF(A$2:A$1997, A691) &gt; 1,
    MIN(IF(A$2:A$1997=A691, IF(B$2:B$1997&gt;B691, B$2:B$1997))) - B691,
    TODAY() - Table3[[#This Row],[Date of Update]]
  ),
  TODAY()-Table3[[#This Row],[Date of Update]]
)&lt;=0,
TODAY()-Table3[[#This Row],[Date of Update]],
IFERROR(
  IF(
    COUNTIF(A$2:A$1997, A691) &gt; 1,
    MIN(IF(A$2:A$1997=A691, IF(B$2:B$1997&gt;B691, B$2:B$1997))) - B691,
    TODAY() - Table3[[#This Row],[Date of Update]]
  ),
  TODAY()-Table3[[#This Row],[Date of Update]]
)))</f>
        <v>16</v>
      </c>
      <c r="G691" s="40" t="str">
        <f>IF(Table3[[#This Row],[Stage]]="Closed",Table3[[#This Row],[Date of Update]]-(_xlfn.MINIFS(Table3[Date of Update],Table3[Ref], Table3[[#This Row],[Ref]])),"")</f>
        <v/>
      </c>
    </row>
    <row r="692" spans="1:7" x14ac:dyDescent="0.25">
      <c r="A692" s="39" t="s">
        <v>1390</v>
      </c>
      <c r="B692" s="33">
        <v>45216</v>
      </c>
      <c r="C692" s="32" t="s">
        <v>23</v>
      </c>
      <c r="D692" s="32" t="s">
        <v>4</v>
      </c>
      <c r="E692" s="32" t="s">
        <v>883</v>
      </c>
      <c r="F692" s="32" cm="1">
        <f t="array" aca="1" ref="F692" ca="1">IF(Table3[[#This Row],[Stage]]="Closed",0,IF(IFERROR(
  IF(
    COUNTIF(A$2:A$1997, A692) &gt; 1,
    MIN(IF(A$2:A$1997=A692, IF(B$2:B$1997&gt;B692, B$2:B$1997))) - B692,
    TODAY() - Table3[[#This Row],[Date of Update]]
  ),
  TODAY()-Table3[[#This Row],[Date of Update]]
)&lt;=0,
TODAY()-Table3[[#This Row],[Date of Update]],
IFERROR(
  IF(
    COUNTIF(A$2:A$1997, A692) &gt; 1,
    MIN(IF(A$2:A$1997=A692, IF(B$2:B$1997&gt;B692, B$2:B$1997))) - B692,
    TODAY() - Table3[[#This Row],[Date of Update]]
  ),
  TODAY()-Table3[[#This Row],[Date of Update]]
)))</f>
        <v>519</v>
      </c>
      <c r="G692" s="40" t="str">
        <f>IF(Table3[[#This Row],[Stage]]="Closed",Table3[[#This Row],[Date of Update]]-(_xlfn.MINIFS(Table3[Date of Update],Table3[Ref], Table3[[#This Row],[Ref]])),"")</f>
        <v/>
      </c>
    </row>
    <row r="693" spans="1:7" x14ac:dyDescent="0.25">
      <c r="A693" s="39" t="s">
        <v>1390</v>
      </c>
      <c r="B693" s="33">
        <v>45216</v>
      </c>
      <c r="C693" s="32" t="s">
        <v>169</v>
      </c>
      <c r="D693" s="32" t="s">
        <v>4</v>
      </c>
      <c r="E693" s="32" t="s">
        <v>883</v>
      </c>
      <c r="F693" s="32" cm="1">
        <f t="array" aca="1" ref="F693" ca="1">IF(Table3[[#This Row],[Stage]]="Closed",0,IF(IFERROR(
  IF(
    COUNTIF(A$2:A$1997, A693) &gt; 1,
    MIN(IF(A$2:A$1997=A693, IF(B$2:B$1997&gt;B693, B$2:B$1997))) - B693,
    TODAY() - Table3[[#This Row],[Date of Update]]
  ),
  TODAY()-Table3[[#This Row],[Date of Update]]
)&lt;=0,
TODAY()-Table3[[#This Row],[Date of Update]],
IFERROR(
  IF(
    COUNTIF(A$2:A$1997, A693) &gt; 1,
    MIN(IF(A$2:A$1997=A693, IF(B$2:B$1997&gt;B693, B$2:B$1997))) - B693,
    TODAY() - Table3[[#This Row],[Date of Update]]
  ),
  TODAY()-Table3[[#This Row],[Date of Update]]
)))</f>
        <v>0</v>
      </c>
      <c r="G693" s="40">
        <f>IF(Table3[[#This Row],[Stage]]="Closed",Table3[[#This Row],[Date of Update]]-(_xlfn.MINIFS(Table3[Date of Update],Table3[Ref], Table3[[#This Row],[Ref]])),"")</f>
        <v>0</v>
      </c>
    </row>
    <row r="694" spans="1:7" x14ac:dyDescent="0.25">
      <c r="A694" s="39" t="s">
        <v>1271</v>
      </c>
      <c r="B694" s="33">
        <v>45218</v>
      </c>
      <c r="C694" s="32" t="s">
        <v>169</v>
      </c>
      <c r="D694" s="32" t="s">
        <v>4</v>
      </c>
      <c r="E694" s="32" t="s">
        <v>453</v>
      </c>
      <c r="F694" s="32" cm="1">
        <f t="array" aca="1" ref="F694" ca="1">IF(Table3[[#This Row],[Stage]]="Closed",0,IF(IFERROR(
  IF(
    COUNTIF(A$2:A$1997, A694) &gt; 1,
    MIN(IF(A$2:A$1997=A694, IF(B$2:B$1997&gt;B694, B$2:B$1997))) - B694,
    TODAY() - Table3[[#This Row],[Date of Update]]
  ),
  TODAY()-Table3[[#This Row],[Date of Update]]
)&lt;=0,
TODAY()-Table3[[#This Row],[Date of Update]],
IFERROR(
  IF(
    COUNTIF(A$2:A$1997, A694) &gt; 1,
    MIN(IF(A$2:A$1997=A694, IF(B$2:B$1997&gt;B694, B$2:B$1997))) - B694,
    TODAY() - Table3[[#This Row],[Date of Update]]
  ),
  TODAY()-Table3[[#This Row],[Date of Update]]
)))</f>
        <v>0</v>
      </c>
      <c r="G694" s="40">
        <f>IF(Table3[[#This Row],[Stage]]="Closed",Table3[[#This Row],[Date of Update]]-(_xlfn.MINIFS(Table3[Date of Update],Table3[Ref], Table3[[#This Row],[Ref]])),"")</f>
        <v>9</v>
      </c>
    </row>
    <row r="695" spans="1:7" x14ac:dyDescent="0.25">
      <c r="A695" s="39" t="s">
        <v>1389</v>
      </c>
      <c r="B695" s="33">
        <v>45222</v>
      </c>
      <c r="C695" s="32" t="s">
        <v>169</v>
      </c>
      <c r="D695" s="32" t="s">
        <v>4</v>
      </c>
      <c r="E695" s="32" t="s">
        <v>881</v>
      </c>
      <c r="F695" s="32" cm="1">
        <f t="array" aca="1" ref="F695" ca="1">IF(Table3[[#This Row],[Stage]]="Closed",0,IF(IFERROR(
  IF(
    COUNTIF(A$2:A$1997, A695) &gt; 1,
    MIN(IF(A$2:A$1997=A695, IF(B$2:B$1997&gt;B695, B$2:B$1997))) - B695,
    TODAY() - Table3[[#This Row],[Date of Update]]
  ),
  TODAY()-Table3[[#This Row],[Date of Update]]
)&lt;=0,
TODAY()-Table3[[#This Row],[Date of Update]],
IFERROR(
  IF(
    COUNTIF(A$2:A$1997, A695) &gt; 1,
    MIN(IF(A$2:A$1997=A695, IF(B$2:B$1997&gt;B695, B$2:B$1997))) - B695,
    TODAY() - Table3[[#This Row],[Date of Update]]
  ),
  TODAY()-Table3[[#This Row],[Date of Update]]
)))</f>
        <v>0</v>
      </c>
      <c r="G695" s="40">
        <f>IF(Table3[[#This Row],[Stage]]="Closed",Table3[[#This Row],[Date of Update]]-(_xlfn.MINIFS(Table3[Date of Update],Table3[Ref], Table3[[#This Row],[Ref]])),"")</f>
        <v>14</v>
      </c>
    </row>
    <row r="696" spans="1:7" x14ac:dyDescent="0.25">
      <c r="A696" s="39" t="s">
        <v>1391</v>
      </c>
      <c r="B696" s="33">
        <v>45223</v>
      </c>
      <c r="C696" s="32" t="s">
        <v>23</v>
      </c>
      <c r="D696" s="32" t="s">
        <v>4</v>
      </c>
      <c r="E696" s="32" t="s">
        <v>715</v>
      </c>
      <c r="F696" s="32" cm="1">
        <f t="array" aca="1" ref="F696" ca="1">IF(Table3[[#This Row],[Stage]]="Closed",0,IF(IFERROR(
  IF(
    COUNTIF(A$2:A$1997, A696) &gt; 1,
    MIN(IF(A$2:A$1997=A696, IF(B$2:B$1997&gt;B696, B$2:B$1997))) - B696,
    TODAY() - Table3[[#This Row],[Date of Update]]
  ),
  TODAY()-Table3[[#This Row],[Date of Update]]
)&lt;=0,
TODAY()-Table3[[#This Row],[Date of Update]],
IFERROR(
  IF(
    COUNTIF(A$2:A$1997, A696) &gt; 1,
    MIN(IF(A$2:A$1997=A696, IF(B$2:B$1997&gt;B696, B$2:B$1997))) - B696,
    TODAY() - Table3[[#This Row],[Date of Update]]
  ),
  TODAY()-Table3[[#This Row],[Date of Update]]
)))</f>
        <v>2</v>
      </c>
      <c r="G696" s="40" t="str">
        <f>IF(Table3[[#This Row],[Stage]]="Closed",Table3[[#This Row],[Date of Update]]-(_xlfn.MINIFS(Table3[Date of Update],Table3[Ref], Table3[[#This Row],[Ref]])),"")</f>
        <v/>
      </c>
    </row>
    <row r="697" spans="1:7" x14ac:dyDescent="0.25">
      <c r="A697" s="39" t="s">
        <v>1395</v>
      </c>
      <c r="B697" s="33">
        <v>45225</v>
      </c>
      <c r="C697" s="32" t="s">
        <v>23</v>
      </c>
      <c r="D697" s="32" t="s">
        <v>4</v>
      </c>
      <c r="E697" s="32" t="s">
        <v>894</v>
      </c>
      <c r="F697" s="32" cm="1">
        <f t="array" aca="1" ref="F697" ca="1">IF(Table3[[#This Row],[Stage]]="Closed",0,IF(IFERROR(
  IF(
    COUNTIF(A$2:A$1997, A697) &gt; 1,
    MIN(IF(A$2:A$1997=A697, IF(B$2:B$1997&gt;B697, B$2:B$1997))) - B697,
    TODAY() - Table3[[#This Row],[Date of Update]]
  ),
  TODAY()-Table3[[#This Row],[Date of Update]]
)&lt;=0,
TODAY()-Table3[[#This Row],[Date of Update]],
IFERROR(
  IF(
    COUNTIF(A$2:A$1997, A697) &gt; 1,
    MIN(IF(A$2:A$1997=A697, IF(B$2:B$1997&gt;B697, B$2:B$1997))) - B697,
    TODAY() - Table3[[#This Row],[Date of Update]]
  ),
  TODAY()-Table3[[#This Row],[Date of Update]]
)))</f>
        <v>6</v>
      </c>
      <c r="G697" s="40" t="str">
        <f>IF(Table3[[#This Row],[Stage]]="Closed",Table3[[#This Row],[Date of Update]]-(_xlfn.MINIFS(Table3[Date of Update],Table3[Ref], Table3[[#This Row],[Ref]])),"")</f>
        <v/>
      </c>
    </row>
    <row r="698" spans="1:7" x14ac:dyDescent="0.25">
      <c r="A698" s="39" t="s">
        <v>1391</v>
      </c>
      <c r="B698" s="33">
        <v>45225</v>
      </c>
      <c r="C698" s="32" t="s">
        <v>169</v>
      </c>
      <c r="D698" s="32" t="s">
        <v>4</v>
      </c>
      <c r="E698" s="32" t="s">
        <v>715</v>
      </c>
      <c r="F698" s="32" cm="1">
        <f t="array" aca="1" ref="F698" ca="1">IF(Table3[[#This Row],[Stage]]="Closed",0,IF(IFERROR(
  IF(
    COUNTIF(A$2:A$1997, A698) &gt; 1,
    MIN(IF(A$2:A$1997=A698, IF(B$2:B$1997&gt;B698, B$2:B$1997))) - B698,
    TODAY() - Table3[[#This Row],[Date of Update]]
  ),
  TODAY()-Table3[[#This Row],[Date of Update]]
)&lt;=0,
TODAY()-Table3[[#This Row],[Date of Update]],
IFERROR(
  IF(
    COUNTIF(A$2:A$1997, A698) &gt; 1,
    MIN(IF(A$2:A$1997=A698, IF(B$2:B$1997&gt;B698, B$2:B$1997))) - B698,
    TODAY() - Table3[[#This Row],[Date of Update]]
  ),
  TODAY()-Table3[[#This Row],[Date of Update]]
)))</f>
        <v>0</v>
      </c>
      <c r="G698" s="40">
        <f>IF(Table3[[#This Row],[Stage]]="Closed",Table3[[#This Row],[Date of Update]]-(_xlfn.MINIFS(Table3[Date of Update],Table3[Ref], Table3[[#This Row],[Ref]])),"")</f>
        <v>2</v>
      </c>
    </row>
    <row r="699" spans="1:7" x14ac:dyDescent="0.25">
      <c r="A699" s="39" t="s">
        <v>1386</v>
      </c>
      <c r="B699" s="33">
        <v>45226</v>
      </c>
      <c r="C699" s="32" t="s">
        <v>23</v>
      </c>
      <c r="D699" s="32" t="s">
        <v>4</v>
      </c>
      <c r="E699" s="32" t="s">
        <v>875</v>
      </c>
      <c r="F699" s="32" cm="1">
        <f t="array" aca="1" ref="F699" ca="1">IF(Table3[[#This Row],[Stage]]="Closed",0,IF(IFERROR(
  IF(
    COUNTIF(A$2:A$1997, A699) &gt; 1,
    MIN(IF(A$2:A$1997=A699, IF(B$2:B$1997&gt;B699, B$2:B$1997))) - B699,
    TODAY() - Table3[[#This Row],[Date of Update]]
  ),
  TODAY()-Table3[[#This Row],[Date of Update]]
)&lt;=0,
TODAY()-Table3[[#This Row],[Date of Update]],
IFERROR(
  IF(
    COUNTIF(A$2:A$1997, A699) &gt; 1,
    MIN(IF(A$2:A$1997=A699, IF(B$2:B$1997&gt;B699, B$2:B$1997))) - B699,
    TODAY() - Table3[[#This Row],[Date of Update]]
  ),
  TODAY()-Table3[[#This Row],[Date of Update]]
)))</f>
        <v>11</v>
      </c>
      <c r="G699" s="40" t="str">
        <f>IF(Table3[[#This Row],[Stage]]="Closed",Table3[[#This Row],[Date of Update]]-(_xlfn.MINIFS(Table3[Date of Update],Table3[Ref], Table3[[#This Row],[Ref]])),"")</f>
        <v/>
      </c>
    </row>
    <row r="700" spans="1:7" x14ac:dyDescent="0.25">
      <c r="A700" s="39" t="s">
        <v>1388</v>
      </c>
      <c r="B700" s="33">
        <v>45226</v>
      </c>
      <c r="C700" s="32" t="s">
        <v>169</v>
      </c>
      <c r="D700" s="32" t="s">
        <v>4</v>
      </c>
      <c r="E700" s="32" t="s">
        <v>788</v>
      </c>
      <c r="F700" s="32" cm="1">
        <f t="array" aca="1" ref="F700" ca="1">IF(Table3[[#This Row],[Stage]]="Closed",0,IF(IFERROR(
  IF(
    COUNTIF(A$2:A$1997, A700) &gt; 1,
    MIN(IF(A$2:A$1997=A700, IF(B$2:B$1997&gt;B700, B$2:B$1997))) - B700,
    TODAY() - Table3[[#This Row],[Date of Update]]
  ),
  TODAY()-Table3[[#This Row],[Date of Update]]
)&lt;=0,
TODAY()-Table3[[#This Row],[Date of Update]],
IFERROR(
  IF(
    COUNTIF(A$2:A$1997, A700) &gt; 1,
    MIN(IF(A$2:A$1997=A700, IF(B$2:B$1997&gt;B700, B$2:B$1997))) - B700,
    TODAY() - Table3[[#This Row],[Date of Update]]
  ),
  TODAY()-Table3[[#This Row],[Date of Update]]
)))</f>
        <v>0</v>
      </c>
      <c r="G700" s="40">
        <f>IF(Table3[[#This Row],[Stage]]="Closed",Table3[[#This Row],[Date of Update]]-(_xlfn.MINIFS(Table3[Date of Update],Table3[Ref], Table3[[#This Row],[Ref]])),"")</f>
        <v>18</v>
      </c>
    </row>
    <row r="701" spans="1:7" x14ac:dyDescent="0.25">
      <c r="A701" s="39" t="s">
        <v>1393</v>
      </c>
      <c r="B701" s="33">
        <v>45231</v>
      </c>
      <c r="C701" s="32" t="s">
        <v>169</v>
      </c>
      <c r="D701" s="32" t="s">
        <v>4</v>
      </c>
      <c r="E701" s="32" t="s">
        <v>531</v>
      </c>
      <c r="F701" s="32" cm="1">
        <f t="array" aca="1" ref="F701" ca="1">IF(Table3[[#This Row],[Stage]]="Closed",0,IF(IFERROR(
  IF(
    COUNTIF(A$2:A$1997, A701) &gt; 1,
    MIN(IF(A$2:A$1997=A701, IF(B$2:B$1997&gt;B701, B$2:B$1997))) - B701,
    TODAY() - Table3[[#This Row],[Date of Update]]
  ),
  TODAY()-Table3[[#This Row],[Date of Update]]
)&lt;=0,
TODAY()-Table3[[#This Row],[Date of Update]],
IFERROR(
  IF(
    COUNTIF(A$2:A$1997, A701) &gt; 1,
    MIN(IF(A$2:A$1997=A701, IF(B$2:B$1997&gt;B701, B$2:B$1997))) - B701,
    TODAY() - Table3[[#This Row],[Date of Update]]
  ),
  TODAY()-Table3[[#This Row],[Date of Update]]
)))</f>
        <v>0</v>
      </c>
      <c r="G701" s="40">
        <f>IF(Table3[[#This Row],[Stage]]="Closed",Table3[[#This Row],[Date of Update]]-(_xlfn.MINIFS(Table3[Date of Update],Table3[Ref], Table3[[#This Row],[Ref]])),"")</f>
        <v>63</v>
      </c>
    </row>
    <row r="702" spans="1:7" x14ac:dyDescent="0.25">
      <c r="A702" s="39" t="s">
        <v>1394</v>
      </c>
      <c r="B702" s="33">
        <v>45231</v>
      </c>
      <c r="C702" s="32" t="s">
        <v>169</v>
      </c>
      <c r="D702" s="32" t="s">
        <v>4</v>
      </c>
      <c r="E702" s="32" t="s">
        <v>891</v>
      </c>
      <c r="F702" s="32" cm="1">
        <f t="array" aca="1" ref="F702" ca="1">IF(Table3[[#This Row],[Stage]]="Closed",0,IF(IFERROR(
  IF(
    COUNTIF(A$2:A$1997, A702) &gt; 1,
    MIN(IF(A$2:A$1997=A702, IF(B$2:B$1997&gt;B702, B$2:B$1997))) - B702,
    TODAY() - Table3[[#This Row],[Date of Update]]
  ),
  TODAY()-Table3[[#This Row],[Date of Update]]
)&lt;=0,
TODAY()-Table3[[#This Row],[Date of Update]],
IFERROR(
  IF(
    COUNTIF(A$2:A$1997, A702) &gt; 1,
    MIN(IF(A$2:A$1997=A702, IF(B$2:B$1997&gt;B702, B$2:B$1997))) - B702,
    TODAY() - Table3[[#This Row],[Date of Update]]
  ),
  TODAY()-Table3[[#This Row],[Date of Update]]
)))</f>
        <v>0</v>
      </c>
      <c r="G702" s="40">
        <f>IF(Table3[[#This Row],[Stage]]="Closed",Table3[[#This Row],[Date of Update]]-(_xlfn.MINIFS(Table3[Date of Update],Table3[Ref], Table3[[#This Row],[Ref]])),"")</f>
        <v>16</v>
      </c>
    </row>
    <row r="703" spans="1:7" x14ac:dyDescent="0.25">
      <c r="A703" s="39" t="s">
        <v>1392</v>
      </c>
      <c r="B703" s="33">
        <v>45231</v>
      </c>
      <c r="C703" s="32" t="s">
        <v>169</v>
      </c>
      <c r="D703" s="32" t="s">
        <v>4</v>
      </c>
      <c r="E703" s="32" t="s">
        <v>453</v>
      </c>
      <c r="F703" s="32" cm="1">
        <f t="array" aca="1" ref="F703" ca="1">IF(Table3[[#This Row],[Stage]]="Closed",0,IF(IFERROR(
  IF(
    COUNTIF(A$2:A$1997, A703) &gt; 1,
    MIN(IF(A$2:A$1997=A703, IF(B$2:B$1997&gt;B703, B$2:B$1997))) - B703,
    TODAY() - Table3[[#This Row],[Date of Update]]
  ),
  TODAY()-Table3[[#This Row],[Date of Update]]
)&lt;=0,
TODAY()-Table3[[#This Row],[Date of Update]],
IFERROR(
  IF(
    COUNTIF(A$2:A$1997, A703) &gt; 1,
    MIN(IF(A$2:A$1997=A703, IF(B$2:B$1997&gt;B703, B$2:B$1997))) - B703,
    TODAY() - Table3[[#This Row],[Date of Update]]
  ),
  TODAY()-Table3[[#This Row],[Date of Update]]
)))</f>
        <v>0</v>
      </c>
      <c r="G703" s="40">
        <f>IF(Table3[[#This Row],[Stage]]="Closed",Table3[[#This Row],[Date of Update]]-(_xlfn.MINIFS(Table3[Date of Update],Table3[Ref], Table3[[#This Row],[Ref]])),"")</f>
        <v>104</v>
      </c>
    </row>
    <row r="704" spans="1:7" x14ac:dyDescent="0.25">
      <c r="A704" s="39" t="s">
        <v>1395</v>
      </c>
      <c r="B704" s="33">
        <v>45231</v>
      </c>
      <c r="C704" s="32" t="s">
        <v>169</v>
      </c>
      <c r="D704" s="32" t="s">
        <v>4</v>
      </c>
      <c r="E704" s="32" t="s">
        <v>894</v>
      </c>
      <c r="F704" s="32" cm="1">
        <f t="array" aca="1" ref="F704" ca="1">IF(Table3[[#This Row],[Stage]]="Closed",0,IF(IFERROR(
  IF(
    COUNTIF(A$2:A$1997, A704) &gt; 1,
    MIN(IF(A$2:A$1997=A704, IF(B$2:B$1997&gt;B704, B$2:B$1997))) - B704,
    TODAY() - Table3[[#This Row],[Date of Update]]
  ),
  TODAY()-Table3[[#This Row],[Date of Update]]
)&lt;=0,
TODAY()-Table3[[#This Row],[Date of Update]],
IFERROR(
  IF(
    COUNTIF(A$2:A$1997, A704) &gt; 1,
    MIN(IF(A$2:A$1997=A704, IF(B$2:B$1997&gt;B704, B$2:B$1997))) - B704,
    TODAY() - Table3[[#This Row],[Date of Update]]
  ),
  TODAY()-Table3[[#This Row],[Date of Update]]
)))</f>
        <v>0</v>
      </c>
      <c r="G704" s="40">
        <f>IF(Table3[[#This Row],[Stage]]="Closed",Table3[[#This Row],[Date of Update]]-(_xlfn.MINIFS(Table3[Date of Update],Table3[Ref], Table3[[#This Row],[Ref]])),"")</f>
        <v>6</v>
      </c>
    </row>
    <row r="705" spans="1:7" x14ac:dyDescent="0.25">
      <c r="A705" s="39" t="s">
        <v>1397</v>
      </c>
      <c r="B705" s="33">
        <v>45231</v>
      </c>
      <c r="C705" s="32" t="s">
        <v>23</v>
      </c>
      <c r="D705" s="32" t="s">
        <v>4</v>
      </c>
      <c r="E705" s="32" t="s">
        <v>898</v>
      </c>
      <c r="F705" s="32" cm="1">
        <f t="array" aca="1" ref="F705" ca="1">IF(Table3[[#This Row],[Stage]]="Closed",0,IF(IFERROR(
  IF(
    COUNTIF(A$2:A$1997, A705) &gt; 1,
    MIN(IF(A$2:A$1997=A705, IF(B$2:B$1997&gt;B705, B$2:B$1997))) - B705,
    TODAY() - Table3[[#This Row],[Date of Update]]
  ),
  TODAY()-Table3[[#This Row],[Date of Update]]
)&lt;=0,
TODAY()-Table3[[#This Row],[Date of Update]],
IFERROR(
  IF(
    COUNTIF(A$2:A$1997, A705) &gt; 1,
    MIN(IF(A$2:A$1997=A705, IF(B$2:B$1997&gt;B705, B$2:B$1997))) - B705,
    TODAY() - Table3[[#This Row],[Date of Update]]
  ),
  TODAY()-Table3[[#This Row],[Date of Update]]
)))</f>
        <v>118</v>
      </c>
      <c r="G705" s="40" t="str">
        <f>IF(Table3[[#This Row],[Stage]]="Closed",Table3[[#This Row],[Date of Update]]-(_xlfn.MINIFS(Table3[Date of Update],Table3[Ref], Table3[[#This Row],[Ref]])),"")</f>
        <v/>
      </c>
    </row>
    <row r="706" spans="1:7" x14ac:dyDescent="0.25">
      <c r="A706" s="39" t="s">
        <v>1449</v>
      </c>
      <c r="B706" s="33">
        <v>45236</v>
      </c>
      <c r="C706" s="32" t="s">
        <v>23</v>
      </c>
      <c r="D706" s="32" t="s">
        <v>4</v>
      </c>
      <c r="E706" s="32" t="s">
        <v>453</v>
      </c>
      <c r="F706" s="32" cm="1">
        <f t="array" aca="1" ref="F706" ca="1">IF(Table3[[#This Row],[Stage]]="Closed",0,IF(IFERROR(
  IF(
    COUNTIF(A$2:A$1997, A706) &gt; 1,
    MIN(IF(A$2:A$1997=A706, IF(B$2:B$1997&gt;B706, B$2:B$1997))) - B706,
    TODAY() - Table3[[#This Row],[Date of Update]]
  ),
  TODAY()-Table3[[#This Row],[Date of Update]]
)&lt;=0,
TODAY()-Table3[[#This Row],[Date of Update]],
IFERROR(
  IF(
    COUNTIF(A$2:A$1997, A706) &gt; 1,
    MIN(IF(A$2:A$1997=A706, IF(B$2:B$1997&gt;B706, B$2:B$1997))) - B706,
    TODAY() - Table3[[#This Row],[Date of Update]]
  ),
  TODAY()-Table3[[#This Row],[Date of Update]]
)))</f>
        <v>198</v>
      </c>
      <c r="G706" s="40" t="str">
        <f>IF(Table3[[#This Row],[Stage]]="Closed",Table3[[#This Row],[Date of Update]]-(_xlfn.MINIFS(Table3[Date of Update],Table3[Ref], Table3[[#This Row],[Ref]])),"")</f>
        <v/>
      </c>
    </row>
    <row r="707" spans="1:7" x14ac:dyDescent="0.25">
      <c r="A707" s="39" t="s">
        <v>1386</v>
      </c>
      <c r="B707" s="33">
        <v>45237</v>
      </c>
      <c r="C707" s="32" t="s">
        <v>169</v>
      </c>
      <c r="D707" s="32" t="s">
        <v>4</v>
      </c>
      <c r="E707" s="32" t="s">
        <v>875</v>
      </c>
      <c r="F707" s="32" cm="1">
        <f t="array" aca="1" ref="F707" ca="1">IF(Table3[[#This Row],[Stage]]="Closed",0,IF(IFERROR(
  IF(
    COUNTIF(A$2:A$1997, A707) &gt; 1,
    MIN(IF(A$2:A$1997=A707, IF(B$2:B$1997&gt;B707, B$2:B$1997))) - B707,
    TODAY() - Table3[[#This Row],[Date of Update]]
  ),
  TODAY()-Table3[[#This Row],[Date of Update]]
)&lt;=0,
TODAY()-Table3[[#This Row],[Date of Update]],
IFERROR(
  IF(
    COUNTIF(A$2:A$1997, A707) &gt; 1,
    MIN(IF(A$2:A$1997=A707, IF(B$2:B$1997&gt;B707, B$2:B$1997))) - B707,
    TODAY() - Table3[[#This Row],[Date of Update]]
  ),
  TODAY()-Table3[[#This Row],[Date of Update]]
)))</f>
        <v>0</v>
      </c>
      <c r="G707" s="40">
        <f>IF(Table3[[#This Row],[Stage]]="Closed",Table3[[#This Row],[Date of Update]]-(_xlfn.MINIFS(Table3[Date of Update],Table3[Ref], Table3[[#This Row],[Ref]])),"")</f>
        <v>11</v>
      </c>
    </row>
    <row r="708" spans="1:7" x14ac:dyDescent="0.25">
      <c r="A708" s="39" t="s">
        <v>1411</v>
      </c>
      <c r="B708" s="33">
        <v>45239</v>
      </c>
      <c r="C708" s="32" t="s">
        <v>23</v>
      </c>
      <c r="D708" s="32" t="s">
        <v>4</v>
      </c>
      <c r="E708" s="32"/>
      <c r="F708" s="32" cm="1">
        <f t="array" aca="1" ref="F708" ca="1">IF(Table3[[#This Row],[Stage]]="Closed",0,IF(IFERROR(
  IF(
    COUNTIF(A$2:A$1997, A708) &gt; 1,
    MIN(IF(A$2:A$1997=A708, IF(B$2:B$1997&gt;B708, B$2:B$1997))) - B708,
    TODAY() - Table3[[#This Row],[Date of Update]]
  ),
  TODAY()-Table3[[#This Row],[Date of Update]]
)&lt;=0,
TODAY()-Table3[[#This Row],[Date of Update]],
IFERROR(
  IF(
    COUNTIF(A$2:A$1997, A708) &gt; 1,
    MIN(IF(A$2:A$1997=A708, IF(B$2:B$1997&gt;B708, B$2:B$1997))) - B708,
    TODAY() - Table3[[#This Row],[Date of Update]]
  ),
  TODAY()-Table3[[#This Row],[Date of Update]]
)))</f>
        <v>63</v>
      </c>
      <c r="G708" s="40" t="str">
        <f>IF(Table3[[#This Row],[Stage]]="Closed",Table3[[#This Row],[Date of Update]]-(_xlfn.MINIFS(Table3[Date of Update],Table3[Ref], Table3[[#This Row],[Ref]])),"")</f>
        <v/>
      </c>
    </row>
    <row r="709" spans="1:7" x14ac:dyDescent="0.25">
      <c r="A709" s="39" t="s">
        <v>1410</v>
      </c>
      <c r="B709" s="33">
        <v>45239</v>
      </c>
      <c r="C709" s="32" t="s">
        <v>23</v>
      </c>
      <c r="D709" s="32" t="s">
        <v>4</v>
      </c>
      <c r="E709" s="32" t="s">
        <v>453</v>
      </c>
      <c r="F709" s="32" cm="1">
        <f t="array" aca="1" ref="F709" ca="1">IF(Table3[[#This Row],[Stage]]="Closed",0,IF(IFERROR(
  IF(
    COUNTIF(A$2:A$1997, A709) &gt; 1,
    MIN(IF(A$2:A$1997=A709, IF(B$2:B$1997&gt;B709, B$2:B$1997))) - B709,
    TODAY() - Table3[[#This Row],[Date of Update]]
  ),
  TODAY()-Table3[[#This Row],[Date of Update]]
)&lt;=0,
TODAY()-Table3[[#This Row],[Date of Update]],
IFERROR(
  IF(
    COUNTIF(A$2:A$1997, A709) &gt; 1,
    MIN(IF(A$2:A$1997=A709, IF(B$2:B$1997&gt;B709, B$2:B$1997))) - B709,
    TODAY() - Table3[[#This Row],[Date of Update]]
  ),
  TODAY()-Table3[[#This Row],[Date of Update]]
)))</f>
        <v>63</v>
      </c>
      <c r="G709" s="40" t="str">
        <f>IF(Table3[[#This Row],[Stage]]="Closed",Table3[[#This Row],[Date of Update]]-(_xlfn.MINIFS(Table3[Date of Update],Table3[Ref], Table3[[#This Row],[Ref]])),"")</f>
        <v/>
      </c>
    </row>
    <row r="710" spans="1:7" x14ac:dyDescent="0.25">
      <c r="A710" s="39" t="s">
        <v>1415</v>
      </c>
      <c r="B710" s="33">
        <v>45240</v>
      </c>
      <c r="C710" s="32" t="s">
        <v>23</v>
      </c>
      <c r="D710" s="32" t="s">
        <v>4</v>
      </c>
      <c r="E710" s="32" t="s">
        <v>645</v>
      </c>
      <c r="F710" s="32" cm="1">
        <f t="array" aca="1" ref="F710" ca="1">IF(Table3[[#This Row],[Stage]]="Closed",0,IF(IFERROR(
  IF(
    COUNTIF(A$2:A$1997, A710) &gt; 1,
    MIN(IF(A$2:A$1997=A710, IF(B$2:B$1997&gt;B710, B$2:B$1997))) - B710,
    TODAY() - Table3[[#This Row],[Date of Update]]
  ),
  TODAY()-Table3[[#This Row],[Date of Update]]
)&lt;=0,
TODAY()-Table3[[#This Row],[Date of Update]],
IFERROR(
  IF(
    COUNTIF(A$2:A$1997, A710) &gt; 1,
    MIN(IF(A$2:A$1997=A710, IF(B$2:B$1997&gt;B710, B$2:B$1997))) - B710,
    TODAY() - Table3[[#This Row],[Date of Update]]
  ),
  TODAY()-Table3[[#This Row],[Date of Update]]
)))</f>
        <v>76</v>
      </c>
      <c r="G710" s="40" t="str">
        <f>IF(Table3[[#This Row],[Stage]]="Closed",Table3[[#This Row],[Date of Update]]-(_xlfn.MINIFS(Table3[Date of Update],Table3[Ref], Table3[[#This Row],[Ref]])),"")</f>
        <v/>
      </c>
    </row>
    <row r="711" spans="1:7" x14ac:dyDescent="0.25">
      <c r="A711" s="39" t="s">
        <v>1533</v>
      </c>
      <c r="B711" s="33">
        <v>45240</v>
      </c>
      <c r="C711" s="32" t="s">
        <v>169</v>
      </c>
      <c r="D711" s="32" t="s">
        <v>4</v>
      </c>
      <c r="E711" s="32" t="s">
        <v>645</v>
      </c>
      <c r="F711" s="32" cm="1">
        <f t="array" aca="1" ref="F711" ca="1">IF(Table3[[#This Row],[Stage]]="Closed",0,IF(IFERROR(
  IF(
    COUNTIF(A$2:A$1997, A711) &gt; 1,
    MIN(IF(A$2:A$1997=A711, IF(B$2:B$1997&gt;B711, B$2:B$1997))) - B711,
    TODAY() - Table3[[#This Row],[Date of Update]]
  ),
  TODAY()-Table3[[#This Row],[Date of Update]]
)&lt;=0,
TODAY()-Table3[[#This Row],[Date of Update]],
IFERROR(
  IF(
    COUNTIF(A$2:A$1997, A711) &gt; 1,
    MIN(IF(A$2:A$1997=A711, IF(B$2:B$1997&gt;B711, B$2:B$1997))) - B711,
    TODAY() - Table3[[#This Row],[Date of Update]]
  ),
  TODAY()-Table3[[#This Row],[Date of Update]]
)))</f>
        <v>0</v>
      </c>
      <c r="G711" s="40">
        <f>IF(Table3[[#This Row],[Stage]]="Closed",Table3[[#This Row],[Date of Update]]-(_xlfn.MINIFS(Table3[Date of Update],Table3[Ref], Table3[[#This Row],[Ref]])),"")</f>
        <v>98</v>
      </c>
    </row>
    <row r="712" spans="1:7" x14ac:dyDescent="0.25">
      <c r="A712" s="39" t="s">
        <v>1396</v>
      </c>
      <c r="B712" s="33">
        <v>45243</v>
      </c>
      <c r="C712" s="32" t="s">
        <v>169</v>
      </c>
      <c r="D712" s="32" t="s">
        <v>4</v>
      </c>
      <c r="E712" s="32" t="s">
        <v>645</v>
      </c>
      <c r="F712" s="32" cm="1">
        <f t="array" aca="1" ref="F712" ca="1">IF(Table3[[#This Row],[Stage]]="Closed",0,IF(IFERROR(
  IF(
    COUNTIF(A$2:A$1997, A712) &gt; 1,
    MIN(IF(A$2:A$1997=A712, IF(B$2:B$1997&gt;B712, B$2:B$1997))) - B712,
    TODAY() - Table3[[#This Row],[Date of Update]]
  ),
  TODAY()-Table3[[#This Row],[Date of Update]]
)&lt;=0,
TODAY()-Table3[[#This Row],[Date of Update]],
IFERROR(
  IF(
    COUNTIF(A$2:A$1997, A712) &gt; 1,
    MIN(IF(A$2:A$1997=A712, IF(B$2:B$1997&gt;B712, B$2:B$1997))) - B712,
    TODAY() - Table3[[#This Row],[Date of Update]]
  ),
  TODAY()-Table3[[#This Row],[Date of Update]]
)))</f>
        <v>0</v>
      </c>
      <c r="G712" s="40">
        <f>IF(Table3[[#This Row],[Stage]]="Closed",Table3[[#This Row],[Date of Update]]-(_xlfn.MINIFS(Table3[Date of Update],Table3[Ref], Table3[[#This Row],[Ref]])),"")</f>
        <v>87</v>
      </c>
    </row>
    <row r="713" spans="1:7" x14ac:dyDescent="0.25">
      <c r="A713" s="39" t="s">
        <v>1405</v>
      </c>
      <c r="B713" s="33">
        <v>45244</v>
      </c>
      <c r="C713" s="32" t="s">
        <v>23</v>
      </c>
      <c r="D713" s="32" t="s">
        <v>4</v>
      </c>
      <c r="E713" s="32" t="s">
        <v>907</v>
      </c>
      <c r="F713" s="32" cm="1">
        <f t="array" aca="1" ref="F713" ca="1">IF(Table3[[#This Row],[Stage]]="Closed",0,IF(IFERROR(
  IF(
    COUNTIF(A$2:A$1997, A713) &gt; 1,
    MIN(IF(A$2:A$1997=A713, IF(B$2:B$1997&gt;B713, B$2:B$1997))) - B713,
    TODAY() - Table3[[#This Row],[Date of Update]]
  ),
  TODAY()-Table3[[#This Row],[Date of Update]]
)&lt;=0,
TODAY()-Table3[[#This Row],[Date of Update]],
IFERROR(
  IF(
    COUNTIF(A$2:A$1997, A713) &gt; 1,
    MIN(IF(A$2:A$1997=A713, IF(B$2:B$1997&gt;B713, B$2:B$1997))) - B713,
    TODAY() - Table3[[#This Row],[Date of Update]]
  ),
  TODAY()-Table3[[#This Row],[Date of Update]]
)))</f>
        <v>79</v>
      </c>
      <c r="G713" s="40" t="str">
        <f>IF(Table3[[#This Row],[Stage]]="Closed",Table3[[#This Row],[Date of Update]]-(_xlfn.MINIFS(Table3[Date of Update],Table3[Ref], Table3[[#This Row],[Ref]])),"")</f>
        <v/>
      </c>
    </row>
    <row r="714" spans="1:7" x14ac:dyDescent="0.25">
      <c r="A714" s="39" t="s">
        <v>1413</v>
      </c>
      <c r="B714" s="33">
        <v>45245</v>
      </c>
      <c r="C714" s="32" t="s">
        <v>23</v>
      </c>
      <c r="D714" s="32" t="s">
        <v>4</v>
      </c>
      <c r="E714" s="32" t="s">
        <v>920</v>
      </c>
      <c r="F714" s="32" cm="1">
        <f t="array" aca="1" ref="F714" ca="1">IF(Table3[[#This Row],[Stage]]="Closed",0,IF(IFERROR(
  IF(
    COUNTIF(A$2:A$1997, A714) &gt; 1,
    MIN(IF(A$2:A$1997=A714, IF(B$2:B$1997&gt;B714, B$2:B$1997))) - B714,
    TODAY() - Table3[[#This Row],[Date of Update]]
  ),
  TODAY()-Table3[[#This Row],[Date of Update]]
)&lt;=0,
TODAY()-Table3[[#This Row],[Date of Update]],
IFERROR(
  IF(
    COUNTIF(A$2:A$1997, A714) &gt; 1,
    MIN(IF(A$2:A$1997=A714, IF(B$2:B$1997&gt;B714, B$2:B$1997))) - B714,
    TODAY() - Table3[[#This Row],[Date of Update]]
  ),
  TODAY()-Table3[[#This Row],[Date of Update]]
)))</f>
        <v>490</v>
      </c>
      <c r="G714" s="40" t="str">
        <f>IF(Table3[[#This Row],[Stage]]="Closed",Table3[[#This Row],[Date of Update]]-(_xlfn.MINIFS(Table3[Date of Update],Table3[Ref], Table3[[#This Row],[Ref]])),"")</f>
        <v/>
      </c>
    </row>
    <row r="715" spans="1:7" x14ac:dyDescent="0.25">
      <c r="A715" s="39" t="s">
        <v>1413</v>
      </c>
      <c r="B715" s="33">
        <v>45245</v>
      </c>
      <c r="C715" s="32" t="s">
        <v>169</v>
      </c>
      <c r="D715" s="32" t="s">
        <v>4</v>
      </c>
      <c r="E715" s="32" t="s">
        <v>920</v>
      </c>
      <c r="F715" s="32" cm="1">
        <f t="array" aca="1" ref="F715" ca="1">IF(Table3[[#This Row],[Stage]]="Closed",0,IF(IFERROR(
  IF(
    COUNTIF(A$2:A$1997, A715) &gt; 1,
    MIN(IF(A$2:A$1997=A715, IF(B$2:B$1997&gt;B715, B$2:B$1997))) - B715,
    TODAY() - Table3[[#This Row],[Date of Update]]
  ),
  TODAY()-Table3[[#This Row],[Date of Update]]
)&lt;=0,
TODAY()-Table3[[#This Row],[Date of Update]],
IFERROR(
  IF(
    COUNTIF(A$2:A$1997, A715) &gt; 1,
    MIN(IF(A$2:A$1997=A715, IF(B$2:B$1997&gt;B715, B$2:B$1997))) - B715,
    TODAY() - Table3[[#This Row],[Date of Update]]
  ),
  TODAY()-Table3[[#This Row],[Date of Update]]
)))</f>
        <v>0</v>
      </c>
      <c r="G715" s="40">
        <f>IF(Table3[[#This Row],[Stage]]="Closed",Table3[[#This Row],[Date of Update]]-(_xlfn.MINIFS(Table3[Date of Update],Table3[Ref], Table3[[#This Row],[Ref]])),"")</f>
        <v>0</v>
      </c>
    </row>
    <row r="716" spans="1:7" x14ac:dyDescent="0.25">
      <c r="A716" s="39" t="s">
        <v>1398</v>
      </c>
      <c r="B716" s="33">
        <v>45246</v>
      </c>
      <c r="C716" s="32" t="s">
        <v>169</v>
      </c>
      <c r="D716" s="32" t="s">
        <v>4</v>
      </c>
      <c r="E716" s="32" t="s">
        <v>412</v>
      </c>
      <c r="F716" s="32" cm="1">
        <f t="array" aca="1" ref="F716" ca="1">IF(Table3[[#This Row],[Stage]]="Closed",0,IF(IFERROR(
  IF(
    COUNTIF(A$2:A$1997, A716) &gt; 1,
    MIN(IF(A$2:A$1997=A716, IF(B$2:B$1997&gt;B716, B$2:B$1997))) - B716,
    TODAY() - Table3[[#This Row],[Date of Update]]
  ),
  TODAY()-Table3[[#This Row],[Date of Update]]
)&lt;=0,
TODAY()-Table3[[#This Row],[Date of Update]],
IFERROR(
  IF(
    COUNTIF(A$2:A$1997, A716) &gt; 1,
    MIN(IF(A$2:A$1997=A716, IF(B$2:B$1997&gt;B716, B$2:B$1997))) - B716,
    TODAY() - Table3[[#This Row],[Date of Update]]
  ),
  TODAY()-Table3[[#This Row],[Date of Update]]
)))</f>
        <v>0</v>
      </c>
      <c r="G716" s="40">
        <f>IF(Table3[[#This Row],[Stage]]="Closed",Table3[[#This Row],[Date of Update]]-(_xlfn.MINIFS(Table3[Date of Update],Table3[Ref], Table3[[#This Row],[Ref]])),"")</f>
        <v>477</v>
      </c>
    </row>
    <row r="717" spans="1:7" x14ac:dyDescent="0.25">
      <c r="A717" s="39" t="s">
        <v>1399</v>
      </c>
      <c r="B717" s="33">
        <v>45246</v>
      </c>
      <c r="C717" s="32" t="s">
        <v>169</v>
      </c>
      <c r="D717" s="32" t="s">
        <v>4</v>
      </c>
      <c r="E717" s="32" t="s">
        <v>901</v>
      </c>
      <c r="F717" s="32" cm="1">
        <f t="array" aca="1" ref="F717" ca="1">IF(Table3[[#This Row],[Stage]]="Closed",0,IF(IFERROR(
  IF(
    COUNTIF(A$2:A$1997, A717) &gt; 1,
    MIN(IF(A$2:A$1997=A717, IF(B$2:B$1997&gt;B717, B$2:B$1997))) - B717,
    TODAY() - Table3[[#This Row],[Date of Update]]
  ),
  TODAY()-Table3[[#This Row],[Date of Update]]
)&lt;=0,
TODAY()-Table3[[#This Row],[Date of Update]],
IFERROR(
  IF(
    COUNTIF(A$2:A$1997, A717) &gt; 1,
    MIN(IF(A$2:A$1997=A717, IF(B$2:B$1997&gt;B717, B$2:B$1997))) - B717,
    TODAY() - Table3[[#This Row],[Date of Update]]
  ),
  TODAY()-Table3[[#This Row],[Date of Update]]
)))</f>
        <v>0</v>
      </c>
      <c r="G717" s="40">
        <f>IF(Table3[[#This Row],[Stage]]="Closed",Table3[[#This Row],[Date of Update]]-(_xlfn.MINIFS(Table3[Date of Update],Table3[Ref], Table3[[#This Row],[Ref]])),"")</f>
        <v>328</v>
      </c>
    </row>
    <row r="718" spans="1:7" x14ac:dyDescent="0.25">
      <c r="A718" s="39" t="s">
        <v>1414</v>
      </c>
      <c r="B718" s="33">
        <v>45246</v>
      </c>
      <c r="C718" s="32" t="s">
        <v>23</v>
      </c>
      <c r="D718" s="32" t="s">
        <v>4</v>
      </c>
      <c r="E718" s="32" t="s">
        <v>922</v>
      </c>
      <c r="F718" s="32" cm="1">
        <f t="array" aca="1" ref="F718" ca="1">IF(Table3[[#This Row],[Stage]]="Closed",0,IF(IFERROR(
  IF(
    COUNTIF(A$2:A$1997, A718) &gt; 1,
    MIN(IF(A$2:A$1997=A718, IF(B$2:B$1997&gt;B718, B$2:B$1997))) - B718,
    TODAY() - Table3[[#This Row],[Date of Update]]
  ),
  TODAY()-Table3[[#This Row],[Date of Update]]
)&lt;=0,
TODAY()-Table3[[#This Row],[Date of Update]],
IFERROR(
  IF(
    COUNTIF(A$2:A$1997, A718) &gt; 1,
    MIN(IF(A$2:A$1997=A718, IF(B$2:B$1997&gt;B718, B$2:B$1997))) - B718,
    TODAY() - Table3[[#This Row],[Date of Update]]
  ),
  TODAY()-Table3[[#This Row],[Date of Update]]
)))</f>
        <v>22</v>
      </c>
      <c r="G718" s="40" t="str">
        <f>IF(Table3[[#This Row],[Stage]]="Closed",Table3[[#This Row],[Date of Update]]-(_xlfn.MINIFS(Table3[Date of Update],Table3[Ref], Table3[[#This Row],[Ref]])),"")</f>
        <v/>
      </c>
    </row>
    <row r="719" spans="1:7" x14ac:dyDescent="0.25">
      <c r="A719" s="39" t="s">
        <v>1491</v>
      </c>
      <c r="B719" s="33">
        <v>45247</v>
      </c>
      <c r="C719" s="32" t="s">
        <v>169</v>
      </c>
      <c r="D719" s="32" t="s">
        <v>4</v>
      </c>
      <c r="E719" s="32" t="s">
        <v>645</v>
      </c>
      <c r="F719" s="32" cm="1">
        <f t="array" aca="1" ref="F719" ca="1">IF(Table3[[#This Row],[Stage]]="Closed",0,IF(IFERROR(
  IF(
    COUNTIF(A$2:A$1997, A719) &gt; 1,
    MIN(IF(A$2:A$1997=A719, IF(B$2:B$1997&gt;B719, B$2:B$1997))) - B719,
    TODAY() - Table3[[#This Row],[Date of Update]]
  ),
  TODAY()-Table3[[#This Row],[Date of Update]]
)&lt;=0,
TODAY()-Table3[[#This Row],[Date of Update]],
IFERROR(
  IF(
    COUNTIF(A$2:A$1997, A719) &gt; 1,
    MIN(IF(A$2:A$1997=A719, IF(B$2:B$1997&gt;B719, B$2:B$1997))) - B719,
    TODAY() - Table3[[#This Row],[Date of Update]]
  ),
  TODAY()-Table3[[#This Row],[Date of Update]]
)))</f>
        <v>0</v>
      </c>
      <c r="G719" s="40">
        <f>IF(Table3[[#This Row],[Stage]]="Closed",Table3[[#This Row],[Date of Update]]-(_xlfn.MINIFS(Table3[Date of Update],Table3[Ref], Table3[[#This Row],[Ref]])),"")</f>
        <v>37</v>
      </c>
    </row>
    <row r="720" spans="1:7" x14ac:dyDescent="0.25">
      <c r="A720" s="39" t="s">
        <v>1412</v>
      </c>
      <c r="B720" s="33">
        <v>45250</v>
      </c>
      <c r="C720" s="32" t="s">
        <v>23</v>
      </c>
      <c r="D720" s="32" t="s">
        <v>4</v>
      </c>
      <c r="E720" s="32" t="s">
        <v>453</v>
      </c>
      <c r="F720" s="32" cm="1">
        <f t="array" aca="1" ref="F720" ca="1">IF(Table3[[#This Row],[Stage]]="Closed",0,IF(IFERROR(
  IF(
    COUNTIF(A$2:A$1997, A720) &gt; 1,
    MIN(IF(A$2:A$1997=A720, IF(B$2:B$1997&gt;B720, B$2:B$1997))) - B720,
    TODAY() - Table3[[#This Row],[Date of Update]]
  ),
  TODAY()-Table3[[#This Row],[Date of Update]]
)&lt;=0,
TODAY()-Table3[[#This Row],[Date of Update]],
IFERROR(
  IF(
    COUNTIF(A$2:A$1997, A720) &gt; 1,
    MIN(IF(A$2:A$1997=A720, IF(B$2:B$1997&gt;B720, B$2:B$1997))) - B720,
    TODAY() - Table3[[#This Row],[Date of Update]]
  ),
  TODAY()-Table3[[#This Row],[Date of Update]]
)))</f>
        <v>53</v>
      </c>
      <c r="G720" s="40" t="str">
        <f>IF(Table3[[#This Row],[Stage]]="Closed",Table3[[#This Row],[Date of Update]]-(_xlfn.MINIFS(Table3[Date of Update],Table3[Ref], Table3[[#This Row],[Ref]])),"")</f>
        <v/>
      </c>
    </row>
    <row r="721" spans="1:7" x14ac:dyDescent="0.25">
      <c r="A721" s="39" t="s">
        <v>1404</v>
      </c>
      <c r="B721" s="33">
        <v>45253</v>
      </c>
      <c r="C721" s="32" t="s">
        <v>23</v>
      </c>
      <c r="D721" s="32" t="s">
        <v>4</v>
      </c>
      <c r="E721" s="32" t="s">
        <v>453</v>
      </c>
      <c r="F721" s="32" cm="1">
        <f t="array" aca="1" ref="F721" ca="1">IF(Table3[[#This Row],[Stage]]="Closed",0,IF(IFERROR(
  IF(
    COUNTIF(A$2:A$1997, A721) &gt; 1,
    MIN(IF(A$2:A$1997=A721, IF(B$2:B$1997&gt;B721, B$2:B$1997))) - B721,
    TODAY() - Table3[[#This Row],[Date of Update]]
  ),
  TODAY()-Table3[[#This Row],[Date of Update]]
)&lt;=0,
TODAY()-Table3[[#This Row],[Date of Update]],
IFERROR(
  IF(
    COUNTIF(A$2:A$1997, A721) &gt; 1,
    MIN(IF(A$2:A$1997=A721, IF(B$2:B$1997&gt;B721, B$2:B$1997))) - B721,
    TODAY() - Table3[[#This Row],[Date of Update]]
  ),
  TODAY()-Table3[[#This Row],[Date of Update]]
)))</f>
        <v>11</v>
      </c>
      <c r="G721" s="40" t="str">
        <f>IF(Table3[[#This Row],[Stage]]="Closed",Table3[[#This Row],[Date of Update]]-(_xlfn.MINIFS(Table3[Date of Update],Table3[Ref], Table3[[#This Row],[Ref]])),"")</f>
        <v/>
      </c>
    </row>
    <row r="722" spans="1:7" x14ac:dyDescent="0.25">
      <c r="A722" s="39" t="s">
        <v>1408</v>
      </c>
      <c r="B722" s="33">
        <v>45253</v>
      </c>
      <c r="C722" s="32" t="s">
        <v>23</v>
      </c>
      <c r="D722" s="32" t="s">
        <v>4</v>
      </c>
      <c r="E722" s="32" t="s">
        <v>412</v>
      </c>
      <c r="F722" s="32" cm="1">
        <f t="array" aca="1" ref="F722" ca="1">IF(Table3[[#This Row],[Stage]]="Closed",0,IF(IFERROR(
  IF(
    COUNTIF(A$2:A$1997, A722) &gt; 1,
    MIN(IF(A$2:A$1997=A722, IF(B$2:B$1997&gt;B722, B$2:B$1997))) - B722,
    TODAY() - Table3[[#This Row],[Date of Update]]
  ),
  TODAY()-Table3[[#This Row],[Date of Update]]
)&lt;=0,
TODAY()-Table3[[#This Row],[Date of Update]],
IFERROR(
  IF(
    COUNTIF(A$2:A$1997, A722) &gt; 1,
    MIN(IF(A$2:A$1997=A722, IF(B$2:B$1997&gt;B722, B$2:B$1997))) - B722,
    TODAY() - Table3[[#This Row],[Date of Update]]
  ),
  TODAY()-Table3[[#This Row],[Date of Update]]
)))</f>
        <v>27</v>
      </c>
      <c r="G722" s="40" t="str">
        <f>IF(Table3[[#This Row],[Stage]]="Closed",Table3[[#This Row],[Date of Update]]-(_xlfn.MINIFS(Table3[Date of Update],Table3[Ref], Table3[[#This Row],[Ref]])),"")</f>
        <v/>
      </c>
    </row>
    <row r="723" spans="1:7" x14ac:dyDescent="0.25">
      <c r="A723" s="39" t="s">
        <v>1401</v>
      </c>
      <c r="B723" s="33">
        <v>45253</v>
      </c>
      <c r="C723" s="32" t="s">
        <v>23</v>
      </c>
      <c r="D723" s="32" t="s">
        <v>4</v>
      </c>
      <c r="E723" s="32" t="s">
        <v>412</v>
      </c>
      <c r="F723" s="32" cm="1">
        <f t="array" aca="1" ref="F723" ca="1">IF(Table3[[#This Row],[Stage]]="Closed",0,IF(IFERROR(
  IF(
    COUNTIF(A$2:A$1997, A723) &gt; 1,
    MIN(IF(A$2:A$1997=A723, IF(B$2:B$1997&gt;B723, B$2:B$1997))) - B723,
    TODAY() - Table3[[#This Row],[Date of Update]]
  ),
  TODAY()-Table3[[#This Row],[Date of Update]]
)&lt;=0,
TODAY()-Table3[[#This Row],[Date of Update]],
IFERROR(
  IF(
    COUNTIF(A$2:A$1997, A723) &gt; 1,
    MIN(IF(A$2:A$1997=A723, IF(B$2:B$1997&gt;B723, B$2:B$1997))) - B723,
    TODAY() - Table3[[#This Row],[Date of Update]]
  ),
  TODAY()-Table3[[#This Row],[Date of Update]]
)))</f>
        <v>5</v>
      </c>
      <c r="G723" s="40" t="str">
        <f>IF(Table3[[#This Row],[Stage]]="Closed",Table3[[#This Row],[Date of Update]]-(_xlfn.MINIFS(Table3[Date of Update],Table3[Ref], Table3[[#This Row],[Ref]])),"")</f>
        <v/>
      </c>
    </row>
    <row r="724" spans="1:7" x14ac:dyDescent="0.25">
      <c r="A724" s="39" t="s">
        <v>1406</v>
      </c>
      <c r="B724" s="33">
        <v>45253</v>
      </c>
      <c r="C724" s="32" t="s">
        <v>23</v>
      </c>
      <c r="D724" s="32" t="s">
        <v>4</v>
      </c>
      <c r="E724" s="32" t="s">
        <v>453</v>
      </c>
      <c r="F724" s="32" cm="1">
        <f t="array" aca="1" ref="F724" ca="1">IF(Table3[[#This Row],[Stage]]="Closed",0,IF(IFERROR(
  IF(
    COUNTIF(A$2:A$1997, A724) &gt; 1,
    MIN(IF(A$2:A$1997=A724, IF(B$2:B$1997&gt;B724, B$2:B$1997))) - B724,
    TODAY() - Table3[[#This Row],[Date of Update]]
  ),
  TODAY()-Table3[[#This Row],[Date of Update]]
)&lt;=0,
TODAY()-Table3[[#This Row],[Date of Update]],
IFERROR(
  IF(
    COUNTIF(A$2:A$1997, A724) &gt; 1,
    MIN(IF(A$2:A$1997=A724, IF(B$2:B$1997&gt;B724, B$2:B$1997))) - B724,
    TODAY() - Table3[[#This Row],[Date of Update]]
  ),
  TODAY()-Table3[[#This Row],[Date of Update]]
)))</f>
        <v>27</v>
      </c>
      <c r="G724" s="40" t="str">
        <f>IF(Table3[[#This Row],[Stage]]="Closed",Table3[[#This Row],[Date of Update]]-(_xlfn.MINIFS(Table3[Date of Update],Table3[Ref], Table3[[#This Row],[Ref]])),"")</f>
        <v/>
      </c>
    </row>
    <row r="725" spans="1:7" x14ac:dyDescent="0.25">
      <c r="A725" s="39" t="s">
        <v>1434</v>
      </c>
      <c r="B725" s="33">
        <v>45253</v>
      </c>
      <c r="C725" s="32" t="s">
        <v>23</v>
      </c>
      <c r="D725" s="32" t="s">
        <v>4</v>
      </c>
      <c r="E725" s="32" t="s">
        <v>531</v>
      </c>
      <c r="F725" s="32" cm="1">
        <f t="array" aca="1" ref="F725" ca="1">IF(Table3[[#This Row],[Stage]]="Closed",0,IF(IFERROR(
  IF(
    COUNTIF(A$2:A$1997, A725) &gt; 1,
    MIN(IF(A$2:A$1997=A725, IF(B$2:B$1997&gt;B725, B$2:B$1997))) - B725,
    TODAY() - Table3[[#This Row],[Date of Update]]
  ),
  TODAY()-Table3[[#This Row],[Date of Update]]
)&lt;=0,
TODAY()-Table3[[#This Row],[Date of Update]],
IFERROR(
  IF(
    COUNTIF(A$2:A$1997, A725) &gt; 1,
    MIN(IF(A$2:A$1997=A725, IF(B$2:B$1997&gt;B725, B$2:B$1997))) - B725,
    TODAY() - Table3[[#This Row],[Date of Update]]
  ),
  TODAY()-Table3[[#This Row],[Date of Update]]
)))</f>
        <v>102</v>
      </c>
      <c r="G725" s="40" t="str">
        <f>IF(Table3[[#This Row],[Stage]]="Closed",Table3[[#This Row],[Date of Update]]-(_xlfn.MINIFS(Table3[Date of Update],Table3[Ref], Table3[[#This Row],[Ref]])),"")</f>
        <v/>
      </c>
    </row>
    <row r="726" spans="1:7" x14ac:dyDescent="0.25">
      <c r="A726" s="39" t="s">
        <v>1407</v>
      </c>
      <c r="B726" s="33">
        <v>45253</v>
      </c>
      <c r="C726" s="32" t="s">
        <v>23</v>
      </c>
      <c r="D726" s="32" t="s">
        <v>4</v>
      </c>
      <c r="E726" s="32" t="s">
        <v>412</v>
      </c>
      <c r="F726" s="32" cm="1">
        <f t="array" aca="1" ref="F726" ca="1">IF(Table3[[#This Row],[Stage]]="Closed",0,IF(IFERROR(
  IF(
    COUNTIF(A$2:A$1997, A726) &gt; 1,
    MIN(IF(A$2:A$1997=A726, IF(B$2:B$1997&gt;B726, B$2:B$1997))) - B726,
    TODAY() - Table3[[#This Row],[Date of Update]]
  ),
  TODAY()-Table3[[#This Row],[Date of Update]]
)&lt;=0,
TODAY()-Table3[[#This Row],[Date of Update]],
IFERROR(
  IF(
    COUNTIF(A$2:A$1997, A726) &gt; 1,
    MIN(IF(A$2:A$1997=A726, IF(B$2:B$1997&gt;B726, B$2:B$1997))) - B726,
    TODAY() - Table3[[#This Row],[Date of Update]]
  ),
  TODAY()-Table3[[#This Row],[Date of Update]]
)))</f>
        <v>27</v>
      </c>
      <c r="G726" s="40" t="str">
        <f>IF(Table3[[#This Row],[Stage]]="Closed",Table3[[#This Row],[Date of Update]]-(_xlfn.MINIFS(Table3[Date of Update],Table3[Ref], Table3[[#This Row],[Ref]])),"")</f>
        <v/>
      </c>
    </row>
    <row r="727" spans="1:7" x14ac:dyDescent="0.25">
      <c r="A727" s="39" t="s">
        <v>1401</v>
      </c>
      <c r="B727" s="33">
        <v>45258</v>
      </c>
      <c r="C727" s="32" t="s">
        <v>169</v>
      </c>
      <c r="D727" s="32" t="s">
        <v>4</v>
      </c>
      <c r="E727" s="32" t="s">
        <v>412</v>
      </c>
      <c r="F727" s="32" cm="1">
        <f t="array" aca="1" ref="F727" ca="1">IF(Table3[[#This Row],[Stage]]="Closed",0,IF(IFERROR(
  IF(
    COUNTIF(A$2:A$1997, A727) &gt; 1,
    MIN(IF(A$2:A$1997=A727, IF(B$2:B$1997&gt;B727, B$2:B$1997))) - B727,
    TODAY() - Table3[[#This Row],[Date of Update]]
  ),
  TODAY()-Table3[[#This Row],[Date of Update]]
)&lt;=0,
TODAY()-Table3[[#This Row],[Date of Update]],
IFERROR(
  IF(
    COUNTIF(A$2:A$1997, A727) &gt; 1,
    MIN(IF(A$2:A$1997=A727, IF(B$2:B$1997&gt;B727, B$2:B$1997))) - B727,
    TODAY() - Table3[[#This Row],[Date of Update]]
  ),
  TODAY()-Table3[[#This Row],[Date of Update]]
)))</f>
        <v>0</v>
      </c>
      <c r="G727" s="40">
        <f>IF(Table3[[#This Row],[Stage]]="Closed",Table3[[#This Row],[Date of Update]]-(_xlfn.MINIFS(Table3[Date of Update],Table3[Ref], Table3[[#This Row],[Ref]])),"")</f>
        <v>5</v>
      </c>
    </row>
    <row r="728" spans="1:7" x14ac:dyDescent="0.25">
      <c r="A728" s="39" t="s">
        <v>1403</v>
      </c>
      <c r="B728" s="33">
        <v>45261</v>
      </c>
      <c r="C728" s="32" t="s">
        <v>169</v>
      </c>
      <c r="D728" s="32" t="s">
        <v>4</v>
      </c>
      <c r="E728" s="32" t="s">
        <v>865</v>
      </c>
      <c r="F728" s="32" cm="1">
        <f t="array" aca="1" ref="F728" ca="1">IF(Table3[[#This Row],[Stage]]="Closed",0,IF(IFERROR(
  IF(
    COUNTIF(A$2:A$1997, A728) &gt; 1,
    MIN(IF(A$2:A$1997=A728, IF(B$2:B$1997&gt;B728, B$2:B$1997))) - B728,
    TODAY() - Table3[[#This Row],[Date of Update]]
  ),
  TODAY()-Table3[[#This Row],[Date of Update]]
)&lt;=0,
TODAY()-Table3[[#This Row],[Date of Update]],
IFERROR(
  IF(
    COUNTIF(A$2:A$1997, A728) &gt; 1,
    MIN(IF(A$2:A$1997=A728, IF(B$2:B$1997&gt;B728, B$2:B$1997))) - B728,
    TODAY() - Table3[[#This Row],[Date of Update]]
  ),
  TODAY()-Table3[[#This Row],[Date of Update]]
)))</f>
        <v>0</v>
      </c>
      <c r="G728" s="40">
        <f>IF(Table3[[#This Row],[Stage]]="Closed",Table3[[#This Row],[Date of Update]]-(_xlfn.MINIFS(Table3[Date of Update],Table3[Ref], Table3[[#This Row],[Ref]])),"")</f>
        <v>49</v>
      </c>
    </row>
    <row r="729" spans="1:7" x14ac:dyDescent="0.25">
      <c r="A729" s="39" t="s">
        <v>1402</v>
      </c>
      <c r="B729" s="33">
        <v>45261</v>
      </c>
      <c r="C729" s="32" t="s">
        <v>169</v>
      </c>
      <c r="D729" s="32" t="s">
        <v>4</v>
      </c>
      <c r="E729" s="32" t="s">
        <v>645</v>
      </c>
      <c r="F729" s="32" cm="1">
        <f t="array" aca="1" ref="F729" ca="1">IF(Table3[[#This Row],[Stage]]="Closed",0,IF(IFERROR(
  IF(
    COUNTIF(A$2:A$1997, A729) &gt; 1,
    MIN(IF(A$2:A$1997=A729, IF(B$2:B$1997&gt;B729, B$2:B$1997))) - B729,
    TODAY() - Table3[[#This Row],[Date of Update]]
  ),
  TODAY()-Table3[[#This Row],[Date of Update]]
)&lt;=0,
TODAY()-Table3[[#This Row],[Date of Update]],
IFERROR(
  IF(
    COUNTIF(A$2:A$1997, A729) &gt; 1,
    MIN(IF(A$2:A$1997=A729, IF(B$2:B$1997&gt;B729, B$2:B$1997))) - B729,
    TODAY() - Table3[[#This Row],[Date of Update]]
  ),
  TODAY()-Table3[[#This Row],[Date of Update]]
)))</f>
        <v>0</v>
      </c>
      <c r="G729" s="40">
        <f>IF(Table3[[#This Row],[Stage]]="Closed",Table3[[#This Row],[Date of Update]]-(_xlfn.MINIFS(Table3[Date of Update],Table3[Ref], Table3[[#This Row],[Ref]])),"")</f>
        <v>93</v>
      </c>
    </row>
    <row r="730" spans="1:7" x14ac:dyDescent="0.25">
      <c r="A730" s="39" t="s">
        <v>1354</v>
      </c>
      <c r="B730" s="33">
        <v>45261</v>
      </c>
      <c r="C730" s="32" t="s">
        <v>169</v>
      </c>
      <c r="D730" s="32" t="s">
        <v>4</v>
      </c>
      <c r="E730" s="32" t="s">
        <v>453</v>
      </c>
      <c r="F730" s="32" cm="1">
        <f t="array" aca="1" ref="F730" ca="1">IF(Table3[[#This Row],[Stage]]="Closed",0,IF(IFERROR(
  IF(
    COUNTIF(A$2:A$1997, A730) &gt; 1,
    MIN(IF(A$2:A$1997=A730, IF(B$2:B$1997&gt;B730, B$2:B$1997))) - B730,
    TODAY() - Table3[[#This Row],[Date of Update]]
  ),
  TODAY()-Table3[[#This Row],[Date of Update]]
)&lt;=0,
TODAY()-Table3[[#This Row],[Date of Update]],
IFERROR(
  IF(
    COUNTIF(A$2:A$1997, A730) &gt; 1,
    MIN(IF(A$2:A$1997=A730, IF(B$2:B$1997&gt;B730, B$2:B$1997))) - B730,
    TODAY() - Table3[[#This Row],[Date of Update]]
  ),
  TODAY()-Table3[[#This Row],[Date of Update]]
)))</f>
        <v>0</v>
      </c>
      <c r="G730" s="40">
        <f>IF(Table3[[#This Row],[Stage]]="Closed",Table3[[#This Row],[Date of Update]]-(_xlfn.MINIFS(Table3[Date of Update],Table3[Ref], Table3[[#This Row],[Ref]])),"")</f>
        <v>67</v>
      </c>
    </row>
    <row r="731" spans="1:7" x14ac:dyDescent="0.25">
      <c r="A731" s="39" t="s">
        <v>1404</v>
      </c>
      <c r="B731" s="33">
        <v>45264</v>
      </c>
      <c r="C731" s="32" t="s">
        <v>169</v>
      </c>
      <c r="D731" s="32" t="s">
        <v>4</v>
      </c>
      <c r="E731" s="32" t="s">
        <v>453</v>
      </c>
      <c r="F731" s="32" cm="1">
        <f t="array" aca="1" ref="F731" ca="1">IF(Table3[[#This Row],[Stage]]="Closed",0,IF(IFERROR(
  IF(
    COUNTIF(A$2:A$1997, A731) &gt; 1,
    MIN(IF(A$2:A$1997=A731, IF(B$2:B$1997&gt;B731, B$2:B$1997))) - B731,
    TODAY() - Table3[[#This Row],[Date of Update]]
  ),
  TODAY()-Table3[[#This Row],[Date of Update]]
)&lt;=0,
TODAY()-Table3[[#This Row],[Date of Update]],
IFERROR(
  IF(
    COUNTIF(A$2:A$1997, A731) &gt; 1,
    MIN(IF(A$2:A$1997=A731, IF(B$2:B$1997&gt;B731, B$2:B$1997))) - B731,
    TODAY() - Table3[[#This Row],[Date of Update]]
  ),
  TODAY()-Table3[[#This Row],[Date of Update]]
)))</f>
        <v>0</v>
      </c>
      <c r="G731" s="40">
        <f>IF(Table3[[#This Row],[Stage]]="Closed",Table3[[#This Row],[Date of Update]]-(_xlfn.MINIFS(Table3[Date of Update],Table3[Ref], Table3[[#This Row],[Ref]])),"")</f>
        <v>11</v>
      </c>
    </row>
    <row r="732" spans="1:7" x14ac:dyDescent="0.25">
      <c r="A732" s="39" t="s">
        <v>1228</v>
      </c>
      <c r="B732" s="33">
        <v>45264</v>
      </c>
      <c r="C732" s="32" t="s">
        <v>23</v>
      </c>
      <c r="D732" s="32" t="s">
        <v>4</v>
      </c>
      <c r="E732" s="32" t="s">
        <v>925</v>
      </c>
      <c r="F732" s="32" cm="1">
        <f t="array" aca="1" ref="F732" ca="1">IF(Table3[[#This Row],[Stage]]="Closed",0,IF(IFERROR(
  IF(
    COUNTIF(A$2:A$1997, A732) &gt; 1,
    MIN(IF(A$2:A$1997=A732, IF(B$2:B$1997&gt;B732, B$2:B$1997))) - B732,
    TODAY() - Table3[[#This Row],[Date of Update]]
  ),
  TODAY()-Table3[[#This Row],[Date of Update]]
)&lt;=0,
TODAY()-Table3[[#This Row],[Date of Update]],
IFERROR(
  IF(
    COUNTIF(A$2:A$1997, A732) &gt; 1,
    MIN(IF(A$2:A$1997=A732, IF(B$2:B$1997&gt;B732, B$2:B$1997))) - B732,
    TODAY() - Table3[[#This Row],[Date of Update]]
  ),
  TODAY()-Table3[[#This Row],[Date of Update]]
)))</f>
        <v>49</v>
      </c>
      <c r="G732" s="40" t="str">
        <f>IF(Table3[[#This Row],[Stage]]="Closed",Table3[[#This Row],[Date of Update]]-(_xlfn.MINIFS(Table3[Date of Update],Table3[Ref], Table3[[#This Row],[Ref]])),"")</f>
        <v/>
      </c>
    </row>
    <row r="733" spans="1:7" x14ac:dyDescent="0.25">
      <c r="A733" s="39" t="s">
        <v>1414</v>
      </c>
      <c r="B733" s="33">
        <v>45268</v>
      </c>
      <c r="C733" s="32" t="s">
        <v>169</v>
      </c>
      <c r="D733" s="32" t="s">
        <v>4</v>
      </c>
      <c r="E733" s="32" t="s">
        <v>922</v>
      </c>
      <c r="F733" s="32" cm="1">
        <f t="array" aca="1" ref="F733" ca="1">IF(Table3[[#This Row],[Stage]]="Closed",0,IF(IFERROR(
  IF(
    COUNTIF(A$2:A$1997, A733) &gt; 1,
    MIN(IF(A$2:A$1997=A733, IF(B$2:B$1997&gt;B733, B$2:B$1997))) - B733,
    TODAY() - Table3[[#This Row],[Date of Update]]
  ),
  TODAY()-Table3[[#This Row],[Date of Update]]
)&lt;=0,
TODAY()-Table3[[#This Row],[Date of Update]],
IFERROR(
  IF(
    COUNTIF(A$2:A$1997, A733) &gt; 1,
    MIN(IF(A$2:A$1997=A733, IF(B$2:B$1997&gt;B733, B$2:B$1997))) - B733,
    TODAY() - Table3[[#This Row],[Date of Update]]
  ),
  TODAY()-Table3[[#This Row],[Date of Update]]
)))</f>
        <v>0</v>
      </c>
      <c r="G733" s="40">
        <f>IF(Table3[[#This Row],[Stage]]="Closed",Table3[[#This Row],[Date of Update]]-(_xlfn.MINIFS(Table3[Date of Update],Table3[Ref], Table3[[#This Row],[Ref]])),"")</f>
        <v>22</v>
      </c>
    </row>
    <row r="734" spans="1:7" x14ac:dyDescent="0.25">
      <c r="A734" s="39" t="s">
        <v>1418</v>
      </c>
      <c r="B734" s="33">
        <v>45272</v>
      </c>
      <c r="C734" s="32" t="s">
        <v>23</v>
      </c>
      <c r="D734" s="32" t="s">
        <v>4</v>
      </c>
      <c r="E734" s="32" t="s">
        <v>936</v>
      </c>
      <c r="F734" s="32" cm="1">
        <f t="array" aca="1" ref="F734" ca="1">IF(Table3[[#This Row],[Stage]]="Closed",0,IF(IFERROR(
  IF(
    COUNTIF(A$2:A$1997, A734) &gt; 1,
    MIN(IF(A$2:A$1997=A734, IF(B$2:B$1997&gt;B734, B$2:B$1997))) - B734,
    TODAY() - Table3[[#This Row],[Date of Update]]
  ),
  TODAY()-Table3[[#This Row],[Date of Update]]
)&lt;=0,
TODAY()-Table3[[#This Row],[Date of Update]],
IFERROR(
  IF(
    COUNTIF(A$2:A$1997, A734) &gt; 1,
    MIN(IF(A$2:A$1997=A734, IF(B$2:B$1997&gt;B734, B$2:B$1997))) - B734,
    TODAY() - Table3[[#This Row],[Date of Update]]
  ),
  TODAY()-Table3[[#This Row],[Date of Update]]
)))</f>
        <v>37</v>
      </c>
      <c r="G734" s="40" t="str">
        <f>IF(Table3[[#This Row],[Stage]]="Closed",Table3[[#This Row],[Date of Update]]-(_xlfn.MINIFS(Table3[Date of Update],Table3[Ref], Table3[[#This Row],[Ref]])),"")</f>
        <v/>
      </c>
    </row>
    <row r="735" spans="1:7" x14ac:dyDescent="0.25">
      <c r="A735" s="39" t="s">
        <v>1419</v>
      </c>
      <c r="B735" s="33">
        <v>45272</v>
      </c>
      <c r="C735" s="32" t="s">
        <v>23</v>
      </c>
      <c r="D735" s="32" t="s">
        <v>4</v>
      </c>
      <c r="E735" s="32" t="s">
        <v>938</v>
      </c>
      <c r="F735" s="32" cm="1">
        <f t="array" aca="1" ref="F735" ca="1">IF(Table3[[#This Row],[Stage]]="Closed",0,IF(IFERROR(
  IF(
    COUNTIF(A$2:A$1997, A735) &gt; 1,
    MIN(IF(A$2:A$1997=A735, IF(B$2:B$1997&gt;B735, B$2:B$1997))) - B735,
    TODAY() - Table3[[#This Row],[Date of Update]]
  ),
  TODAY()-Table3[[#This Row],[Date of Update]]
)&lt;=0,
TODAY()-Table3[[#This Row],[Date of Update]],
IFERROR(
  IF(
    COUNTIF(A$2:A$1997, A735) &gt; 1,
    MIN(IF(A$2:A$1997=A735, IF(B$2:B$1997&gt;B735, B$2:B$1997))) - B735,
    TODAY() - Table3[[#This Row],[Date of Update]]
  ),
  TODAY()-Table3[[#This Row],[Date of Update]]
)))</f>
        <v>37</v>
      </c>
      <c r="G735" s="40" t="str">
        <f>IF(Table3[[#This Row],[Stage]]="Closed",Table3[[#This Row],[Date of Update]]-(_xlfn.MINIFS(Table3[Date of Update],Table3[Ref], Table3[[#This Row],[Ref]])),"")</f>
        <v/>
      </c>
    </row>
    <row r="736" spans="1:7" x14ac:dyDescent="0.25">
      <c r="A736" s="39" t="s">
        <v>1416</v>
      </c>
      <c r="B736" s="33">
        <v>45275</v>
      </c>
      <c r="C736" s="32" t="s">
        <v>23</v>
      </c>
      <c r="D736" s="32" t="s">
        <v>4</v>
      </c>
      <c r="E736" s="32" t="s">
        <v>929</v>
      </c>
      <c r="F736" s="32" cm="1">
        <f t="array" aca="1" ref="F736" ca="1">IF(Table3[[#This Row],[Stage]]="Closed",0,IF(IFERROR(
  IF(
    COUNTIF(A$2:A$1997, A736) &gt; 1,
    MIN(IF(A$2:A$1997=A736, IF(B$2:B$1997&gt;B736, B$2:B$1997))) - B736,
    TODAY() - Table3[[#This Row],[Date of Update]]
  ),
  TODAY()-Table3[[#This Row],[Date of Update]]
)&lt;=0,
TODAY()-Table3[[#This Row],[Date of Update]],
IFERROR(
  IF(
    COUNTIF(A$2:A$1997, A736) &gt; 1,
    MIN(IF(A$2:A$1997=A736, IF(B$2:B$1997&gt;B736, B$2:B$1997))) - B736,
    TODAY() - Table3[[#This Row],[Date of Update]]
  ),
  TODAY()-Table3[[#This Row],[Date of Update]]
)))</f>
        <v>47</v>
      </c>
      <c r="G736" s="40" t="str">
        <f>IF(Table3[[#This Row],[Stage]]="Closed",Table3[[#This Row],[Date of Update]]-(_xlfn.MINIFS(Table3[Date of Update],Table3[Ref], Table3[[#This Row],[Ref]])),"")</f>
        <v/>
      </c>
    </row>
    <row r="737" spans="1:7" x14ac:dyDescent="0.25">
      <c r="A737" s="39" t="s">
        <v>1420</v>
      </c>
      <c r="B737" s="33">
        <v>45278</v>
      </c>
      <c r="C737" s="32" t="s">
        <v>23</v>
      </c>
      <c r="D737" s="32" t="s">
        <v>4</v>
      </c>
      <c r="E737" s="32" t="s">
        <v>942</v>
      </c>
      <c r="F737" s="32" cm="1">
        <f t="array" aca="1" ref="F737" ca="1">IF(Table3[[#This Row],[Stage]]="Closed",0,IF(IFERROR(
  IF(
    COUNTIF(A$2:A$1997, A737) &gt; 1,
    MIN(IF(A$2:A$1997=A737, IF(B$2:B$1997&gt;B737, B$2:B$1997))) - B737,
    TODAY() - Table3[[#This Row],[Date of Update]]
  ),
  TODAY()-Table3[[#This Row],[Date of Update]]
)&lt;=0,
TODAY()-Table3[[#This Row],[Date of Update]],
IFERROR(
  IF(
    COUNTIF(A$2:A$1997, A737) &gt; 1,
    MIN(IF(A$2:A$1997=A737, IF(B$2:B$1997&gt;B737, B$2:B$1997))) - B737,
    TODAY() - Table3[[#This Row],[Date of Update]]
  ),
  TODAY()-Table3[[#This Row],[Date of Update]]
)))</f>
        <v>45</v>
      </c>
      <c r="G737" s="40" t="str">
        <f>IF(Table3[[#This Row],[Stage]]="Closed",Table3[[#This Row],[Date of Update]]-(_xlfn.MINIFS(Table3[Date of Update],Table3[Ref], Table3[[#This Row],[Ref]])),"")</f>
        <v/>
      </c>
    </row>
    <row r="738" spans="1:7" x14ac:dyDescent="0.25">
      <c r="A738" s="39" t="s">
        <v>1409</v>
      </c>
      <c r="B738" s="33">
        <v>45279</v>
      </c>
      <c r="C738" s="32" t="s">
        <v>23</v>
      </c>
      <c r="D738" s="32" t="s">
        <v>4</v>
      </c>
      <c r="E738" s="32" t="s">
        <v>441</v>
      </c>
      <c r="F738" s="32" cm="1">
        <f t="array" aca="1" ref="F738" ca="1">IF(Table3[[#This Row],[Stage]]="Closed",0,IF(IFERROR(
  IF(
    COUNTIF(A$2:A$1997, A738) &gt; 1,
    MIN(IF(A$2:A$1997=A738, IF(B$2:B$1997&gt;B738, B$2:B$1997))) - B738,
    TODAY() - Table3[[#This Row],[Date of Update]]
  ),
  TODAY()-Table3[[#This Row],[Date of Update]]
)&lt;=0,
TODAY()-Table3[[#This Row],[Date of Update]],
IFERROR(
  IF(
    COUNTIF(A$2:A$1997, A738) &gt; 1,
    MIN(IF(A$2:A$1997=A738, IF(B$2:B$1997&gt;B738, B$2:B$1997))) - B738,
    TODAY() - Table3[[#This Row],[Date of Update]]
  ),
  TODAY()-Table3[[#This Row],[Date of Update]]
)))</f>
        <v>2</v>
      </c>
      <c r="G738" s="40" t="str">
        <f>IF(Table3[[#This Row],[Stage]]="Closed",Table3[[#This Row],[Date of Update]]-(_xlfn.MINIFS(Table3[Date of Update],Table3[Ref], Table3[[#This Row],[Ref]])),"")</f>
        <v/>
      </c>
    </row>
    <row r="739" spans="1:7" x14ac:dyDescent="0.25">
      <c r="A739" s="39" t="s">
        <v>1408</v>
      </c>
      <c r="B739" s="33">
        <v>45280</v>
      </c>
      <c r="C739" s="32" t="s">
        <v>169</v>
      </c>
      <c r="D739" s="32" t="s">
        <v>4</v>
      </c>
      <c r="E739" s="32" t="s">
        <v>412</v>
      </c>
      <c r="F739" s="32" cm="1">
        <f t="array" aca="1" ref="F739" ca="1">IF(Table3[[#This Row],[Stage]]="Closed",0,IF(IFERROR(
  IF(
    COUNTIF(A$2:A$1997, A739) &gt; 1,
    MIN(IF(A$2:A$1997=A739, IF(B$2:B$1997&gt;B739, B$2:B$1997))) - B739,
    TODAY() - Table3[[#This Row],[Date of Update]]
  ),
  TODAY()-Table3[[#This Row],[Date of Update]]
)&lt;=0,
TODAY()-Table3[[#This Row],[Date of Update]],
IFERROR(
  IF(
    COUNTIF(A$2:A$1997, A739) &gt; 1,
    MIN(IF(A$2:A$1997=A739, IF(B$2:B$1997&gt;B739, B$2:B$1997))) - B739,
    TODAY() - Table3[[#This Row],[Date of Update]]
  ),
  TODAY()-Table3[[#This Row],[Date of Update]]
)))</f>
        <v>0</v>
      </c>
      <c r="G739" s="40">
        <f>IF(Table3[[#This Row],[Stage]]="Closed",Table3[[#This Row],[Date of Update]]-(_xlfn.MINIFS(Table3[Date of Update],Table3[Ref], Table3[[#This Row],[Ref]])),"")</f>
        <v>27</v>
      </c>
    </row>
    <row r="740" spans="1:7" x14ac:dyDescent="0.25">
      <c r="A740" s="39" t="s">
        <v>1406</v>
      </c>
      <c r="B740" s="33">
        <v>45280</v>
      </c>
      <c r="C740" s="32" t="s">
        <v>169</v>
      </c>
      <c r="D740" s="32" t="s">
        <v>4</v>
      </c>
      <c r="E740" s="32" t="s">
        <v>453</v>
      </c>
      <c r="F740" s="32" cm="1">
        <f t="array" aca="1" ref="F740" ca="1">IF(Table3[[#This Row],[Stage]]="Closed",0,IF(IFERROR(
  IF(
    COUNTIF(A$2:A$1997, A740) &gt; 1,
    MIN(IF(A$2:A$1997=A740, IF(B$2:B$1997&gt;B740, B$2:B$1997))) - B740,
    TODAY() - Table3[[#This Row],[Date of Update]]
  ),
  TODAY()-Table3[[#This Row],[Date of Update]]
)&lt;=0,
TODAY()-Table3[[#This Row],[Date of Update]],
IFERROR(
  IF(
    COUNTIF(A$2:A$1997, A740) &gt; 1,
    MIN(IF(A$2:A$1997=A740, IF(B$2:B$1997&gt;B740, B$2:B$1997))) - B740,
    TODAY() - Table3[[#This Row],[Date of Update]]
  ),
  TODAY()-Table3[[#This Row],[Date of Update]]
)))</f>
        <v>0</v>
      </c>
      <c r="G740" s="40">
        <f>IF(Table3[[#This Row],[Stage]]="Closed",Table3[[#This Row],[Date of Update]]-(_xlfn.MINIFS(Table3[Date of Update],Table3[Ref], Table3[[#This Row],[Ref]])),"")</f>
        <v>27</v>
      </c>
    </row>
    <row r="741" spans="1:7" x14ac:dyDescent="0.25">
      <c r="A741" s="39" t="s">
        <v>1407</v>
      </c>
      <c r="B741" s="33">
        <v>45280</v>
      </c>
      <c r="C741" s="32" t="s">
        <v>169</v>
      </c>
      <c r="D741" s="32" t="s">
        <v>4</v>
      </c>
      <c r="E741" s="32" t="s">
        <v>412</v>
      </c>
      <c r="F741" s="32" cm="1">
        <f t="array" aca="1" ref="F741" ca="1">IF(Table3[[#This Row],[Stage]]="Closed",0,IF(IFERROR(
  IF(
    COUNTIF(A$2:A$1997, A741) &gt; 1,
    MIN(IF(A$2:A$1997=A741, IF(B$2:B$1997&gt;B741, B$2:B$1997))) - B741,
    TODAY() - Table3[[#This Row],[Date of Update]]
  ),
  TODAY()-Table3[[#This Row],[Date of Update]]
)&lt;=0,
TODAY()-Table3[[#This Row],[Date of Update]],
IFERROR(
  IF(
    COUNTIF(A$2:A$1997, A741) &gt; 1,
    MIN(IF(A$2:A$1997=A741, IF(B$2:B$1997&gt;B741, B$2:B$1997))) - B741,
    TODAY() - Table3[[#This Row],[Date of Update]]
  ),
  TODAY()-Table3[[#This Row],[Date of Update]]
)))</f>
        <v>0</v>
      </c>
      <c r="G741" s="40">
        <f>IF(Table3[[#This Row],[Stage]]="Closed",Table3[[#This Row],[Date of Update]]-(_xlfn.MINIFS(Table3[Date of Update],Table3[Ref], Table3[[#This Row],[Ref]])),"")</f>
        <v>27</v>
      </c>
    </row>
    <row r="742" spans="1:7" x14ac:dyDescent="0.25">
      <c r="A742" s="39" t="s">
        <v>1409</v>
      </c>
      <c r="B742" s="33">
        <v>45281</v>
      </c>
      <c r="C742" s="32" t="s">
        <v>169</v>
      </c>
      <c r="D742" s="32" t="s">
        <v>4</v>
      </c>
      <c r="E742" s="32" t="s">
        <v>441</v>
      </c>
      <c r="F742" s="32" cm="1">
        <f t="array" aca="1" ref="F742" ca="1">IF(Table3[[#This Row],[Stage]]="Closed",0,IF(IFERROR(
  IF(
    COUNTIF(A$2:A$1997, A742) &gt; 1,
    MIN(IF(A$2:A$1997=A742, IF(B$2:B$1997&gt;B742, B$2:B$1997))) - B742,
    TODAY() - Table3[[#This Row],[Date of Update]]
  ),
  TODAY()-Table3[[#This Row],[Date of Update]]
)&lt;=0,
TODAY()-Table3[[#This Row],[Date of Update]],
IFERROR(
  IF(
    COUNTIF(A$2:A$1997, A742) &gt; 1,
    MIN(IF(A$2:A$1997=A742, IF(B$2:B$1997&gt;B742, B$2:B$1997))) - B742,
    TODAY() - Table3[[#This Row],[Date of Update]]
  ),
  TODAY()-Table3[[#This Row],[Date of Update]]
)))</f>
        <v>0</v>
      </c>
      <c r="G742" s="40">
        <f>IF(Table3[[#This Row],[Stage]]="Closed",Table3[[#This Row],[Date of Update]]-(_xlfn.MINIFS(Table3[Date of Update],Table3[Ref], Table3[[#This Row],[Ref]])),"")</f>
        <v>2</v>
      </c>
    </row>
    <row r="743" spans="1:7" x14ac:dyDescent="0.25">
      <c r="A743" s="39" t="s">
        <v>1436</v>
      </c>
      <c r="B743" s="33">
        <v>45301</v>
      </c>
      <c r="C743" s="32" t="s">
        <v>23</v>
      </c>
      <c r="D743" s="32" t="s">
        <v>4</v>
      </c>
      <c r="E743" s="32" t="s">
        <v>453</v>
      </c>
      <c r="F743" s="32" cm="1">
        <f t="array" aca="1" ref="F743" ca="1">IF(Table3[[#This Row],[Stage]]="Closed",0,IF(IFERROR(
  IF(
    COUNTIF(A$2:A$1997, A743) &gt; 1,
    MIN(IF(A$2:A$1997=A743, IF(B$2:B$1997&gt;B743, B$2:B$1997))) - B743,
    TODAY() - Table3[[#This Row],[Date of Update]]
  ),
  TODAY()-Table3[[#This Row],[Date of Update]]
)&lt;=0,
TODAY()-Table3[[#This Row],[Date of Update]],
IFERROR(
  IF(
    COUNTIF(A$2:A$1997, A743) &gt; 1,
    MIN(IF(A$2:A$1997=A743, IF(B$2:B$1997&gt;B743, B$2:B$1997))) - B743,
    TODAY() - Table3[[#This Row],[Date of Update]]
  ),
  TODAY()-Table3[[#This Row],[Date of Update]]
)))</f>
        <v>63</v>
      </c>
      <c r="G743" s="40" t="str">
        <f>IF(Table3[[#This Row],[Stage]]="Closed",Table3[[#This Row],[Date of Update]]-(_xlfn.MINIFS(Table3[Date of Update],Table3[Ref], Table3[[#This Row],[Ref]])),"")</f>
        <v/>
      </c>
    </row>
    <row r="744" spans="1:7" x14ac:dyDescent="0.25">
      <c r="A744" s="39" t="s">
        <v>1411</v>
      </c>
      <c r="B744" s="33">
        <v>45302</v>
      </c>
      <c r="C744" s="32" t="s">
        <v>169</v>
      </c>
      <c r="D744" s="32" t="s">
        <v>4</v>
      </c>
      <c r="E744" s="32"/>
      <c r="F744" s="32" cm="1">
        <f t="array" aca="1" ref="F744" ca="1">IF(Table3[[#This Row],[Stage]]="Closed",0,IF(IFERROR(
  IF(
    COUNTIF(A$2:A$1997, A744) &gt; 1,
    MIN(IF(A$2:A$1997=A744, IF(B$2:B$1997&gt;B744, B$2:B$1997))) - B744,
    TODAY() - Table3[[#This Row],[Date of Update]]
  ),
  TODAY()-Table3[[#This Row],[Date of Update]]
)&lt;=0,
TODAY()-Table3[[#This Row],[Date of Update]],
IFERROR(
  IF(
    COUNTIF(A$2:A$1997, A744) &gt; 1,
    MIN(IF(A$2:A$1997=A744, IF(B$2:B$1997&gt;B744, B$2:B$1997))) - B744,
    TODAY() - Table3[[#This Row],[Date of Update]]
  ),
  TODAY()-Table3[[#This Row],[Date of Update]]
)))</f>
        <v>0</v>
      </c>
      <c r="G744" s="40">
        <f>IF(Table3[[#This Row],[Stage]]="Closed",Table3[[#This Row],[Date of Update]]-(_xlfn.MINIFS(Table3[Date of Update],Table3[Ref], Table3[[#This Row],[Ref]])),"")</f>
        <v>63</v>
      </c>
    </row>
    <row r="745" spans="1:7" x14ac:dyDescent="0.25">
      <c r="A745" s="39" t="s">
        <v>1410</v>
      </c>
      <c r="B745" s="33">
        <v>45302</v>
      </c>
      <c r="C745" s="32" t="s">
        <v>169</v>
      </c>
      <c r="D745" s="32" t="s">
        <v>4</v>
      </c>
      <c r="E745" s="32" t="s">
        <v>453</v>
      </c>
      <c r="F745" s="32" cm="1">
        <f t="array" aca="1" ref="F745" ca="1">IF(Table3[[#This Row],[Stage]]="Closed",0,IF(IFERROR(
  IF(
    COUNTIF(A$2:A$1997, A745) &gt; 1,
    MIN(IF(A$2:A$1997=A745, IF(B$2:B$1997&gt;B745, B$2:B$1997))) - B745,
    TODAY() - Table3[[#This Row],[Date of Update]]
  ),
  TODAY()-Table3[[#This Row],[Date of Update]]
)&lt;=0,
TODAY()-Table3[[#This Row],[Date of Update]],
IFERROR(
  IF(
    COUNTIF(A$2:A$1997, A745) &gt; 1,
    MIN(IF(A$2:A$1997=A745, IF(B$2:B$1997&gt;B745, B$2:B$1997))) - B745,
    TODAY() - Table3[[#This Row],[Date of Update]]
  ),
  TODAY()-Table3[[#This Row],[Date of Update]]
)))</f>
        <v>0</v>
      </c>
      <c r="G745" s="40">
        <f>IF(Table3[[#This Row],[Stage]]="Closed",Table3[[#This Row],[Date of Update]]-(_xlfn.MINIFS(Table3[Date of Update],Table3[Ref], Table3[[#This Row],[Ref]])),"")</f>
        <v>63</v>
      </c>
    </row>
    <row r="746" spans="1:7" x14ac:dyDescent="0.25">
      <c r="A746" s="39" t="s">
        <v>1412</v>
      </c>
      <c r="B746" s="33">
        <v>45303</v>
      </c>
      <c r="C746" s="32" t="s">
        <v>169</v>
      </c>
      <c r="D746" s="32" t="s">
        <v>4</v>
      </c>
      <c r="E746" s="32" t="s">
        <v>453</v>
      </c>
      <c r="F746" s="32" cm="1">
        <f t="array" aca="1" ref="F746" ca="1">IF(Table3[[#This Row],[Stage]]="Closed",0,IF(IFERROR(
  IF(
    COUNTIF(A$2:A$1997, A746) &gt; 1,
    MIN(IF(A$2:A$1997=A746, IF(B$2:B$1997&gt;B746, B$2:B$1997))) - B746,
    TODAY() - Table3[[#This Row],[Date of Update]]
  ),
  TODAY()-Table3[[#This Row],[Date of Update]]
)&lt;=0,
TODAY()-Table3[[#This Row],[Date of Update]],
IFERROR(
  IF(
    COUNTIF(A$2:A$1997, A746) &gt; 1,
    MIN(IF(A$2:A$1997=A746, IF(B$2:B$1997&gt;B746, B$2:B$1997))) - B746,
    TODAY() - Table3[[#This Row],[Date of Update]]
  ),
  TODAY()-Table3[[#This Row],[Date of Update]]
)))</f>
        <v>0</v>
      </c>
      <c r="G746" s="40">
        <f>IF(Table3[[#This Row],[Stage]]="Closed",Table3[[#This Row],[Date of Update]]-(_xlfn.MINIFS(Table3[Date of Update],Table3[Ref], Table3[[#This Row],[Ref]])),"")</f>
        <v>53</v>
      </c>
    </row>
    <row r="747" spans="1:7" x14ac:dyDescent="0.25">
      <c r="A747" s="39" t="s">
        <v>1417</v>
      </c>
      <c r="B747" s="33">
        <v>45308</v>
      </c>
      <c r="C747" s="32" t="s">
        <v>23</v>
      </c>
      <c r="D747" s="32" t="s">
        <v>4</v>
      </c>
      <c r="E747" s="32" t="s">
        <v>453</v>
      </c>
      <c r="F747" s="32" cm="1">
        <f t="array" aca="1" ref="F747" ca="1">IF(Table3[[#This Row],[Stage]]="Closed",0,IF(IFERROR(
  IF(
    COUNTIF(A$2:A$1997, A747) &gt; 1,
    MIN(IF(A$2:A$1997=A747, IF(B$2:B$1997&gt;B747, B$2:B$1997))) - B747,
    TODAY() - Table3[[#This Row],[Date of Update]]
  ),
  TODAY()-Table3[[#This Row],[Date of Update]]
)&lt;=0,
TODAY()-Table3[[#This Row],[Date of Update]],
IFERROR(
  IF(
    COUNTIF(A$2:A$1997, A747) &gt; 1,
    MIN(IF(A$2:A$1997=A747, IF(B$2:B$1997&gt;B747, B$2:B$1997))) - B747,
    TODAY() - Table3[[#This Row],[Date of Update]]
  ),
  TODAY()-Table3[[#This Row],[Date of Update]]
)))</f>
        <v>14</v>
      </c>
      <c r="G747" s="40" t="str">
        <f>IF(Table3[[#This Row],[Stage]]="Closed",Table3[[#This Row],[Date of Update]]-(_xlfn.MINIFS(Table3[Date of Update],Table3[Ref], Table3[[#This Row],[Ref]])),"")</f>
        <v/>
      </c>
    </row>
    <row r="748" spans="1:7" x14ac:dyDescent="0.25">
      <c r="A748" s="39" t="s">
        <v>1418</v>
      </c>
      <c r="B748" s="33">
        <v>45309</v>
      </c>
      <c r="C748" s="32" t="s">
        <v>169</v>
      </c>
      <c r="D748" s="32" t="s">
        <v>4</v>
      </c>
      <c r="E748" s="32" t="s">
        <v>936</v>
      </c>
      <c r="F748" s="32" cm="1">
        <f t="array" aca="1" ref="F748" ca="1">IF(Table3[[#This Row],[Stage]]="Closed",0,IF(IFERROR(
  IF(
    COUNTIF(A$2:A$1997, A748) &gt; 1,
    MIN(IF(A$2:A$1997=A748, IF(B$2:B$1997&gt;B748, B$2:B$1997))) - B748,
    TODAY() - Table3[[#This Row],[Date of Update]]
  ),
  TODAY()-Table3[[#This Row],[Date of Update]]
)&lt;=0,
TODAY()-Table3[[#This Row],[Date of Update]],
IFERROR(
  IF(
    COUNTIF(A$2:A$1997, A748) &gt; 1,
    MIN(IF(A$2:A$1997=A748, IF(B$2:B$1997&gt;B748, B$2:B$1997))) - B748,
    TODAY() - Table3[[#This Row],[Date of Update]]
  ),
  TODAY()-Table3[[#This Row],[Date of Update]]
)))</f>
        <v>0</v>
      </c>
      <c r="G748" s="40">
        <f>IF(Table3[[#This Row],[Stage]]="Closed",Table3[[#This Row],[Date of Update]]-(_xlfn.MINIFS(Table3[Date of Update],Table3[Ref], Table3[[#This Row],[Ref]])),"")</f>
        <v>37</v>
      </c>
    </row>
    <row r="749" spans="1:7" x14ac:dyDescent="0.25">
      <c r="A749" s="39" t="s">
        <v>1419</v>
      </c>
      <c r="B749" s="33">
        <v>45309</v>
      </c>
      <c r="C749" s="32" t="s">
        <v>169</v>
      </c>
      <c r="D749" s="32" t="s">
        <v>4</v>
      </c>
      <c r="E749" s="32" t="s">
        <v>938</v>
      </c>
      <c r="F749" s="32" cm="1">
        <f t="array" aca="1" ref="F749" ca="1">IF(Table3[[#This Row],[Stage]]="Closed",0,IF(IFERROR(
  IF(
    COUNTIF(A$2:A$1997, A749) &gt; 1,
    MIN(IF(A$2:A$1997=A749, IF(B$2:B$1997&gt;B749, B$2:B$1997))) - B749,
    TODAY() - Table3[[#This Row],[Date of Update]]
  ),
  TODAY()-Table3[[#This Row],[Date of Update]]
)&lt;=0,
TODAY()-Table3[[#This Row],[Date of Update]],
IFERROR(
  IF(
    COUNTIF(A$2:A$1997, A749) &gt; 1,
    MIN(IF(A$2:A$1997=A749, IF(B$2:B$1997&gt;B749, B$2:B$1997))) - B749,
    TODAY() - Table3[[#This Row],[Date of Update]]
  ),
  TODAY()-Table3[[#This Row],[Date of Update]]
)))</f>
        <v>0</v>
      </c>
      <c r="G749" s="40">
        <f>IF(Table3[[#This Row],[Stage]]="Closed",Table3[[#This Row],[Date of Update]]-(_xlfn.MINIFS(Table3[Date of Update],Table3[Ref], Table3[[#This Row],[Ref]])),"")</f>
        <v>37</v>
      </c>
    </row>
    <row r="750" spans="1:7" x14ac:dyDescent="0.25">
      <c r="A750" s="39" t="s">
        <v>151</v>
      </c>
      <c r="B750" s="33">
        <v>45313</v>
      </c>
      <c r="C750" s="32" t="s">
        <v>23</v>
      </c>
      <c r="D750" s="32" t="s">
        <v>4</v>
      </c>
      <c r="E750" s="32" t="s">
        <v>170</v>
      </c>
      <c r="F750" s="32" cm="1">
        <f t="array" aca="1" ref="F750" ca="1">IF(Table3[[#This Row],[Stage]]="Closed",0,IF(IFERROR(
  IF(
    COUNTIF(A$2:A$1997, A750) &gt; 1,
    MIN(IF(A$2:A$1997=A750, IF(B$2:B$1997&gt;B750, B$2:B$1997))) - B750,
    TODAY() - Table3[[#This Row],[Date of Update]]
  ),
  TODAY()-Table3[[#This Row],[Date of Update]]
)&lt;=0,
TODAY()-Table3[[#This Row],[Date of Update]],
IFERROR(
  IF(
    COUNTIF(A$2:A$1997, A750) &gt; 1,
    MIN(IF(A$2:A$1997=A750, IF(B$2:B$1997&gt;B750, B$2:B$1997))) - B750,
    TODAY() - Table3[[#This Row],[Date of Update]]
  ),
  TODAY()-Table3[[#This Row],[Date of Update]]
)))</f>
        <v>2</v>
      </c>
      <c r="G750" s="40" t="str">
        <f>IF(Table3[[#This Row],[Stage]]="Closed",Table3[[#This Row],[Date of Update]]-(_xlfn.MINIFS(Table3[Date of Update],Table3[Ref], Table3[[#This Row],[Ref]])),"")</f>
        <v/>
      </c>
    </row>
    <row r="751" spans="1:7" x14ac:dyDescent="0.25">
      <c r="A751" s="39" t="s">
        <v>1228</v>
      </c>
      <c r="B751" s="33">
        <v>45313</v>
      </c>
      <c r="C751" s="32" t="s">
        <v>169</v>
      </c>
      <c r="D751" s="32" t="s">
        <v>4</v>
      </c>
      <c r="E751" s="32" t="s">
        <v>925</v>
      </c>
      <c r="F751" s="32" cm="1">
        <f t="array" aca="1" ref="F751" ca="1">IF(Table3[[#This Row],[Stage]]="Closed",0,IF(IFERROR(
  IF(
    COUNTIF(A$2:A$1997, A751) &gt; 1,
    MIN(IF(A$2:A$1997=A751, IF(B$2:B$1997&gt;B751, B$2:B$1997))) - B751,
    TODAY() - Table3[[#This Row],[Date of Update]]
  ),
  TODAY()-Table3[[#This Row],[Date of Update]]
)&lt;=0,
TODAY()-Table3[[#This Row],[Date of Update]],
IFERROR(
  IF(
    COUNTIF(A$2:A$1997, A751) &gt; 1,
    MIN(IF(A$2:A$1997=A751, IF(B$2:B$1997&gt;B751, B$2:B$1997))) - B751,
    TODAY() - Table3[[#This Row],[Date of Update]]
  ),
  TODAY()-Table3[[#This Row],[Date of Update]]
)))</f>
        <v>0</v>
      </c>
      <c r="G751" s="40">
        <f>IF(Table3[[#This Row],[Stage]]="Closed",Table3[[#This Row],[Date of Update]]-(_xlfn.MINIFS(Table3[Date of Update],Table3[Ref], Table3[[#This Row],[Ref]])),"")</f>
        <v>49</v>
      </c>
    </row>
    <row r="752" spans="1:7" x14ac:dyDescent="0.25">
      <c r="A752" s="39" t="s">
        <v>1508</v>
      </c>
      <c r="B752" s="33">
        <v>45315</v>
      </c>
      <c r="C752" s="32" t="s">
        <v>23</v>
      </c>
      <c r="D752" s="32" t="s">
        <v>4</v>
      </c>
      <c r="E752" s="32" t="s">
        <v>951</v>
      </c>
      <c r="F752" s="32" cm="1">
        <f t="array" aca="1" ref="F752" ca="1">IF(Table3[[#This Row],[Stage]]="Closed",0,IF(IFERROR(
  IF(
    COUNTIF(A$2:A$1997, A752) &gt; 1,
    MIN(IF(A$2:A$1997=A752, IF(B$2:B$1997&gt;B752, B$2:B$1997))) - B752,
    TODAY() - Table3[[#This Row],[Date of Update]]
  ),
  TODAY()-Table3[[#This Row],[Date of Update]]
)&lt;=0,
TODAY()-Table3[[#This Row],[Date of Update]],
IFERROR(
  IF(
    COUNTIF(A$2:A$1997, A752) &gt; 1,
    MIN(IF(A$2:A$1997=A752, IF(B$2:B$1997&gt;B752, B$2:B$1997))) - B752,
    TODAY() - Table3[[#This Row],[Date of Update]]
  ),
  TODAY()-Table3[[#This Row],[Date of Update]]
)))</f>
        <v>8</v>
      </c>
      <c r="G752" s="40" t="str">
        <f>IF(Table3[[#This Row],[Stage]]="Closed",Table3[[#This Row],[Date of Update]]-(_xlfn.MINIFS(Table3[Date of Update],Table3[Ref], Table3[[#This Row],[Ref]])),"")</f>
        <v/>
      </c>
    </row>
    <row r="753" spans="1:7" x14ac:dyDescent="0.25">
      <c r="A753" s="39" t="s">
        <v>151</v>
      </c>
      <c r="B753" s="33">
        <v>45315</v>
      </c>
      <c r="C753" s="32" t="s">
        <v>23</v>
      </c>
      <c r="D753" s="32" t="s">
        <v>8</v>
      </c>
      <c r="E753" s="32" t="s">
        <v>172</v>
      </c>
      <c r="F753" s="32" cm="1">
        <f t="array" aca="1" ref="F753" ca="1">IF(Table3[[#This Row],[Stage]]="Closed",0,IF(IFERROR(
  IF(
    COUNTIF(A$2:A$1997, A753) &gt; 1,
    MIN(IF(A$2:A$1997=A753, IF(B$2:B$1997&gt;B753, B$2:B$1997))) - B753,
    TODAY() - Table3[[#This Row],[Date of Update]]
  ),
  TODAY()-Table3[[#This Row],[Date of Update]]
)&lt;=0,
TODAY()-Table3[[#This Row],[Date of Update]],
IFERROR(
  IF(
    COUNTIF(A$2:A$1997, A753) &gt; 1,
    MIN(IF(A$2:A$1997=A753, IF(B$2:B$1997&gt;B753, B$2:B$1997))) - B753,
    TODAY() - Table3[[#This Row],[Date of Update]]
  ),
  TODAY()-Table3[[#This Row],[Date of Update]]
)))</f>
        <v>26</v>
      </c>
      <c r="G753" s="40" t="str">
        <f>IF(Table3[[#This Row],[Stage]]="Closed",Table3[[#This Row],[Date of Update]]-(_xlfn.MINIFS(Table3[Date of Update],Table3[Ref], Table3[[#This Row],[Ref]])),"")</f>
        <v/>
      </c>
    </row>
    <row r="754" spans="1:7" x14ac:dyDescent="0.25">
      <c r="A754" s="39" t="s">
        <v>1415</v>
      </c>
      <c r="B754" s="33">
        <v>45316</v>
      </c>
      <c r="C754" s="32" t="s">
        <v>169</v>
      </c>
      <c r="D754" s="32" t="s">
        <v>4</v>
      </c>
      <c r="E754" s="32" t="s">
        <v>645</v>
      </c>
      <c r="F754" s="32" cm="1">
        <f t="array" aca="1" ref="F754" ca="1">IF(Table3[[#This Row],[Stage]]="Closed",0,IF(IFERROR(
  IF(
    COUNTIF(A$2:A$1997, A754) &gt; 1,
    MIN(IF(A$2:A$1997=A754, IF(B$2:B$1997&gt;B754, B$2:B$1997))) - B754,
    TODAY() - Table3[[#This Row],[Date of Update]]
  ),
  TODAY()-Table3[[#This Row],[Date of Update]]
)&lt;=0,
TODAY()-Table3[[#This Row],[Date of Update]],
IFERROR(
  IF(
    COUNTIF(A$2:A$1997, A754) &gt; 1,
    MIN(IF(A$2:A$1997=A754, IF(B$2:B$1997&gt;B754, B$2:B$1997))) - B754,
    TODAY() - Table3[[#This Row],[Date of Update]]
  ),
  TODAY()-Table3[[#This Row],[Date of Update]]
)))</f>
        <v>0</v>
      </c>
      <c r="G754" s="40">
        <f>IF(Table3[[#This Row],[Stage]]="Closed",Table3[[#This Row],[Date of Update]]-(_xlfn.MINIFS(Table3[Date of Update],Table3[Ref], Table3[[#This Row],[Ref]])),"")</f>
        <v>76</v>
      </c>
    </row>
    <row r="755" spans="1:7" x14ac:dyDescent="0.25">
      <c r="A755" s="39" t="s">
        <v>1432</v>
      </c>
      <c r="B755" s="33">
        <v>45317</v>
      </c>
      <c r="C755" s="32" t="s">
        <v>23</v>
      </c>
      <c r="D755" s="32" t="s">
        <v>4</v>
      </c>
      <c r="E755" s="32" t="s">
        <v>453</v>
      </c>
      <c r="F755" s="32" cm="1">
        <f t="array" aca="1" ref="F755" ca="1">IF(Table3[[#This Row],[Stage]]="Closed",0,IF(IFERROR(
  IF(
    COUNTIF(A$2:A$1997, A755) &gt; 1,
    MIN(IF(A$2:A$1997=A755, IF(B$2:B$1997&gt;B755, B$2:B$1997))) - B755,
    TODAY() - Table3[[#This Row],[Date of Update]]
  ),
  TODAY()-Table3[[#This Row],[Date of Update]]
)&lt;=0,
TODAY()-Table3[[#This Row],[Date of Update]],
IFERROR(
  IF(
    COUNTIF(A$2:A$1997, A755) &gt; 1,
    MIN(IF(A$2:A$1997=A755, IF(B$2:B$1997&gt;B755, B$2:B$1997))) - B755,
    TODAY() - Table3[[#This Row],[Date of Update]]
  ),
  TODAY()-Table3[[#This Row],[Date of Update]]
)))</f>
        <v>35</v>
      </c>
      <c r="G755" s="40" t="str">
        <f>IF(Table3[[#This Row],[Stage]]="Closed",Table3[[#This Row],[Date of Update]]-(_xlfn.MINIFS(Table3[Date of Update],Table3[Ref], Table3[[#This Row],[Ref]])),"")</f>
        <v/>
      </c>
    </row>
    <row r="756" spans="1:7" x14ac:dyDescent="0.25">
      <c r="A756" s="39" t="s">
        <v>1427</v>
      </c>
      <c r="B756" s="33">
        <v>45320</v>
      </c>
      <c r="C756" s="32" t="s">
        <v>23</v>
      </c>
      <c r="D756" s="32" t="s">
        <v>4</v>
      </c>
      <c r="E756" s="32" t="s">
        <v>645</v>
      </c>
      <c r="F756" s="32" cm="1">
        <f t="array" aca="1" ref="F756" ca="1">IF(Table3[[#This Row],[Stage]]="Closed",0,IF(IFERROR(
  IF(
    COUNTIF(A$2:A$1997, A756) &gt; 1,
    MIN(IF(A$2:A$1997=A756, IF(B$2:B$1997&gt;B756, B$2:B$1997))) - B756,
    TODAY() - Table3[[#This Row],[Date of Update]]
  ),
  TODAY()-Table3[[#This Row],[Date of Update]]
)&lt;=0,
TODAY()-Table3[[#This Row],[Date of Update]],
IFERROR(
  IF(
    COUNTIF(A$2:A$1997, A756) &gt; 1,
    MIN(IF(A$2:A$1997=A756, IF(B$2:B$1997&gt;B756, B$2:B$1997))) - B756,
    TODAY() - Table3[[#This Row],[Date of Update]]
  ),
  TODAY()-Table3[[#This Row],[Date of Update]]
)))</f>
        <v>9</v>
      </c>
      <c r="G756" s="40" t="str">
        <f>IF(Table3[[#This Row],[Stage]]="Closed",Table3[[#This Row],[Date of Update]]-(_xlfn.MINIFS(Table3[Date of Update],Table3[Ref], Table3[[#This Row],[Ref]])),"")</f>
        <v/>
      </c>
    </row>
    <row r="757" spans="1:7" x14ac:dyDescent="0.25">
      <c r="A757" s="39" t="s">
        <v>1400</v>
      </c>
      <c r="B757" s="33">
        <v>45320</v>
      </c>
      <c r="C757" s="32" t="s">
        <v>23</v>
      </c>
      <c r="D757" s="32" t="s">
        <v>4</v>
      </c>
      <c r="E757" s="32" t="s">
        <v>453</v>
      </c>
      <c r="F757" s="32" cm="1">
        <f t="array" aca="1" ref="F757" ca="1">IF(Table3[[#This Row],[Stage]]="Closed",0,IF(IFERROR(
  IF(
    COUNTIF(A$2:A$1997, A757) &gt; 1,
    MIN(IF(A$2:A$1997=A757, IF(B$2:B$1997&gt;B757, B$2:B$1997))) - B757,
    TODAY() - Table3[[#This Row],[Date of Update]]
  ),
  TODAY()-Table3[[#This Row],[Date of Update]]
)&lt;=0,
TODAY()-Table3[[#This Row],[Date of Update]],
IFERROR(
  IF(
    COUNTIF(A$2:A$1997, A757) &gt; 1,
    MIN(IF(A$2:A$1997=A757, IF(B$2:B$1997&gt;B757, B$2:B$1997))) - B757,
    TODAY() - Table3[[#This Row],[Date of Update]]
  ),
  TODAY()-Table3[[#This Row],[Date of Update]]
)))</f>
        <v>107</v>
      </c>
      <c r="G757" s="40" t="str">
        <f>IF(Table3[[#This Row],[Stage]]="Closed",Table3[[#This Row],[Date of Update]]-(_xlfn.MINIFS(Table3[Date of Update],Table3[Ref], Table3[[#This Row],[Ref]])),"")</f>
        <v/>
      </c>
    </row>
    <row r="758" spans="1:7" x14ac:dyDescent="0.25">
      <c r="A758" s="39" t="s">
        <v>1428</v>
      </c>
      <c r="B758" s="33">
        <v>45320</v>
      </c>
      <c r="C758" s="32" t="s">
        <v>23</v>
      </c>
      <c r="D758" s="32" t="s">
        <v>4</v>
      </c>
      <c r="E758" s="32" t="s">
        <v>957</v>
      </c>
      <c r="F758" s="32" cm="1">
        <f t="array" aca="1" ref="F758" ca="1">IF(Table3[[#This Row],[Stage]]="Closed",0,IF(IFERROR(
  IF(
    COUNTIF(A$2:A$1997, A758) &gt; 1,
    MIN(IF(A$2:A$1997=A758, IF(B$2:B$1997&gt;B758, B$2:B$1997))) - B758,
    TODAY() - Table3[[#This Row],[Date of Update]]
  ),
  TODAY()-Table3[[#This Row],[Date of Update]]
)&lt;=0,
TODAY()-Table3[[#This Row],[Date of Update]],
IFERROR(
  IF(
    COUNTIF(A$2:A$1997, A758) &gt; 1,
    MIN(IF(A$2:A$1997=A758, IF(B$2:B$1997&gt;B758, B$2:B$1997))) - B758,
    TODAY() - Table3[[#This Row],[Date of Update]]
  ),
  TODAY()-Table3[[#This Row],[Date of Update]]
)))</f>
        <v>4</v>
      </c>
      <c r="G758" s="40" t="str">
        <f>IF(Table3[[#This Row],[Stage]]="Closed",Table3[[#This Row],[Date of Update]]-(_xlfn.MINIFS(Table3[Date of Update],Table3[Ref], Table3[[#This Row],[Ref]])),"")</f>
        <v/>
      </c>
    </row>
    <row r="759" spans="1:7" x14ac:dyDescent="0.25">
      <c r="A759" s="39" t="s">
        <v>1417</v>
      </c>
      <c r="B759" s="33">
        <v>45322</v>
      </c>
      <c r="C759" s="32" t="s">
        <v>169</v>
      </c>
      <c r="D759" s="32" t="s">
        <v>4</v>
      </c>
      <c r="E759" s="32" t="s">
        <v>453</v>
      </c>
      <c r="F759" s="32" cm="1">
        <f t="array" aca="1" ref="F759" ca="1">IF(Table3[[#This Row],[Stage]]="Closed",0,IF(IFERROR(
  IF(
    COUNTIF(A$2:A$1997, A759) &gt; 1,
    MIN(IF(A$2:A$1997=A759, IF(B$2:B$1997&gt;B759, B$2:B$1997))) - B759,
    TODAY() - Table3[[#This Row],[Date of Update]]
  ),
  TODAY()-Table3[[#This Row],[Date of Update]]
)&lt;=0,
TODAY()-Table3[[#This Row],[Date of Update]],
IFERROR(
  IF(
    COUNTIF(A$2:A$1997, A759) &gt; 1,
    MIN(IF(A$2:A$1997=A759, IF(B$2:B$1997&gt;B759, B$2:B$1997))) - B759,
    TODAY() - Table3[[#This Row],[Date of Update]]
  ),
  TODAY()-Table3[[#This Row],[Date of Update]]
)))</f>
        <v>0</v>
      </c>
      <c r="G759" s="40">
        <f>IF(Table3[[#This Row],[Stage]]="Closed",Table3[[#This Row],[Date of Update]]-(_xlfn.MINIFS(Table3[Date of Update],Table3[Ref], Table3[[#This Row],[Ref]])),"")</f>
        <v>14</v>
      </c>
    </row>
    <row r="760" spans="1:7" x14ac:dyDescent="0.25">
      <c r="A760" s="39" t="s">
        <v>1430</v>
      </c>
      <c r="B760" s="33">
        <v>45322</v>
      </c>
      <c r="C760" s="32" t="s">
        <v>23</v>
      </c>
      <c r="D760" s="32" t="s">
        <v>4</v>
      </c>
      <c r="E760" s="32" t="s">
        <v>963</v>
      </c>
      <c r="F760" s="32" cm="1">
        <f t="array" aca="1" ref="F760" ca="1">IF(Table3[[#This Row],[Stage]]="Closed",0,IF(IFERROR(
  IF(
    COUNTIF(A$2:A$1997, A760) &gt; 1,
    MIN(IF(A$2:A$1997=A760, IF(B$2:B$1997&gt;B760, B$2:B$1997))) - B760,
    TODAY() - Table3[[#This Row],[Date of Update]]
  ),
  TODAY()-Table3[[#This Row],[Date of Update]]
)&lt;=0,
TODAY()-Table3[[#This Row],[Date of Update]],
IFERROR(
  IF(
    COUNTIF(A$2:A$1997, A760) &gt; 1,
    MIN(IF(A$2:A$1997=A760, IF(B$2:B$1997&gt;B760, B$2:B$1997))) - B760,
    TODAY() - Table3[[#This Row],[Date of Update]]
  ),
  TODAY()-Table3[[#This Row],[Date of Update]]
)))</f>
        <v>1</v>
      </c>
      <c r="G760" s="40" t="str">
        <f>IF(Table3[[#This Row],[Stage]]="Closed",Table3[[#This Row],[Date of Update]]-(_xlfn.MINIFS(Table3[Date of Update],Table3[Ref], Table3[[#This Row],[Ref]])),"")</f>
        <v/>
      </c>
    </row>
    <row r="761" spans="1:7" x14ac:dyDescent="0.25">
      <c r="A761" s="39" t="s">
        <v>1416</v>
      </c>
      <c r="B761" s="33">
        <v>45322</v>
      </c>
      <c r="C761" s="32" t="s">
        <v>169</v>
      </c>
      <c r="D761" s="32" t="s">
        <v>4</v>
      </c>
      <c r="E761" s="32" t="s">
        <v>929</v>
      </c>
      <c r="F761" s="32" cm="1">
        <f t="array" aca="1" ref="F761" ca="1">IF(Table3[[#This Row],[Stage]]="Closed",0,IF(IFERROR(
  IF(
    COUNTIF(A$2:A$1997, A761) &gt; 1,
    MIN(IF(A$2:A$1997=A761, IF(B$2:B$1997&gt;B761, B$2:B$1997))) - B761,
    TODAY() - Table3[[#This Row],[Date of Update]]
  ),
  TODAY()-Table3[[#This Row],[Date of Update]]
)&lt;=0,
TODAY()-Table3[[#This Row],[Date of Update]],
IFERROR(
  IF(
    COUNTIF(A$2:A$1997, A761) &gt; 1,
    MIN(IF(A$2:A$1997=A761, IF(B$2:B$1997&gt;B761, B$2:B$1997))) - B761,
    TODAY() - Table3[[#This Row],[Date of Update]]
  ),
  TODAY()-Table3[[#This Row],[Date of Update]]
)))</f>
        <v>0</v>
      </c>
      <c r="G761" s="40">
        <f>IF(Table3[[#This Row],[Stage]]="Closed",Table3[[#This Row],[Date of Update]]-(_xlfn.MINIFS(Table3[Date of Update],Table3[Ref], Table3[[#This Row],[Ref]])),"")</f>
        <v>47</v>
      </c>
    </row>
    <row r="762" spans="1:7" x14ac:dyDescent="0.25">
      <c r="A762" s="39" t="s">
        <v>1420</v>
      </c>
      <c r="B762" s="33">
        <v>45323</v>
      </c>
      <c r="C762" s="32" t="s">
        <v>169</v>
      </c>
      <c r="D762" s="32" t="s">
        <v>4</v>
      </c>
      <c r="E762" s="32" t="s">
        <v>942</v>
      </c>
      <c r="F762" s="32" cm="1">
        <f t="array" aca="1" ref="F762" ca="1">IF(Table3[[#This Row],[Stage]]="Closed",0,IF(IFERROR(
  IF(
    COUNTIF(A$2:A$1997, A762) &gt; 1,
    MIN(IF(A$2:A$1997=A762, IF(B$2:B$1997&gt;B762, B$2:B$1997))) - B762,
    TODAY() - Table3[[#This Row],[Date of Update]]
  ),
  TODAY()-Table3[[#This Row],[Date of Update]]
)&lt;=0,
TODAY()-Table3[[#This Row],[Date of Update]],
IFERROR(
  IF(
    COUNTIF(A$2:A$1997, A762) &gt; 1,
    MIN(IF(A$2:A$1997=A762, IF(B$2:B$1997&gt;B762, B$2:B$1997))) - B762,
    TODAY() - Table3[[#This Row],[Date of Update]]
  ),
  TODAY()-Table3[[#This Row],[Date of Update]]
)))</f>
        <v>0</v>
      </c>
      <c r="G762" s="40">
        <f>IF(Table3[[#This Row],[Stage]]="Closed",Table3[[#This Row],[Date of Update]]-(_xlfn.MINIFS(Table3[Date of Update],Table3[Ref], Table3[[#This Row],[Ref]])),"")</f>
        <v>45</v>
      </c>
    </row>
    <row r="763" spans="1:7" x14ac:dyDescent="0.25">
      <c r="A763" s="39" t="s">
        <v>1508</v>
      </c>
      <c r="B763" s="33">
        <v>45323</v>
      </c>
      <c r="C763" s="32" t="s">
        <v>169</v>
      </c>
      <c r="D763" s="32" t="s">
        <v>4</v>
      </c>
      <c r="E763" s="32" t="s">
        <v>951</v>
      </c>
      <c r="F763" s="32" cm="1">
        <f t="array" aca="1" ref="F763" ca="1">IF(Table3[[#This Row],[Stage]]="Closed",0,IF(IFERROR(
  IF(
    COUNTIF(A$2:A$1997, A763) &gt; 1,
    MIN(IF(A$2:A$1997=A763, IF(B$2:B$1997&gt;B763, B$2:B$1997))) - B763,
    TODAY() - Table3[[#This Row],[Date of Update]]
  ),
  TODAY()-Table3[[#This Row],[Date of Update]]
)&lt;=0,
TODAY()-Table3[[#This Row],[Date of Update]],
IFERROR(
  IF(
    COUNTIF(A$2:A$1997, A763) &gt; 1,
    MIN(IF(A$2:A$1997=A763, IF(B$2:B$1997&gt;B763, B$2:B$1997))) - B763,
    TODAY() - Table3[[#This Row],[Date of Update]]
  ),
  TODAY()-Table3[[#This Row],[Date of Update]]
)))</f>
        <v>0</v>
      </c>
      <c r="G763" s="40">
        <f>IF(Table3[[#This Row],[Stage]]="Closed",Table3[[#This Row],[Date of Update]]-(_xlfn.MINIFS(Table3[Date of Update],Table3[Ref], Table3[[#This Row],[Ref]])),"")</f>
        <v>8</v>
      </c>
    </row>
    <row r="764" spans="1:7" x14ac:dyDescent="0.25">
      <c r="A764" s="39" t="s">
        <v>1405</v>
      </c>
      <c r="B764" s="33">
        <v>45323</v>
      </c>
      <c r="C764" s="32" t="s">
        <v>169</v>
      </c>
      <c r="D764" s="32" t="s">
        <v>4</v>
      </c>
      <c r="E764" s="32" t="s">
        <v>907</v>
      </c>
      <c r="F764" s="32" cm="1">
        <f t="array" aca="1" ref="F764" ca="1">IF(Table3[[#This Row],[Stage]]="Closed",0,IF(IFERROR(
  IF(
    COUNTIF(A$2:A$1997, A764) &gt; 1,
    MIN(IF(A$2:A$1997=A764, IF(B$2:B$1997&gt;B764, B$2:B$1997))) - B764,
    TODAY() - Table3[[#This Row],[Date of Update]]
  ),
  TODAY()-Table3[[#This Row],[Date of Update]]
)&lt;=0,
TODAY()-Table3[[#This Row],[Date of Update]],
IFERROR(
  IF(
    COUNTIF(A$2:A$1997, A764) &gt; 1,
    MIN(IF(A$2:A$1997=A764, IF(B$2:B$1997&gt;B764, B$2:B$1997))) - B764,
    TODAY() - Table3[[#This Row],[Date of Update]]
  ),
  TODAY()-Table3[[#This Row],[Date of Update]]
)))</f>
        <v>0</v>
      </c>
      <c r="G764" s="40">
        <f>IF(Table3[[#This Row],[Stage]]="Closed",Table3[[#This Row],[Date of Update]]-(_xlfn.MINIFS(Table3[Date of Update],Table3[Ref], Table3[[#This Row],[Ref]])),"")</f>
        <v>79</v>
      </c>
    </row>
    <row r="765" spans="1:7" x14ac:dyDescent="0.25">
      <c r="A765" s="39" t="s">
        <v>1430</v>
      </c>
      <c r="B765" s="33">
        <v>45323</v>
      </c>
      <c r="C765" s="32" t="s">
        <v>169</v>
      </c>
      <c r="D765" s="32" t="s">
        <v>4</v>
      </c>
      <c r="E765" s="32" t="s">
        <v>963</v>
      </c>
      <c r="F765" s="32" cm="1">
        <f t="array" aca="1" ref="F765" ca="1">IF(Table3[[#This Row],[Stage]]="Closed",0,IF(IFERROR(
  IF(
    COUNTIF(A$2:A$1997, A765) &gt; 1,
    MIN(IF(A$2:A$1997=A765, IF(B$2:B$1997&gt;B765, B$2:B$1997))) - B765,
    TODAY() - Table3[[#This Row],[Date of Update]]
  ),
  TODAY()-Table3[[#This Row],[Date of Update]]
)&lt;=0,
TODAY()-Table3[[#This Row],[Date of Update]],
IFERROR(
  IF(
    COUNTIF(A$2:A$1997, A765) &gt; 1,
    MIN(IF(A$2:A$1997=A765, IF(B$2:B$1997&gt;B765, B$2:B$1997))) - B765,
    TODAY() - Table3[[#This Row],[Date of Update]]
  ),
  TODAY()-Table3[[#This Row],[Date of Update]]
)))</f>
        <v>0</v>
      </c>
      <c r="G765" s="40">
        <f>IF(Table3[[#This Row],[Stage]]="Closed",Table3[[#This Row],[Date of Update]]-(_xlfn.MINIFS(Table3[Date of Update],Table3[Ref], Table3[[#This Row],[Ref]])),"")</f>
        <v>1</v>
      </c>
    </row>
    <row r="766" spans="1:7" x14ac:dyDescent="0.25">
      <c r="A766" s="39" t="s">
        <v>1428</v>
      </c>
      <c r="B766" s="33">
        <v>45324</v>
      </c>
      <c r="C766" s="32" t="s">
        <v>169</v>
      </c>
      <c r="D766" s="32" t="s">
        <v>4</v>
      </c>
      <c r="E766" s="32" t="s">
        <v>957</v>
      </c>
      <c r="F766" s="32" cm="1">
        <f t="array" aca="1" ref="F766" ca="1">IF(Table3[[#This Row],[Stage]]="Closed",0,IF(IFERROR(
  IF(
    COUNTIF(A$2:A$1997, A766) &gt; 1,
    MIN(IF(A$2:A$1997=A766, IF(B$2:B$1997&gt;B766, B$2:B$1997))) - B766,
    TODAY() - Table3[[#This Row],[Date of Update]]
  ),
  TODAY()-Table3[[#This Row],[Date of Update]]
)&lt;=0,
TODAY()-Table3[[#This Row],[Date of Update]],
IFERROR(
  IF(
    COUNTIF(A$2:A$1997, A766) &gt; 1,
    MIN(IF(A$2:A$1997=A766, IF(B$2:B$1997&gt;B766, B$2:B$1997))) - B766,
    TODAY() - Table3[[#This Row],[Date of Update]]
  ),
  TODAY()-Table3[[#This Row],[Date of Update]]
)))</f>
        <v>0</v>
      </c>
      <c r="G766" s="40">
        <f>IF(Table3[[#This Row],[Stage]]="Closed",Table3[[#This Row],[Date of Update]]-(_xlfn.MINIFS(Table3[Date of Update],Table3[Ref], Table3[[#This Row],[Ref]])),"")</f>
        <v>4</v>
      </c>
    </row>
    <row r="767" spans="1:7" x14ac:dyDescent="0.25">
      <c r="A767" s="39" t="s">
        <v>1423</v>
      </c>
      <c r="B767" s="33">
        <v>45324</v>
      </c>
      <c r="C767" s="32" t="s">
        <v>169</v>
      </c>
      <c r="D767" s="32" t="s">
        <v>4</v>
      </c>
      <c r="E767" s="32" t="s">
        <v>645</v>
      </c>
      <c r="F767" s="32" cm="1">
        <f t="array" aca="1" ref="F767" ca="1">IF(Table3[[#This Row],[Stage]]="Closed",0,IF(IFERROR(
  IF(
    COUNTIF(A$2:A$1997, A767) &gt; 1,
    MIN(IF(A$2:A$1997=A767, IF(B$2:B$1997&gt;B767, B$2:B$1997))) - B767,
    TODAY() - Table3[[#This Row],[Date of Update]]
  ),
  TODAY()-Table3[[#This Row],[Date of Update]]
)&lt;=0,
TODAY()-Table3[[#This Row],[Date of Update]],
IFERROR(
  IF(
    COUNTIF(A$2:A$1997, A767) &gt; 1,
    MIN(IF(A$2:A$1997=A767, IF(B$2:B$1997&gt;B767, B$2:B$1997))) - B767,
    TODAY() - Table3[[#This Row],[Date of Update]]
  ),
  TODAY()-Table3[[#This Row],[Date of Update]]
)))</f>
        <v>0</v>
      </c>
      <c r="G767" s="40">
        <f>IF(Table3[[#This Row],[Stage]]="Closed",Table3[[#This Row],[Date of Update]]-(_xlfn.MINIFS(Table3[Date of Update],Table3[Ref], Table3[[#This Row],[Ref]])),"")</f>
        <v>184</v>
      </c>
    </row>
    <row r="768" spans="1:7" x14ac:dyDescent="0.25">
      <c r="A768" s="39" t="s">
        <v>1422</v>
      </c>
      <c r="B768" s="33">
        <v>45324</v>
      </c>
      <c r="C768" s="32" t="s">
        <v>169</v>
      </c>
      <c r="D768" s="32" t="s">
        <v>4</v>
      </c>
      <c r="E768" s="32" t="s">
        <v>645</v>
      </c>
      <c r="F768" s="32" cm="1">
        <f t="array" aca="1" ref="F768" ca="1">IF(Table3[[#This Row],[Stage]]="Closed",0,IF(IFERROR(
  IF(
    COUNTIF(A$2:A$1997, A768) &gt; 1,
    MIN(IF(A$2:A$1997=A768, IF(B$2:B$1997&gt;B768, B$2:B$1997))) - B768,
    TODAY() - Table3[[#This Row],[Date of Update]]
  ),
  TODAY()-Table3[[#This Row],[Date of Update]]
)&lt;=0,
TODAY()-Table3[[#This Row],[Date of Update]],
IFERROR(
  IF(
    COUNTIF(A$2:A$1997, A768) &gt; 1,
    MIN(IF(A$2:A$1997=A768, IF(B$2:B$1997&gt;B768, B$2:B$1997))) - B768,
    TODAY() - Table3[[#This Row],[Date of Update]]
  ),
  TODAY()-Table3[[#This Row],[Date of Update]]
)))</f>
        <v>0</v>
      </c>
      <c r="G768" s="40">
        <f>IF(Table3[[#This Row],[Stage]]="Closed",Table3[[#This Row],[Date of Update]]-(_xlfn.MINIFS(Table3[Date of Update],Table3[Ref], Table3[[#This Row],[Ref]])),"")</f>
        <v>214</v>
      </c>
    </row>
    <row r="769" spans="1:7" x14ac:dyDescent="0.25">
      <c r="A769" s="39" t="s">
        <v>1421</v>
      </c>
      <c r="B769" s="33">
        <v>45324</v>
      </c>
      <c r="C769" s="32" t="s">
        <v>169</v>
      </c>
      <c r="D769" s="32" t="s">
        <v>4</v>
      </c>
      <c r="E769" s="32" t="s">
        <v>945</v>
      </c>
      <c r="F769" s="32" cm="1">
        <f t="array" aca="1" ref="F769" ca="1">IF(Table3[[#This Row],[Stage]]="Closed",0,IF(IFERROR(
  IF(
    COUNTIF(A$2:A$1997, A769) &gt; 1,
    MIN(IF(A$2:A$1997=A769, IF(B$2:B$1997&gt;B769, B$2:B$1997))) - B769,
    TODAY() - Table3[[#This Row],[Date of Update]]
  ),
  TODAY()-Table3[[#This Row],[Date of Update]]
)&lt;=0,
TODAY()-Table3[[#This Row],[Date of Update]],
IFERROR(
  IF(
    COUNTIF(A$2:A$1997, A769) &gt; 1,
    MIN(IF(A$2:A$1997=A769, IF(B$2:B$1997&gt;B769, B$2:B$1997))) - B769,
    TODAY() - Table3[[#This Row],[Date of Update]]
  ),
  TODAY()-Table3[[#This Row],[Date of Update]]
)))</f>
        <v>0</v>
      </c>
      <c r="G769" s="40">
        <f>IF(Table3[[#This Row],[Stage]]="Closed",Table3[[#This Row],[Date of Update]]-(_xlfn.MINIFS(Table3[Date of Update],Table3[Ref], Table3[[#This Row],[Ref]])),"")</f>
        <v>395</v>
      </c>
    </row>
    <row r="770" spans="1:7" x14ac:dyDescent="0.25">
      <c r="A770" s="39" t="s">
        <v>1424</v>
      </c>
      <c r="B770" s="33">
        <v>45327</v>
      </c>
      <c r="C770" s="32" t="s">
        <v>169</v>
      </c>
      <c r="D770" s="32" t="s">
        <v>4</v>
      </c>
      <c r="E770" s="32" t="s">
        <v>952</v>
      </c>
      <c r="F770" s="32" cm="1">
        <f t="array" aca="1" ref="F770" ca="1">IF(Table3[[#This Row],[Stage]]="Closed",0,IF(IFERROR(
  IF(
    COUNTIF(A$2:A$1997, A770) &gt; 1,
    MIN(IF(A$2:A$1997=A770, IF(B$2:B$1997&gt;B770, B$2:B$1997))) - B770,
    TODAY() - Table3[[#This Row],[Date of Update]]
  ),
  TODAY()-Table3[[#This Row],[Date of Update]]
)&lt;=0,
TODAY()-Table3[[#This Row],[Date of Update]],
IFERROR(
  IF(
    COUNTIF(A$2:A$1997, A770) &gt; 1,
    MIN(IF(A$2:A$1997=A770, IF(B$2:B$1997&gt;B770, B$2:B$1997))) - B770,
    TODAY() - Table3[[#This Row],[Date of Update]]
  ),
  TODAY()-Table3[[#This Row],[Date of Update]]
)))</f>
        <v>0</v>
      </c>
      <c r="G770" s="40">
        <f>IF(Table3[[#This Row],[Stage]]="Closed",Table3[[#This Row],[Date of Update]]-(_xlfn.MINIFS(Table3[Date of Update],Table3[Ref], Table3[[#This Row],[Ref]])),"")</f>
        <v>143</v>
      </c>
    </row>
    <row r="771" spans="1:7" x14ac:dyDescent="0.25">
      <c r="A771" s="39" t="s">
        <v>1427</v>
      </c>
      <c r="B771" s="33">
        <v>45329</v>
      </c>
      <c r="C771" s="32" t="s">
        <v>169</v>
      </c>
      <c r="D771" s="32" t="s">
        <v>4</v>
      </c>
      <c r="E771" s="32" t="s">
        <v>645</v>
      </c>
      <c r="F771" s="32" cm="1">
        <f t="array" aca="1" ref="F771" ca="1">IF(Table3[[#This Row],[Stage]]="Closed",0,IF(IFERROR(
  IF(
    COUNTIF(A$2:A$1997, A771) &gt; 1,
    MIN(IF(A$2:A$1997=A771, IF(B$2:B$1997&gt;B771, B$2:B$1997))) - B771,
    TODAY() - Table3[[#This Row],[Date of Update]]
  ),
  TODAY()-Table3[[#This Row],[Date of Update]]
)&lt;=0,
TODAY()-Table3[[#This Row],[Date of Update]],
IFERROR(
  IF(
    COUNTIF(A$2:A$1997, A771) &gt; 1,
    MIN(IF(A$2:A$1997=A771, IF(B$2:B$1997&gt;B771, B$2:B$1997))) - B771,
    TODAY() - Table3[[#This Row],[Date of Update]]
  ),
  TODAY()-Table3[[#This Row],[Date of Update]]
)))</f>
        <v>0</v>
      </c>
      <c r="G771" s="40">
        <f>IF(Table3[[#This Row],[Stage]]="Closed",Table3[[#This Row],[Date of Update]]-(_xlfn.MINIFS(Table3[Date of Update],Table3[Ref], Table3[[#This Row],[Ref]])),"")</f>
        <v>9</v>
      </c>
    </row>
    <row r="772" spans="1:7" x14ac:dyDescent="0.25">
      <c r="A772" s="39" t="s">
        <v>1431</v>
      </c>
      <c r="B772" s="33">
        <v>45329</v>
      </c>
      <c r="C772" s="32" t="s">
        <v>23</v>
      </c>
      <c r="D772" s="32" t="s">
        <v>4</v>
      </c>
      <c r="E772" s="32" t="s">
        <v>965</v>
      </c>
      <c r="F772" s="32" cm="1">
        <f t="array" aca="1" ref="F772" ca="1">IF(Table3[[#This Row],[Stage]]="Closed",0,IF(IFERROR(
  IF(
    COUNTIF(A$2:A$1997, A772) &gt; 1,
    MIN(IF(A$2:A$1997=A772, IF(B$2:B$1997&gt;B772, B$2:B$1997))) - B772,
    TODAY() - Table3[[#This Row],[Date of Update]]
  ),
  TODAY()-Table3[[#This Row],[Date of Update]]
)&lt;=0,
TODAY()-Table3[[#This Row],[Date of Update]],
IFERROR(
  IF(
    COUNTIF(A$2:A$1997, A772) &gt; 1,
    MIN(IF(A$2:A$1997=A772, IF(B$2:B$1997&gt;B772, B$2:B$1997))) - B772,
    TODAY() - Table3[[#This Row],[Date of Update]]
  ),
  TODAY()-Table3[[#This Row],[Date of Update]]
)))</f>
        <v>1</v>
      </c>
      <c r="G772" s="40" t="str">
        <f>IF(Table3[[#This Row],[Stage]]="Closed",Table3[[#This Row],[Date of Update]]-(_xlfn.MINIFS(Table3[Date of Update],Table3[Ref], Table3[[#This Row],[Ref]])),"")</f>
        <v/>
      </c>
    </row>
    <row r="773" spans="1:7" x14ac:dyDescent="0.25">
      <c r="A773" s="39" t="s">
        <v>1426</v>
      </c>
      <c r="B773" s="33">
        <v>45329</v>
      </c>
      <c r="C773" s="32" t="s">
        <v>169</v>
      </c>
      <c r="D773" s="32" t="s">
        <v>4</v>
      </c>
      <c r="E773" s="32" t="s">
        <v>645</v>
      </c>
      <c r="F773" s="32" cm="1">
        <f t="array" aca="1" ref="F773" ca="1">IF(Table3[[#This Row],[Stage]]="Closed",0,IF(IFERROR(
  IF(
    COUNTIF(A$2:A$1997, A773) &gt; 1,
    MIN(IF(A$2:A$1997=A773, IF(B$2:B$1997&gt;B773, B$2:B$1997))) - B773,
    TODAY() - Table3[[#This Row],[Date of Update]]
  ),
  TODAY()-Table3[[#This Row],[Date of Update]]
)&lt;=0,
TODAY()-Table3[[#This Row],[Date of Update]],
IFERROR(
  IF(
    COUNTIF(A$2:A$1997, A773) &gt; 1,
    MIN(IF(A$2:A$1997=A773, IF(B$2:B$1997&gt;B773, B$2:B$1997))) - B773,
    TODAY() - Table3[[#This Row],[Date of Update]]
  ),
  TODAY()-Table3[[#This Row],[Date of Update]]
)))</f>
        <v>0</v>
      </c>
      <c r="G773" s="40">
        <f>IF(Table3[[#This Row],[Stage]]="Closed",Table3[[#This Row],[Date of Update]]-(_xlfn.MINIFS(Table3[Date of Update],Table3[Ref], Table3[[#This Row],[Ref]])),"")</f>
        <v>119</v>
      </c>
    </row>
    <row r="774" spans="1:7" x14ac:dyDescent="0.25">
      <c r="A774" s="39" t="s">
        <v>1425</v>
      </c>
      <c r="B774" s="33">
        <v>45329</v>
      </c>
      <c r="C774" s="32" t="s">
        <v>169</v>
      </c>
      <c r="D774" s="32" t="s">
        <v>4</v>
      </c>
      <c r="E774" s="32" t="s">
        <v>645</v>
      </c>
      <c r="F774" s="32" cm="1">
        <f t="array" aca="1" ref="F774" ca="1">IF(Table3[[#This Row],[Stage]]="Closed",0,IF(IFERROR(
  IF(
    COUNTIF(A$2:A$1997, A774) &gt; 1,
    MIN(IF(A$2:A$1997=A774, IF(B$2:B$1997&gt;B774, B$2:B$1997))) - B774,
    TODAY() - Table3[[#This Row],[Date of Update]]
  ),
  TODAY()-Table3[[#This Row],[Date of Update]]
)&lt;=0,
TODAY()-Table3[[#This Row],[Date of Update]],
IFERROR(
  IF(
    COUNTIF(A$2:A$1997, A774) &gt; 1,
    MIN(IF(A$2:A$1997=A774, IF(B$2:B$1997&gt;B774, B$2:B$1997))) - B774,
    TODAY() - Table3[[#This Row],[Date of Update]]
  ),
  TODAY()-Table3[[#This Row],[Date of Update]]
)))</f>
        <v>0</v>
      </c>
      <c r="G774" s="40">
        <f>IF(Table3[[#This Row],[Stage]]="Closed",Table3[[#This Row],[Date of Update]]-(_xlfn.MINIFS(Table3[Date of Update],Table3[Ref], Table3[[#This Row],[Ref]])),"")</f>
        <v>121</v>
      </c>
    </row>
    <row r="775" spans="1:7" x14ac:dyDescent="0.25">
      <c r="A775" s="39" t="s">
        <v>1241</v>
      </c>
      <c r="B775" s="33">
        <v>45329</v>
      </c>
      <c r="C775" s="32" t="s">
        <v>23</v>
      </c>
      <c r="D775" s="32" t="s">
        <v>4</v>
      </c>
      <c r="E775" s="32" t="s">
        <v>69</v>
      </c>
      <c r="F775" s="32" cm="1">
        <f t="array" aca="1" ref="F775" ca="1">IF(Table3[[#This Row],[Stage]]="Closed",0,IF(IFERROR(
  IF(
    COUNTIF(A$2:A$1997, A775) &gt; 1,
    MIN(IF(A$2:A$1997=A775, IF(B$2:B$1997&gt;B775, B$2:B$1997))) - B775,
    TODAY() - Table3[[#This Row],[Date of Update]]
  ),
  TODAY()-Table3[[#This Row],[Date of Update]]
)&lt;=0,
TODAY()-Table3[[#This Row],[Date of Update]],
IFERROR(
  IF(
    COUNTIF(A$2:A$1997, A775) &gt; 1,
    MIN(IF(A$2:A$1997=A775, IF(B$2:B$1997&gt;B775, B$2:B$1997))) - B775,
    TODAY() - Table3[[#This Row],[Date of Update]]
  ),
  TODAY()-Table3[[#This Row],[Date of Update]]
)))</f>
        <v>406</v>
      </c>
      <c r="G775" s="40" t="str">
        <f>IF(Table3[[#This Row],[Stage]]="Closed",Table3[[#This Row],[Date of Update]]-(_xlfn.MINIFS(Table3[Date of Update],Table3[Ref], Table3[[#This Row],[Ref]])),"")</f>
        <v/>
      </c>
    </row>
    <row r="776" spans="1:7" x14ac:dyDescent="0.25">
      <c r="A776" s="39" t="s">
        <v>1241</v>
      </c>
      <c r="B776" s="33">
        <v>45329</v>
      </c>
      <c r="C776" s="32" t="s">
        <v>169</v>
      </c>
      <c r="D776" s="32" t="s">
        <v>4</v>
      </c>
      <c r="E776" s="32" t="s">
        <v>69</v>
      </c>
      <c r="F776" s="32" cm="1">
        <f t="array" aca="1" ref="F776" ca="1">IF(Table3[[#This Row],[Stage]]="Closed",0,IF(IFERROR(
  IF(
    COUNTIF(A$2:A$1997, A776) &gt; 1,
    MIN(IF(A$2:A$1997=A776, IF(B$2:B$1997&gt;B776, B$2:B$1997))) - B776,
    TODAY() - Table3[[#This Row],[Date of Update]]
  ),
  TODAY()-Table3[[#This Row],[Date of Update]]
)&lt;=0,
TODAY()-Table3[[#This Row],[Date of Update]],
IFERROR(
  IF(
    COUNTIF(A$2:A$1997, A776) &gt; 1,
    MIN(IF(A$2:A$1997=A776, IF(B$2:B$1997&gt;B776, B$2:B$1997))) - B776,
    TODAY() - Table3[[#This Row],[Date of Update]]
  ),
  TODAY()-Table3[[#This Row],[Date of Update]]
)))</f>
        <v>0</v>
      </c>
      <c r="G776" s="40">
        <f>IF(Table3[[#This Row],[Stage]]="Closed",Table3[[#This Row],[Date of Update]]-(_xlfn.MINIFS(Table3[Date of Update],Table3[Ref], Table3[[#This Row],[Ref]])),"")</f>
        <v>0</v>
      </c>
    </row>
    <row r="777" spans="1:7" x14ac:dyDescent="0.25">
      <c r="A777" s="39" t="s">
        <v>1350</v>
      </c>
      <c r="B777" s="33">
        <v>45330</v>
      </c>
      <c r="C777" s="32" t="s">
        <v>23</v>
      </c>
      <c r="D777" s="32" t="s">
        <v>4</v>
      </c>
      <c r="E777" s="32" t="s">
        <v>453</v>
      </c>
      <c r="F777" s="32" cm="1">
        <f t="array" aca="1" ref="F777" ca="1">IF(Table3[[#This Row],[Stage]]="Closed",0,IF(IFERROR(
  IF(
    COUNTIF(A$2:A$1997, A777) &gt; 1,
    MIN(IF(A$2:A$1997=A777, IF(B$2:B$1997&gt;B777, B$2:B$1997))) - B777,
    TODAY() - Table3[[#This Row],[Date of Update]]
  ),
  TODAY()-Table3[[#This Row],[Date of Update]]
)&lt;=0,
TODAY()-Table3[[#This Row],[Date of Update]],
IFERROR(
  IF(
    COUNTIF(A$2:A$1997, A777) &gt; 1,
    MIN(IF(A$2:A$1997=A777, IF(B$2:B$1997&gt;B777, B$2:B$1997))) - B777,
    TODAY() - Table3[[#This Row],[Date of Update]]
  ),
  TODAY()-Table3[[#This Row],[Date of Update]]
)))</f>
        <v>25</v>
      </c>
      <c r="G777" s="40" t="str">
        <f>IF(Table3[[#This Row],[Stage]]="Closed",Table3[[#This Row],[Date of Update]]-(_xlfn.MINIFS(Table3[Date of Update],Table3[Ref], Table3[[#This Row],[Ref]])),"")</f>
        <v/>
      </c>
    </row>
    <row r="778" spans="1:7" x14ac:dyDescent="0.25">
      <c r="A778" s="39" t="s">
        <v>1431</v>
      </c>
      <c r="B778" s="33">
        <v>45330</v>
      </c>
      <c r="C778" s="32" t="s">
        <v>169</v>
      </c>
      <c r="D778" s="32" t="s">
        <v>4</v>
      </c>
      <c r="E778" s="32" t="s">
        <v>965</v>
      </c>
      <c r="F778" s="32" cm="1">
        <f t="array" aca="1" ref="F778" ca="1">IF(Table3[[#This Row],[Stage]]="Closed",0,IF(IFERROR(
  IF(
    COUNTIF(A$2:A$1997, A778) &gt; 1,
    MIN(IF(A$2:A$1997=A778, IF(B$2:B$1997&gt;B778, B$2:B$1997))) - B778,
    TODAY() - Table3[[#This Row],[Date of Update]]
  ),
  TODAY()-Table3[[#This Row],[Date of Update]]
)&lt;=0,
TODAY()-Table3[[#This Row],[Date of Update]],
IFERROR(
  IF(
    COUNTIF(A$2:A$1997, A778) &gt; 1,
    MIN(IF(A$2:A$1997=A778, IF(B$2:B$1997&gt;B778, B$2:B$1997))) - B778,
    TODAY() - Table3[[#This Row],[Date of Update]]
  ),
  TODAY()-Table3[[#This Row],[Date of Update]]
)))</f>
        <v>0</v>
      </c>
      <c r="G778" s="40">
        <f>IF(Table3[[#This Row],[Stage]]="Closed",Table3[[#This Row],[Date of Update]]-(_xlfn.MINIFS(Table3[Date of Update],Table3[Ref], Table3[[#This Row],[Ref]])),"")</f>
        <v>1</v>
      </c>
    </row>
    <row r="779" spans="1:7" x14ac:dyDescent="0.25">
      <c r="A779" s="39" t="s">
        <v>1429</v>
      </c>
      <c r="B779" s="33">
        <v>45331</v>
      </c>
      <c r="C779" s="32" t="s">
        <v>169</v>
      </c>
      <c r="D779" s="32" t="s">
        <v>4</v>
      </c>
      <c r="E779" s="32" t="s">
        <v>645</v>
      </c>
      <c r="F779" s="32" cm="1">
        <f t="array" aca="1" ref="F779" ca="1">IF(Table3[[#This Row],[Stage]]="Closed",0,IF(IFERROR(
  IF(
    COUNTIF(A$2:A$1997, A779) &gt; 1,
    MIN(IF(A$2:A$1997=A779, IF(B$2:B$1997&gt;B779, B$2:B$1997))) - B779,
    TODAY() - Table3[[#This Row],[Date of Update]]
  ),
  TODAY()-Table3[[#This Row],[Date of Update]]
)&lt;=0,
TODAY()-Table3[[#This Row],[Date of Update]],
IFERROR(
  IF(
    COUNTIF(A$2:A$1997, A779) &gt; 1,
    MIN(IF(A$2:A$1997=A779, IF(B$2:B$1997&gt;B779, B$2:B$1997))) - B779,
    TODAY() - Table3[[#This Row],[Date of Update]]
  ),
  TODAY()-Table3[[#This Row],[Date of Update]]
)))</f>
        <v>0</v>
      </c>
      <c r="G779" s="40">
        <f>IF(Table3[[#This Row],[Stage]]="Closed",Table3[[#This Row],[Date of Update]]-(_xlfn.MINIFS(Table3[Date of Update],Table3[Ref], Table3[[#This Row],[Ref]])),"")</f>
        <v>268</v>
      </c>
    </row>
    <row r="780" spans="1:7" x14ac:dyDescent="0.25">
      <c r="A780" s="39" t="s">
        <v>152</v>
      </c>
      <c r="B780" s="33">
        <v>45334</v>
      </c>
      <c r="C780" s="32" t="s">
        <v>23</v>
      </c>
      <c r="D780" s="32" t="s">
        <v>4</v>
      </c>
      <c r="E780" s="32" t="s">
        <v>87</v>
      </c>
      <c r="F780" s="32" cm="1">
        <f t="array" aca="1" ref="F780" ca="1">IF(Table3[[#This Row],[Stage]]="Closed",0,IF(IFERROR(
  IF(
    COUNTIF(A$2:A$1997, A780) &gt; 1,
    MIN(IF(A$2:A$1997=A780, IF(B$2:B$1997&gt;B780, B$2:B$1997))) - B780,
    TODAY() - Table3[[#This Row],[Date of Update]]
  ),
  TODAY()-Table3[[#This Row],[Date of Update]]
)&lt;=0,
TODAY()-Table3[[#This Row],[Date of Update]],
IFERROR(
  IF(
    COUNTIF(A$2:A$1997, A780) &gt; 1,
    MIN(IF(A$2:A$1997=A780, IF(B$2:B$1997&gt;B780, B$2:B$1997))) - B780,
    TODAY() - Table3[[#This Row],[Date of Update]]
  ),
  TODAY()-Table3[[#This Row],[Date of Update]]
)))</f>
        <v>1</v>
      </c>
      <c r="G780" s="40" t="str">
        <f>IF(Table3[[#This Row],[Stage]]="Closed",Table3[[#This Row],[Date of Update]]-(_xlfn.MINIFS(Table3[Date of Update],Table3[Ref], Table3[[#This Row],[Ref]])),"")</f>
        <v/>
      </c>
    </row>
    <row r="781" spans="1:7" x14ac:dyDescent="0.25">
      <c r="A781" s="39" t="s">
        <v>152</v>
      </c>
      <c r="B781" s="33">
        <v>45335</v>
      </c>
      <c r="C781" s="32" t="s">
        <v>164</v>
      </c>
      <c r="D781" s="32" t="s">
        <v>8</v>
      </c>
      <c r="E781" s="32" t="s">
        <v>177</v>
      </c>
      <c r="F781" s="32" cm="1">
        <f t="array" aca="1" ref="F781" ca="1">IF(Table3[[#This Row],[Stage]]="Closed",0,IF(IFERROR(
  IF(
    COUNTIF(A$2:A$1997, A781) &gt; 1,
    MIN(IF(A$2:A$1997=A781, IF(B$2:B$1997&gt;B781, B$2:B$1997))) - B781,
    TODAY() - Table3[[#This Row],[Date of Update]]
  ),
  TODAY()-Table3[[#This Row],[Date of Update]]
)&lt;=0,
TODAY()-Table3[[#This Row],[Date of Update]],
IFERROR(
  IF(
    COUNTIF(A$2:A$1997, A781) &gt; 1,
    MIN(IF(A$2:A$1997=A781, IF(B$2:B$1997&gt;B781, B$2:B$1997))) - B781,
    TODAY() - Table3[[#This Row],[Date of Update]]
  ),
  TODAY()-Table3[[#This Row],[Date of Update]]
)))</f>
        <v>16</v>
      </c>
      <c r="G781" s="40" t="str">
        <f>IF(Table3[[#This Row],[Stage]]="Closed",Table3[[#This Row],[Date of Update]]-(_xlfn.MINIFS(Table3[Date of Update],Table3[Ref], Table3[[#This Row],[Ref]])),"")</f>
        <v/>
      </c>
    </row>
    <row r="782" spans="1:7" x14ac:dyDescent="0.25">
      <c r="A782" s="39" t="s">
        <v>1437</v>
      </c>
      <c r="B782" s="33">
        <v>45338</v>
      </c>
      <c r="C782" s="32" t="s">
        <v>23</v>
      </c>
      <c r="D782" s="32" t="s">
        <v>4</v>
      </c>
      <c r="E782" s="32" t="s">
        <v>977</v>
      </c>
      <c r="F782" s="32" cm="1">
        <f t="array" aca="1" ref="F782" ca="1">IF(Table3[[#This Row],[Stage]]="Closed",0,IF(IFERROR(
  IF(
    COUNTIF(A$2:A$1997, A782) &gt; 1,
    MIN(IF(A$2:A$1997=A782, IF(B$2:B$1997&gt;B782, B$2:B$1997))) - B782,
    TODAY() - Table3[[#This Row],[Date of Update]]
  ),
  TODAY()-Table3[[#This Row],[Date of Update]]
)&lt;=0,
TODAY()-Table3[[#This Row],[Date of Update]],
IFERROR(
  IF(
    COUNTIF(A$2:A$1997, A782) &gt; 1,
    MIN(IF(A$2:A$1997=A782, IF(B$2:B$1997&gt;B782, B$2:B$1997))) - B782,
    TODAY() - Table3[[#This Row],[Date of Update]]
  ),
  TODAY()-Table3[[#This Row],[Date of Update]]
)))</f>
        <v>35</v>
      </c>
      <c r="G782" s="40" t="str">
        <f>IF(Table3[[#This Row],[Stage]]="Closed",Table3[[#This Row],[Date of Update]]-(_xlfn.MINIFS(Table3[Date of Update],Table3[Ref], Table3[[#This Row],[Ref]])),"")</f>
        <v/>
      </c>
    </row>
    <row r="783" spans="1:7" x14ac:dyDescent="0.25">
      <c r="A783" s="39" t="s">
        <v>1441</v>
      </c>
      <c r="B783" s="33">
        <v>45338</v>
      </c>
      <c r="C783" s="32" t="s">
        <v>23</v>
      </c>
      <c r="D783" s="32" t="s">
        <v>4</v>
      </c>
      <c r="E783" s="32" t="s">
        <v>982</v>
      </c>
      <c r="F783" s="32" cm="1">
        <f t="array" aca="1" ref="F783" ca="1">IF(Table3[[#This Row],[Stage]]="Closed",0,IF(IFERROR(
  IF(
    COUNTIF(A$2:A$1997, A783) &gt; 1,
    MIN(IF(A$2:A$1997=A783, IF(B$2:B$1997&gt;B783, B$2:B$1997))) - B783,
    TODAY() - Table3[[#This Row],[Date of Update]]
  ),
  TODAY()-Table3[[#This Row],[Date of Update]]
)&lt;=0,
TODAY()-Table3[[#This Row],[Date of Update]],
IFERROR(
  IF(
    COUNTIF(A$2:A$1997, A783) &gt; 1,
    MIN(IF(A$2:A$1997=A783, IF(B$2:B$1997&gt;B783, B$2:B$1997))) - B783,
    TODAY() - Table3[[#This Row],[Date of Update]]
  ),
  TODAY()-Table3[[#This Row],[Date of Update]]
)))</f>
        <v>59</v>
      </c>
      <c r="G783" s="40" t="str">
        <f>IF(Table3[[#This Row],[Stage]]="Closed",Table3[[#This Row],[Date of Update]]-(_xlfn.MINIFS(Table3[Date of Update],Table3[Ref], Table3[[#This Row],[Ref]])),"")</f>
        <v/>
      </c>
    </row>
    <row r="784" spans="1:7" x14ac:dyDescent="0.25">
      <c r="A784" s="39" t="s">
        <v>151</v>
      </c>
      <c r="B784" s="33">
        <v>45341</v>
      </c>
      <c r="C784" s="32" t="s">
        <v>23</v>
      </c>
      <c r="D784" s="32" t="s">
        <v>4</v>
      </c>
      <c r="E784" s="32" t="s">
        <v>173</v>
      </c>
      <c r="F784" s="32" cm="1">
        <f t="array" aca="1" ref="F784" ca="1">IF(Table3[[#This Row],[Stage]]="Closed",0,IF(IFERROR(
  IF(
    COUNTIF(A$2:A$1997, A784) &gt; 1,
    MIN(IF(A$2:A$1997=A784, IF(B$2:B$1997&gt;B784, B$2:B$1997))) - B784,
    TODAY() - Table3[[#This Row],[Date of Update]]
  ),
  TODAY()-Table3[[#This Row],[Date of Update]]
)&lt;=0,
TODAY()-Table3[[#This Row],[Date of Update]],
IFERROR(
  IF(
    COUNTIF(A$2:A$1997, A784) &gt; 1,
    MIN(IF(A$2:A$1997=A784, IF(B$2:B$1997&gt;B784, B$2:B$1997))) - B784,
    TODAY() - Table3[[#This Row],[Date of Update]]
  ),
  TODAY()-Table3[[#This Row],[Date of Update]]
)))</f>
        <v>11</v>
      </c>
      <c r="G784" s="40" t="str">
        <f>IF(Table3[[#This Row],[Stage]]="Closed",Table3[[#This Row],[Date of Update]]-(_xlfn.MINIFS(Table3[Date of Update],Table3[Ref], Table3[[#This Row],[Ref]])),"")</f>
        <v/>
      </c>
    </row>
    <row r="785" spans="1:7" x14ac:dyDescent="0.25">
      <c r="A785" s="39" t="s">
        <v>153</v>
      </c>
      <c r="B785" s="33">
        <v>45341</v>
      </c>
      <c r="C785" s="32" t="s">
        <v>23</v>
      </c>
      <c r="D785" s="32" t="s">
        <v>4</v>
      </c>
      <c r="E785" s="32" t="s">
        <v>178</v>
      </c>
      <c r="F785" s="32" cm="1">
        <f t="array" aca="1" ref="F785" ca="1">IF(Table3[[#This Row],[Stage]]="Closed",0,IF(IFERROR(
  IF(
    COUNTIF(A$2:A$1997, A785) &gt; 1,
    MIN(IF(A$2:A$1997=A785, IF(B$2:B$1997&gt;B785, B$2:B$1997))) - B785,
    TODAY() - Table3[[#This Row],[Date of Update]]
  ),
  TODAY()-Table3[[#This Row],[Date of Update]]
)&lt;=0,
TODAY()-Table3[[#This Row],[Date of Update]],
IFERROR(
  IF(
    COUNTIF(A$2:A$1997, A785) &gt; 1,
    MIN(IF(A$2:A$1997=A785, IF(B$2:B$1997&gt;B785, B$2:B$1997))) - B785,
    TODAY() - Table3[[#This Row],[Date of Update]]
  ),
  TODAY()-Table3[[#This Row],[Date of Update]]
)))</f>
        <v>1</v>
      </c>
      <c r="G785" s="40" t="str">
        <f>IF(Table3[[#This Row],[Stage]]="Closed",Table3[[#This Row],[Date of Update]]-(_xlfn.MINIFS(Table3[Date of Update],Table3[Ref], Table3[[#This Row],[Ref]])),"")</f>
        <v/>
      </c>
    </row>
    <row r="786" spans="1:7" x14ac:dyDescent="0.25">
      <c r="A786" s="39" t="s">
        <v>1443</v>
      </c>
      <c r="B786" s="33">
        <v>45341</v>
      </c>
      <c r="C786" s="32" t="s">
        <v>23</v>
      </c>
      <c r="D786" s="32" t="s">
        <v>4</v>
      </c>
      <c r="E786" s="32" t="s">
        <v>988</v>
      </c>
      <c r="F786" s="32" cm="1">
        <f t="array" aca="1" ref="F786" ca="1">IF(Table3[[#This Row],[Stage]]="Closed",0,IF(IFERROR(
  IF(
    COUNTIF(A$2:A$1997, A786) &gt; 1,
    MIN(IF(A$2:A$1997=A786, IF(B$2:B$1997&gt;B786, B$2:B$1997))) - B786,
    TODAY() - Table3[[#This Row],[Date of Update]]
  ),
  TODAY()-Table3[[#This Row],[Date of Update]]
)&lt;=0,
TODAY()-Table3[[#This Row],[Date of Update]],
IFERROR(
  IF(
    COUNTIF(A$2:A$1997, A786) &gt; 1,
    MIN(IF(A$2:A$1997=A786, IF(B$2:B$1997&gt;B786, B$2:B$1997))) - B786,
    TODAY() - Table3[[#This Row],[Date of Update]]
  ),
  TODAY()-Table3[[#This Row],[Date of Update]]
)))</f>
        <v>2</v>
      </c>
      <c r="G786" s="40" t="str">
        <f>IF(Table3[[#This Row],[Stage]]="Closed",Table3[[#This Row],[Date of Update]]-(_xlfn.MINIFS(Table3[Date of Update],Table3[Ref], Table3[[#This Row],[Ref]])),"")</f>
        <v/>
      </c>
    </row>
    <row r="787" spans="1:7" x14ac:dyDescent="0.25">
      <c r="A787" s="39" t="s">
        <v>153</v>
      </c>
      <c r="B787" s="33">
        <v>45342</v>
      </c>
      <c r="C787" s="32" t="s">
        <v>164</v>
      </c>
      <c r="D787" s="32" t="s">
        <v>24</v>
      </c>
      <c r="E787" s="32" t="s">
        <v>91</v>
      </c>
      <c r="F787" s="32" cm="1">
        <f t="array" aca="1" ref="F787" ca="1">IF(Table3[[#This Row],[Stage]]="Closed",0,IF(IFERROR(
  IF(
    COUNTIF(A$2:A$1997, A787) &gt; 1,
    MIN(IF(A$2:A$1997=A787, IF(B$2:B$1997&gt;B787, B$2:B$1997))) - B787,
    TODAY() - Table3[[#This Row],[Date of Update]]
  ),
  TODAY()-Table3[[#This Row],[Date of Update]]
)&lt;=0,
TODAY()-Table3[[#This Row],[Date of Update]],
IFERROR(
  IF(
    COUNTIF(A$2:A$1997, A787) &gt; 1,
    MIN(IF(A$2:A$1997=A787, IF(B$2:B$1997&gt;B787, B$2:B$1997))) - B787,
    TODAY() - Table3[[#This Row],[Date of Update]]
  ),
  TODAY()-Table3[[#This Row],[Date of Update]]
)))</f>
        <v>393</v>
      </c>
      <c r="G787" s="40" t="str">
        <f>IF(Table3[[#This Row],[Stage]]="Closed",Table3[[#This Row],[Date of Update]]-(_xlfn.MINIFS(Table3[Date of Update],Table3[Ref], Table3[[#This Row],[Ref]])),"")</f>
        <v/>
      </c>
    </row>
    <row r="788" spans="1:7" x14ac:dyDescent="0.25">
      <c r="A788" s="39" t="s">
        <v>1443</v>
      </c>
      <c r="B788" s="33">
        <v>45343</v>
      </c>
      <c r="C788" s="32" t="s">
        <v>169</v>
      </c>
      <c r="D788" s="32" t="s">
        <v>4</v>
      </c>
      <c r="E788" s="32" t="s">
        <v>988</v>
      </c>
      <c r="F788" s="32" cm="1">
        <f t="array" aca="1" ref="F788" ca="1">IF(Table3[[#This Row],[Stage]]="Closed",0,IF(IFERROR(
  IF(
    COUNTIF(A$2:A$1997, A788) &gt; 1,
    MIN(IF(A$2:A$1997=A788, IF(B$2:B$1997&gt;B788, B$2:B$1997))) - B788,
    TODAY() - Table3[[#This Row],[Date of Update]]
  ),
  TODAY()-Table3[[#This Row],[Date of Update]]
)&lt;=0,
TODAY()-Table3[[#This Row],[Date of Update]],
IFERROR(
  IF(
    COUNTIF(A$2:A$1997, A788) &gt; 1,
    MIN(IF(A$2:A$1997=A788, IF(B$2:B$1997&gt;B788, B$2:B$1997))) - B788,
    TODAY() - Table3[[#This Row],[Date of Update]]
  ),
  TODAY()-Table3[[#This Row],[Date of Update]]
)))</f>
        <v>0</v>
      </c>
      <c r="G788" s="40">
        <f>IF(Table3[[#This Row],[Stage]]="Closed",Table3[[#This Row],[Date of Update]]-(_xlfn.MINIFS(Table3[Date of Update],Table3[Ref], Table3[[#This Row],[Ref]])),"")</f>
        <v>2</v>
      </c>
    </row>
    <row r="789" spans="1:7" x14ac:dyDescent="0.25">
      <c r="A789" s="39" t="s">
        <v>154</v>
      </c>
      <c r="B789" s="33">
        <v>45345</v>
      </c>
      <c r="C789" s="32" t="s">
        <v>23</v>
      </c>
      <c r="D789" s="32" t="s">
        <v>4</v>
      </c>
      <c r="E789" s="32" t="s">
        <v>179</v>
      </c>
      <c r="F789" s="32" cm="1">
        <f t="array" aca="1" ref="F789" ca="1">IF(Table3[[#This Row],[Stage]]="Closed",0,IF(IFERROR(
  IF(
    COUNTIF(A$2:A$1997, A789) &gt; 1,
    MIN(IF(A$2:A$1997=A789, IF(B$2:B$1997&gt;B789, B$2:B$1997))) - B789,
    TODAY() - Table3[[#This Row],[Date of Update]]
  ),
  TODAY()-Table3[[#This Row],[Date of Update]]
)&lt;=0,
TODAY()-Table3[[#This Row],[Date of Update]],
IFERROR(
  IF(
    COUNTIF(A$2:A$1997, A789) &gt; 1,
    MIN(IF(A$2:A$1997=A789, IF(B$2:B$1997&gt;B789, B$2:B$1997))) - B789,
    TODAY() - Table3[[#This Row],[Date of Update]]
  ),
  TODAY()-Table3[[#This Row],[Date of Update]]
)))</f>
        <v>3</v>
      </c>
      <c r="G789" s="40" t="str">
        <f>IF(Table3[[#This Row],[Stage]]="Closed",Table3[[#This Row],[Date of Update]]-(_xlfn.MINIFS(Table3[Date of Update],Table3[Ref], Table3[[#This Row],[Ref]])),"")</f>
        <v/>
      </c>
    </row>
    <row r="790" spans="1:7" x14ac:dyDescent="0.25">
      <c r="A790" s="39" t="s">
        <v>154</v>
      </c>
      <c r="B790" s="33">
        <v>45345</v>
      </c>
      <c r="C790" s="32" t="s">
        <v>164</v>
      </c>
      <c r="D790" s="32" t="s">
        <v>8</v>
      </c>
      <c r="E790" s="32" t="s">
        <v>180</v>
      </c>
      <c r="F790" s="32" cm="1">
        <f t="array" aca="1" ref="F790" ca="1">IF(Table3[[#This Row],[Stage]]="Closed",0,IF(IFERROR(
  IF(
    COUNTIF(A$2:A$1997, A790) &gt; 1,
    MIN(IF(A$2:A$1997=A790, IF(B$2:B$1997&gt;B790, B$2:B$1997))) - B790,
    TODAY() - Table3[[#This Row],[Date of Update]]
  ),
  TODAY()-Table3[[#This Row],[Date of Update]]
)&lt;=0,
TODAY()-Table3[[#This Row],[Date of Update]],
IFERROR(
  IF(
    COUNTIF(A$2:A$1997, A790) &gt; 1,
    MIN(IF(A$2:A$1997=A790, IF(B$2:B$1997&gt;B790, B$2:B$1997))) - B790,
    TODAY() - Table3[[#This Row],[Date of Update]]
  ),
  TODAY()-Table3[[#This Row],[Date of Update]]
)))</f>
        <v>3</v>
      </c>
      <c r="G790" s="40" t="str">
        <f>IF(Table3[[#This Row],[Stage]]="Closed",Table3[[#This Row],[Date of Update]]-(_xlfn.MINIFS(Table3[Date of Update],Table3[Ref], Table3[[#This Row],[Ref]])),"")</f>
        <v/>
      </c>
    </row>
    <row r="791" spans="1:7" x14ac:dyDescent="0.25">
      <c r="A791" s="39" t="s">
        <v>154</v>
      </c>
      <c r="B791" s="33">
        <v>45348</v>
      </c>
      <c r="C791" s="32" t="s">
        <v>166</v>
      </c>
      <c r="D791" s="32" t="s">
        <v>8</v>
      </c>
      <c r="E791" s="32" t="s">
        <v>181</v>
      </c>
      <c r="F791" s="32" cm="1">
        <f t="array" aca="1" ref="F791" ca="1">IF(Table3[[#This Row],[Stage]]="Closed",0,IF(IFERROR(
  IF(
    COUNTIF(A$2:A$1997, A791) &gt; 1,
    MIN(IF(A$2:A$1997=A791, IF(B$2:B$1997&gt;B791, B$2:B$1997))) - B791,
    TODAY() - Table3[[#This Row],[Date of Update]]
  ),
  TODAY()-Table3[[#This Row],[Date of Update]]
)&lt;=0,
TODAY()-Table3[[#This Row],[Date of Update]],
IFERROR(
  IF(
    COUNTIF(A$2:A$1997, A791) &gt; 1,
    MIN(IF(A$2:A$1997=A791, IF(B$2:B$1997&gt;B791, B$2:B$1997))) - B791,
    TODAY() - Table3[[#This Row],[Date of Update]]
  ),
  TODAY()-Table3[[#This Row],[Date of Update]]
)))</f>
        <v>51</v>
      </c>
      <c r="G791" s="40" t="str">
        <f>IF(Table3[[#This Row],[Stage]]="Closed",Table3[[#This Row],[Date of Update]]-(_xlfn.MINIFS(Table3[Date of Update],Table3[Ref], Table3[[#This Row],[Ref]])),"")</f>
        <v/>
      </c>
    </row>
    <row r="792" spans="1:7" x14ac:dyDescent="0.25">
      <c r="A792" s="39" t="s">
        <v>1435</v>
      </c>
      <c r="B792" s="33">
        <v>45349</v>
      </c>
      <c r="C792" s="32" t="s">
        <v>23</v>
      </c>
      <c r="D792" s="32" t="s">
        <v>4</v>
      </c>
      <c r="E792" s="32" t="s">
        <v>973</v>
      </c>
      <c r="F792" s="32" cm="1">
        <f t="array" aca="1" ref="F792" ca="1">IF(Table3[[#This Row],[Stage]]="Closed",0,IF(IFERROR(
  IF(
    COUNTIF(A$2:A$1997, A792) &gt; 1,
    MIN(IF(A$2:A$1997=A792, IF(B$2:B$1997&gt;B792, B$2:B$1997))) - B792,
    TODAY() - Table3[[#This Row],[Date of Update]]
  ),
  TODAY()-Table3[[#This Row],[Date of Update]]
)&lt;=0,
TODAY()-Table3[[#This Row],[Date of Update]],
IFERROR(
  IF(
    COUNTIF(A$2:A$1997, A792) &gt; 1,
    MIN(IF(A$2:A$1997=A792, IF(B$2:B$1997&gt;B792, B$2:B$1997))) - B792,
    TODAY() - Table3[[#This Row],[Date of Update]]
  ),
  TODAY()-Table3[[#This Row],[Date of Update]]
)))</f>
        <v>10</v>
      </c>
      <c r="G792" s="40" t="str">
        <f>IF(Table3[[#This Row],[Stage]]="Closed",Table3[[#This Row],[Date of Update]]-(_xlfn.MINIFS(Table3[Date of Update],Table3[Ref], Table3[[#This Row],[Ref]])),"")</f>
        <v/>
      </c>
    </row>
    <row r="793" spans="1:7" x14ac:dyDescent="0.25">
      <c r="A793" s="39" t="s">
        <v>1433</v>
      </c>
      <c r="B793" s="33">
        <v>45349</v>
      </c>
      <c r="C793" s="32" t="s">
        <v>23</v>
      </c>
      <c r="D793" s="32" t="s">
        <v>4</v>
      </c>
      <c r="E793" s="32" t="s">
        <v>453</v>
      </c>
      <c r="F793" s="32" cm="1">
        <f t="array" aca="1" ref="F793" ca="1">IF(Table3[[#This Row],[Stage]]="Closed",0,IF(IFERROR(
  IF(
    COUNTIF(A$2:A$1997, A793) &gt; 1,
    MIN(IF(A$2:A$1997=A793, IF(B$2:B$1997&gt;B793, B$2:B$1997))) - B793,
    TODAY() - Table3[[#This Row],[Date of Update]]
  ),
  TODAY()-Table3[[#This Row],[Date of Update]]
)&lt;=0,
TODAY()-Table3[[#This Row],[Date of Update]],
IFERROR(
  IF(
    COUNTIF(A$2:A$1997, A793) &gt; 1,
    MIN(IF(A$2:A$1997=A793, IF(B$2:B$1997&gt;B793, B$2:B$1997))) - B793,
    TODAY() - Table3[[#This Row],[Date of Update]]
  ),
  TODAY()-Table3[[#This Row],[Date of Update]]
)))</f>
        <v>3</v>
      </c>
      <c r="G793" s="40" t="str">
        <f>IF(Table3[[#This Row],[Stage]]="Closed",Table3[[#This Row],[Date of Update]]-(_xlfn.MINIFS(Table3[Date of Update],Table3[Ref], Table3[[#This Row],[Ref]])),"")</f>
        <v/>
      </c>
    </row>
    <row r="794" spans="1:7" x14ac:dyDescent="0.25">
      <c r="A794" s="39" t="s">
        <v>1442</v>
      </c>
      <c r="B794" s="33">
        <v>45349</v>
      </c>
      <c r="C794" s="32" t="s">
        <v>23</v>
      </c>
      <c r="D794" s="32" t="s">
        <v>4</v>
      </c>
      <c r="E794" s="32" t="s">
        <v>986</v>
      </c>
      <c r="F794" s="32" cm="1">
        <f t="array" aca="1" ref="F794" ca="1">IF(Table3[[#This Row],[Stage]]="Closed",0,IF(IFERROR(
  IF(
    COUNTIF(A$2:A$1997, A794) &gt; 1,
    MIN(IF(A$2:A$1997=A794, IF(B$2:B$1997&gt;B794, B$2:B$1997))) - B794,
    TODAY() - Table3[[#This Row],[Date of Update]]
  ),
  TODAY()-Table3[[#This Row],[Date of Update]]
)&lt;=0,
TODAY()-Table3[[#This Row],[Date of Update]],
IFERROR(
  IF(
    COUNTIF(A$2:A$1997, A794) &gt; 1,
    MIN(IF(A$2:A$1997=A794, IF(B$2:B$1997&gt;B794, B$2:B$1997))) - B794,
    TODAY() - Table3[[#This Row],[Date of Update]]
  ),
  TODAY()-Table3[[#This Row],[Date of Update]]
)))</f>
        <v>49</v>
      </c>
      <c r="G794" s="40" t="str">
        <f>IF(Table3[[#This Row],[Stage]]="Closed",Table3[[#This Row],[Date of Update]]-(_xlfn.MINIFS(Table3[Date of Update],Table3[Ref], Table3[[#This Row],[Ref]])),"")</f>
        <v/>
      </c>
    </row>
    <row r="795" spans="1:7" x14ac:dyDescent="0.25">
      <c r="A795" s="39" t="s">
        <v>1527</v>
      </c>
      <c r="B795" s="33">
        <v>45349</v>
      </c>
      <c r="C795" s="32" t="s">
        <v>23</v>
      </c>
      <c r="D795" s="32" t="s">
        <v>4</v>
      </c>
      <c r="E795" s="32" t="s">
        <v>531</v>
      </c>
      <c r="F795" s="32" cm="1">
        <f t="array" aca="1" ref="F795" ca="1">IF(Table3[[#This Row],[Stage]]="Closed",0,IF(IFERROR(
  IF(
    COUNTIF(A$2:A$1997, A795) &gt; 1,
    MIN(IF(A$2:A$1997=A795, IF(B$2:B$1997&gt;B795, B$2:B$1997))) - B795,
    TODAY() - Table3[[#This Row],[Date of Update]]
  ),
  TODAY()-Table3[[#This Row],[Date of Update]]
)&lt;=0,
TODAY()-Table3[[#This Row],[Date of Update]],
IFERROR(
  IF(
    COUNTIF(A$2:A$1997, A795) &gt; 1,
    MIN(IF(A$2:A$1997=A795, IF(B$2:B$1997&gt;B795, B$2:B$1997))) - B795,
    TODAY() - Table3[[#This Row],[Date of Update]]
  ),
  TODAY()-Table3[[#This Row],[Date of Update]]
)))</f>
        <v>10</v>
      </c>
      <c r="G795" s="40" t="str">
        <f>IF(Table3[[#This Row],[Stage]]="Closed",Table3[[#This Row],[Date of Update]]-(_xlfn.MINIFS(Table3[Date of Update],Table3[Ref], Table3[[#This Row],[Ref]])),"")</f>
        <v/>
      </c>
    </row>
    <row r="796" spans="1:7" x14ac:dyDescent="0.25">
      <c r="A796" s="39" t="s">
        <v>1397</v>
      </c>
      <c r="B796" s="33">
        <v>45349</v>
      </c>
      <c r="C796" s="32" t="s">
        <v>169</v>
      </c>
      <c r="D796" s="32" t="s">
        <v>4</v>
      </c>
      <c r="E796" s="32" t="s">
        <v>898</v>
      </c>
      <c r="F796" s="32" cm="1">
        <f t="array" aca="1" ref="F796" ca="1">IF(Table3[[#This Row],[Stage]]="Closed",0,IF(IFERROR(
  IF(
    COUNTIF(A$2:A$1997, A796) &gt; 1,
    MIN(IF(A$2:A$1997=A796, IF(B$2:B$1997&gt;B796, B$2:B$1997))) - B796,
    TODAY() - Table3[[#This Row],[Date of Update]]
  ),
  TODAY()-Table3[[#This Row],[Date of Update]]
)&lt;=0,
TODAY()-Table3[[#This Row],[Date of Update]],
IFERROR(
  IF(
    COUNTIF(A$2:A$1997, A796) &gt; 1,
    MIN(IF(A$2:A$1997=A796, IF(B$2:B$1997&gt;B796, B$2:B$1997))) - B796,
    TODAY() - Table3[[#This Row],[Date of Update]]
  ),
  TODAY()-Table3[[#This Row],[Date of Update]]
)))</f>
        <v>0</v>
      </c>
      <c r="G796" s="40">
        <f>IF(Table3[[#This Row],[Stage]]="Closed",Table3[[#This Row],[Date of Update]]-(_xlfn.MINIFS(Table3[Date of Update],Table3[Ref], Table3[[#This Row],[Ref]])),"")</f>
        <v>118</v>
      </c>
    </row>
    <row r="797" spans="1:7" x14ac:dyDescent="0.25">
      <c r="A797" s="39" t="s">
        <v>1444</v>
      </c>
      <c r="B797" s="33">
        <v>45350</v>
      </c>
      <c r="C797" s="32" t="s">
        <v>23</v>
      </c>
      <c r="D797" s="32" t="s">
        <v>4</v>
      </c>
      <c r="E797" s="32" t="s">
        <v>991</v>
      </c>
      <c r="F797" s="32" cm="1">
        <f t="array" aca="1" ref="F797" ca="1">IF(Table3[[#This Row],[Stage]]="Closed",0,IF(IFERROR(
  IF(
    COUNTIF(A$2:A$1997, A797) &gt; 1,
    MIN(IF(A$2:A$1997=A797, IF(B$2:B$1997&gt;B797, B$2:B$1997))) - B797,
    TODAY() - Table3[[#This Row],[Date of Update]]
  ),
  TODAY()-Table3[[#This Row],[Date of Update]]
)&lt;=0,
TODAY()-Table3[[#This Row],[Date of Update]],
IFERROR(
  IF(
    COUNTIF(A$2:A$1997, A797) &gt; 1,
    MIN(IF(A$2:A$1997=A797, IF(B$2:B$1997&gt;B797, B$2:B$1997))) - B797,
    TODAY() - Table3[[#This Row],[Date of Update]]
  ),
  TODAY()-Table3[[#This Row],[Date of Update]]
)))</f>
        <v>19</v>
      </c>
      <c r="G797" s="40" t="str">
        <f>IF(Table3[[#This Row],[Stage]]="Closed",Table3[[#This Row],[Date of Update]]-(_xlfn.MINIFS(Table3[Date of Update],Table3[Ref], Table3[[#This Row],[Ref]])),"")</f>
        <v/>
      </c>
    </row>
    <row r="798" spans="1:7" x14ac:dyDescent="0.25">
      <c r="A798" s="39" t="s">
        <v>152</v>
      </c>
      <c r="B798" s="33">
        <v>45351</v>
      </c>
      <c r="C798" s="32" t="s">
        <v>166</v>
      </c>
      <c r="D798" s="32" t="s">
        <v>4</v>
      </c>
      <c r="E798" s="32" t="s">
        <v>176</v>
      </c>
      <c r="F798" s="32" cm="1">
        <f t="array" aca="1" ref="F798" ca="1">IF(Table3[[#This Row],[Stage]]="Closed",0,IF(IFERROR(
  IF(
    COUNTIF(A$2:A$1997, A798) &gt; 1,
    MIN(IF(A$2:A$1997=A798, IF(B$2:B$1997&gt;B798, B$2:B$1997))) - B798,
    TODAY() - Table3[[#This Row],[Date of Update]]
  ),
  TODAY()-Table3[[#This Row],[Date of Update]]
)&lt;=0,
TODAY()-Table3[[#This Row],[Date of Update]],
IFERROR(
  IF(
    COUNTIF(A$2:A$1997, A798) &gt; 1,
    MIN(IF(A$2:A$1997=A798, IF(B$2:B$1997&gt;B798, B$2:B$1997))) - B798,
    TODAY() - Table3[[#This Row],[Date of Update]]
  ),
  TODAY()-Table3[[#This Row],[Date of Update]]
)))</f>
        <v>1</v>
      </c>
      <c r="G798" s="40" t="str">
        <f>IF(Table3[[#This Row],[Stage]]="Closed",Table3[[#This Row],[Date of Update]]-(_xlfn.MINIFS(Table3[Date of Update],Table3[Ref], Table3[[#This Row],[Ref]])),"")</f>
        <v/>
      </c>
    </row>
    <row r="799" spans="1:7" x14ac:dyDescent="0.25">
      <c r="A799" s="39" t="s">
        <v>152</v>
      </c>
      <c r="B799" s="33">
        <v>45352</v>
      </c>
      <c r="C799" s="32" t="s">
        <v>166</v>
      </c>
      <c r="D799" s="32" t="s">
        <v>8</v>
      </c>
      <c r="E799" s="32" t="s">
        <v>87</v>
      </c>
      <c r="F799" s="32" cm="1">
        <f t="array" aca="1" ref="F799" ca="1">IF(Table3[[#This Row],[Stage]]="Closed",0,IF(IFERROR(
  IF(
    COUNTIF(A$2:A$1997, A799) &gt; 1,
    MIN(IF(A$2:A$1997=A799, IF(B$2:B$1997&gt;B799, B$2:B$1997))) - B799,
    TODAY() - Table3[[#This Row],[Date of Update]]
  ),
  TODAY()-Table3[[#This Row],[Date of Update]]
)&lt;=0,
TODAY()-Table3[[#This Row],[Date of Update]],
IFERROR(
  IF(
    COUNTIF(A$2:A$1997, A799) &gt; 1,
    MIN(IF(A$2:A$1997=A799, IF(B$2:B$1997&gt;B799, B$2:B$1997))) - B799,
    TODAY() - Table3[[#This Row],[Date of Update]]
  ),
  TODAY()-Table3[[#This Row],[Date of Update]]
)))</f>
        <v>383</v>
      </c>
      <c r="G799" s="40" t="str">
        <f>IF(Table3[[#This Row],[Stage]]="Closed",Table3[[#This Row],[Date of Update]]-(_xlfn.MINIFS(Table3[Date of Update],Table3[Ref], Table3[[#This Row],[Ref]])),"")</f>
        <v/>
      </c>
    </row>
    <row r="800" spans="1:7" x14ac:dyDescent="0.25">
      <c r="A800" s="39" t="s">
        <v>151</v>
      </c>
      <c r="B800" s="33">
        <v>45352</v>
      </c>
      <c r="C800" s="32" t="s">
        <v>164</v>
      </c>
      <c r="D800" s="32" t="s">
        <v>24</v>
      </c>
      <c r="E800" s="32" t="s">
        <v>174</v>
      </c>
      <c r="F800" s="32" cm="1">
        <f t="array" aca="1" ref="F800" ca="1">IF(Table3[[#This Row],[Stage]]="Closed",0,IF(IFERROR(
  IF(
    COUNTIF(A$2:A$1997, A800) &gt; 1,
    MIN(IF(A$2:A$1997=A800, IF(B$2:B$1997&gt;B800, B$2:B$1997))) - B800,
    TODAY() - Table3[[#This Row],[Date of Update]]
  ),
  TODAY()-Table3[[#This Row],[Date of Update]]
)&lt;=0,
TODAY()-Table3[[#This Row],[Date of Update]],
IFERROR(
  IF(
    COUNTIF(A$2:A$1997, A800) &gt; 1,
    MIN(IF(A$2:A$1997=A800, IF(B$2:B$1997&gt;B800, B$2:B$1997))) - B800,
    TODAY() - Table3[[#This Row],[Date of Update]]
  ),
  TODAY()-Table3[[#This Row],[Date of Update]]
)))</f>
        <v>5</v>
      </c>
      <c r="G800" s="40" t="str">
        <f>IF(Table3[[#This Row],[Stage]]="Closed",Table3[[#This Row],[Date of Update]]-(_xlfn.MINIFS(Table3[Date of Update],Table3[Ref], Table3[[#This Row],[Ref]])),"")</f>
        <v/>
      </c>
    </row>
    <row r="801" spans="1:7" x14ac:dyDescent="0.25">
      <c r="A801" s="39" t="s">
        <v>1432</v>
      </c>
      <c r="B801" s="33">
        <v>45352</v>
      </c>
      <c r="C801" s="32" t="s">
        <v>169</v>
      </c>
      <c r="D801" s="32" t="s">
        <v>4</v>
      </c>
      <c r="E801" s="32" t="s">
        <v>453</v>
      </c>
      <c r="F801" s="32" cm="1">
        <f t="array" aca="1" ref="F801" ca="1">IF(Table3[[#This Row],[Stage]]="Closed",0,IF(IFERROR(
  IF(
    COUNTIF(A$2:A$1997, A801) &gt; 1,
    MIN(IF(A$2:A$1997=A801, IF(B$2:B$1997&gt;B801, B$2:B$1997))) - B801,
    TODAY() - Table3[[#This Row],[Date of Update]]
  ),
  TODAY()-Table3[[#This Row],[Date of Update]]
)&lt;=0,
TODAY()-Table3[[#This Row],[Date of Update]],
IFERROR(
  IF(
    COUNTIF(A$2:A$1997, A801) &gt; 1,
    MIN(IF(A$2:A$1997=A801, IF(B$2:B$1997&gt;B801, B$2:B$1997))) - B801,
    TODAY() - Table3[[#This Row],[Date of Update]]
  ),
  TODAY()-Table3[[#This Row],[Date of Update]]
)))</f>
        <v>0</v>
      </c>
      <c r="G801" s="40">
        <f>IF(Table3[[#This Row],[Stage]]="Closed",Table3[[#This Row],[Date of Update]]-(_xlfn.MINIFS(Table3[Date of Update],Table3[Ref], Table3[[#This Row],[Ref]])),"")</f>
        <v>35</v>
      </c>
    </row>
    <row r="802" spans="1:7" x14ac:dyDescent="0.25">
      <c r="A802" s="39" t="s">
        <v>1433</v>
      </c>
      <c r="B802" s="33">
        <v>45352</v>
      </c>
      <c r="C802" s="32" t="s">
        <v>169</v>
      </c>
      <c r="D802" s="32" t="s">
        <v>4</v>
      </c>
      <c r="E802" s="32" t="s">
        <v>453</v>
      </c>
      <c r="F802" s="32" cm="1">
        <f t="array" aca="1" ref="F802" ca="1">IF(Table3[[#This Row],[Stage]]="Closed",0,IF(IFERROR(
  IF(
    COUNTIF(A$2:A$1997, A802) &gt; 1,
    MIN(IF(A$2:A$1997=A802, IF(B$2:B$1997&gt;B802, B$2:B$1997))) - B802,
    TODAY() - Table3[[#This Row],[Date of Update]]
  ),
  TODAY()-Table3[[#This Row],[Date of Update]]
)&lt;=0,
TODAY()-Table3[[#This Row],[Date of Update]],
IFERROR(
  IF(
    COUNTIF(A$2:A$1997, A802) &gt; 1,
    MIN(IF(A$2:A$1997=A802, IF(B$2:B$1997&gt;B802, B$2:B$1997))) - B802,
    TODAY() - Table3[[#This Row],[Date of Update]]
  ),
  TODAY()-Table3[[#This Row],[Date of Update]]
)))</f>
        <v>0</v>
      </c>
      <c r="G802" s="40">
        <f>IF(Table3[[#This Row],[Stage]]="Closed",Table3[[#This Row],[Date of Update]]-(_xlfn.MINIFS(Table3[Date of Update],Table3[Ref], Table3[[#This Row],[Ref]])),"")</f>
        <v>3</v>
      </c>
    </row>
    <row r="803" spans="1:7" x14ac:dyDescent="0.25">
      <c r="A803" s="39" t="s">
        <v>1350</v>
      </c>
      <c r="B803" s="33">
        <v>45355</v>
      </c>
      <c r="C803" s="32" t="s">
        <v>169</v>
      </c>
      <c r="D803" s="32" t="s">
        <v>4</v>
      </c>
      <c r="E803" s="32" t="s">
        <v>453</v>
      </c>
      <c r="F803" s="32" cm="1">
        <f t="array" aca="1" ref="F803" ca="1">IF(Table3[[#This Row],[Stage]]="Closed",0,IF(IFERROR(
  IF(
    COUNTIF(A$2:A$1997, A803) &gt; 1,
    MIN(IF(A$2:A$1997=A803, IF(B$2:B$1997&gt;B803, B$2:B$1997))) - B803,
    TODAY() - Table3[[#This Row],[Date of Update]]
  ),
  TODAY()-Table3[[#This Row],[Date of Update]]
)&lt;=0,
TODAY()-Table3[[#This Row],[Date of Update]],
IFERROR(
  IF(
    COUNTIF(A$2:A$1997, A803) &gt; 1,
    MIN(IF(A$2:A$1997=A803, IF(B$2:B$1997&gt;B803, B$2:B$1997))) - B803,
    TODAY() - Table3[[#This Row],[Date of Update]]
  ),
  TODAY()-Table3[[#This Row],[Date of Update]]
)))</f>
        <v>0</v>
      </c>
      <c r="G803" s="40">
        <f>IF(Table3[[#This Row],[Stage]]="Closed",Table3[[#This Row],[Date of Update]]-(_xlfn.MINIFS(Table3[Date of Update],Table3[Ref], Table3[[#This Row],[Ref]])),"")</f>
        <v>25</v>
      </c>
    </row>
    <row r="804" spans="1:7" x14ac:dyDescent="0.25">
      <c r="A804" s="39" t="s">
        <v>1434</v>
      </c>
      <c r="B804" s="33">
        <v>45355</v>
      </c>
      <c r="C804" s="32" t="s">
        <v>169</v>
      </c>
      <c r="D804" s="32" t="s">
        <v>4</v>
      </c>
      <c r="E804" s="32" t="s">
        <v>531</v>
      </c>
      <c r="F804" s="32" cm="1">
        <f t="array" aca="1" ref="F804" ca="1">IF(Table3[[#This Row],[Stage]]="Closed",0,IF(IFERROR(
  IF(
    COUNTIF(A$2:A$1997, A804) &gt; 1,
    MIN(IF(A$2:A$1997=A804, IF(B$2:B$1997&gt;B804, B$2:B$1997))) - B804,
    TODAY() - Table3[[#This Row],[Date of Update]]
  ),
  TODAY()-Table3[[#This Row],[Date of Update]]
)&lt;=0,
TODAY()-Table3[[#This Row],[Date of Update]],
IFERROR(
  IF(
    COUNTIF(A$2:A$1997, A804) &gt; 1,
    MIN(IF(A$2:A$1997=A804, IF(B$2:B$1997&gt;B804, B$2:B$1997))) - B804,
    TODAY() - Table3[[#This Row],[Date of Update]]
  ),
  TODAY()-Table3[[#This Row],[Date of Update]]
)))</f>
        <v>0</v>
      </c>
      <c r="G804" s="40">
        <f>IF(Table3[[#This Row],[Stage]]="Closed",Table3[[#This Row],[Date of Update]]-(_xlfn.MINIFS(Table3[Date of Update],Table3[Ref], Table3[[#This Row],[Ref]])),"")</f>
        <v>102</v>
      </c>
    </row>
    <row r="805" spans="1:7" x14ac:dyDescent="0.25">
      <c r="A805" s="39" t="s">
        <v>155</v>
      </c>
      <c r="B805" s="33">
        <v>45355</v>
      </c>
      <c r="C805" s="32" t="s">
        <v>23</v>
      </c>
      <c r="D805" s="32" t="s">
        <v>4</v>
      </c>
      <c r="E805" s="32" t="s">
        <v>188</v>
      </c>
      <c r="F805" s="32" cm="1">
        <f t="array" aca="1" ref="F805" ca="1">IF(Table3[[#This Row],[Stage]]="Closed",0,IF(IFERROR(
  IF(
    COUNTIF(A$2:A$1997, A805) &gt; 1,
    MIN(IF(A$2:A$1997=A805, IF(B$2:B$1997&gt;B805, B$2:B$1997))) - B805,
    TODAY() - Table3[[#This Row],[Date of Update]]
  ),
  TODAY()-Table3[[#This Row],[Date of Update]]
)&lt;=0,
TODAY()-Table3[[#This Row],[Date of Update]],
IFERROR(
  IF(
    COUNTIF(A$2:A$1997, A805) &gt; 1,
    MIN(IF(A$2:A$1997=A805, IF(B$2:B$1997&gt;B805, B$2:B$1997))) - B805,
    TODAY() - Table3[[#This Row],[Date of Update]]
  ),
  TODAY()-Table3[[#This Row],[Date of Update]]
)))</f>
        <v>1</v>
      </c>
      <c r="G805" s="40" t="str">
        <f>IF(Table3[[#This Row],[Stage]]="Closed",Table3[[#This Row],[Date of Update]]-(_xlfn.MINIFS(Table3[Date of Update],Table3[Ref], Table3[[#This Row],[Ref]])),"")</f>
        <v/>
      </c>
    </row>
    <row r="806" spans="1:7" x14ac:dyDescent="0.25">
      <c r="A806" s="39" t="s">
        <v>155</v>
      </c>
      <c r="B806" s="33">
        <v>45356</v>
      </c>
      <c r="C806" s="32" t="s">
        <v>23</v>
      </c>
      <c r="D806" s="32" t="s">
        <v>8</v>
      </c>
      <c r="E806" s="32" t="s">
        <v>188</v>
      </c>
      <c r="F806" s="32" cm="1">
        <f t="array" aca="1" ref="F806" ca="1">IF(Table3[[#This Row],[Stage]]="Closed",0,IF(IFERROR(
  IF(
    COUNTIF(A$2:A$1997, A806) &gt; 1,
    MIN(IF(A$2:A$1997=A806, IF(B$2:B$1997&gt;B806, B$2:B$1997))) - B806,
    TODAY() - Table3[[#This Row],[Date of Update]]
  ),
  TODAY()-Table3[[#This Row],[Date of Update]]
)&lt;=0,
TODAY()-Table3[[#This Row],[Date of Update]],
IFERROR(
  IF(
    COUNTIF(A$2:A$1997, A806) &gt; 1,
    MIN(IF(A$2:A$1997=A806, IF(B$2:B$1997&gt;B806, B$2:B$1997))) - B806,
    TODAY() - Table3[[#This Row],[Date of Update]]
  ),
  TODAY()-Table3[[#This Row],[Date of Update]]
)))</f>
        <v>74</v>
      </c>
      <c r="G806" s="40" t="str">
        <f>IF(Table3[[#This Row],[Stage]]="Closed",Table3[[#This Row],[Date of Update]]-(_xlfn.MINIFS(Table3[Date of Update],Table3[Ref], Table3[[#This Row],[Ref]])),"")</f>
        <v/>
      </c>
    </row>
    <row r="807" spans="1:7" x14ac:dyDescent="0.25">
      <c r="A807" s="39" t="s">
        <v>151</v>
      </c>
      <c r="B807" s="33">
        <v>45357</v>
      </c>
      <c r="C807" s="32" t="s">
        <v>166</v>
      </c>
      <c r="D807" s="32" t="s">
        <v>4</v>
      </c>
      <c r="E807" s="32" t="s">
        <v>171</v>
      </c>
      <c r="F807" s="32" cm="1">
        <f t="array" aca="1" ref="F807" ca="1">IF(Table3[[#This Row],[Stage]]="Closed",0,IF(IFERROR(
  IF(
    COUNTIF(A$2:A$1997, A807) &gt; 1,
    MIN(IF(A$2:A$1997=A807, IF(B$2:B$1997&gt;B807, B$2:B$1997))) - B807,
    TODAY() - Table3[[#This Row],[Date of Update]]
  ),
  TODAY()-Table3[[#This Row],[Date of Update]]
)&lt;=0,
TODAY()-Table3[[#This Row],[Date of Update]],
IFERROR(
  IF(
    COUNTIF(A$2:A$1997, A807) &gt; 1,
    MIN(IF(A$2:A$1997=A807, IF(B$2:B$1997&gt;B807, B$2:B$1997))) - B807,
    TODAY() - Table3[[#This Row],[Date of Update]]
  ),
  TODAY()-Table3[[#This Row],[Date of Update]]
)))</f>
        <v>6</v>
      </c>
      <c r="G807" s="40" t="str">
        <f>IF(Table3[[#This Row],[Stage]]="Closed",Table3[[#This Row],[Date of Update]]-(_xlfn.MINIFS(Table3[Date of Update],Table3[Ref], Table3[[#This Row],[Ref]])),"")</f>
        <v/>
      </c>
    </row>
    <row r="808" spans="1:7" x14ac:dyDescent="0.25">
      <c r="A808" s="39" t="s">
        <v>1447</v>
      </c>
      <c r="B808" s="33">
        <v>45357</v>
      </c>
      <c r="C808" s="32" t="s">
        <v>23</v>
      </c>
      <c r="D808" s="32" t="s">
        <v>4</v>
      </c>
      <c r="E808" s="32" t="s">
        <v>996</v>
      </c>
      <c r="F808" s="32" cm="1">
        <f t="array" aca="1" ref="F808" ca="1">IF(Table3[[#This Row],[Stage]]="Closed",0,IF(IFERROR(
  IF(
    COUNTIF(A$2:A$1997, A808) &gt; 1,
    MIN(IF(A$2:A$1997=A808, IF(B$2:B$1997&gt;B808, B$2:B$1997))) - B808,
    TODAY() - Table3[[#This Row],[Date of Update]]
  ),
  TODAY()-Table3[[#This Row],[Date of Update]]
)&lt;=0,
TODAY()-Table3[[#This Row],[Date of Update]],
IFERROR(
  IF(
    COUNTIF(A$2:A$1997, A808) &gt; 1,
    MIN(IF(A$2:A$1997=A808, IF(B$2:B$1997&gt;B808, B$2:B$1997))) - B808,
    TODAY() - Table3[[#This Row],[Date of Update]]
  ),
  TODAY()-Table3[[#This Row],[Date of Update]]
)))</f>
        <v>93</v>
      </c>
      <c r="G808" s="40" t="str">
        <f>IF(Table3[[#This Row],[Stage]]="Closed",Table3[[#This Row],[Date of Update]]-(_xlfn.MINIFS(Table3[Date of Update],Table3[Ref], Table3[[#This Row],[Ref]])),"")</f>
        <v/>
      </c>
    </row>
    <row r="809" spans="1:7" x14ac:dyDescent="0.25">
      <c r="A809" s="39" t="s">
        <v>1438</v>
      </c>
      <c r="B809" s="33">
        <v>45359</v>
      </c>
      <c r="C809" s="32" t="s">
        <v>23</v>
      </c>
      <c r="D809" s="32" t="s">
        <v>4</v>
      </c>
      <c r="E809" s="32" t="s">
        <v>814</v>
      </c>
      <c r="F809" s="32" cm="1">
        <f t="array" aca="1" ref="F809" ca="1">IF(Table3[[#This Row],[Stage]]="Closed",0,IF(IFERROR(
  IF(
    COUNTIF(A$2:A$1997, A809) &gt; 1,
    MIN(IF(A$2:A$1997=A809, IF(B$2:B$1997&gt;B809, B$2:B$1997))) - B809,
    TODAY() - Table3[[#This Row],[Date of Update]]
  ),
  TODAY()-Table3[[#This Row],[Date of Update]]
)&lt;=0,
TODAY()-Table3[[#This Row],[Date of Update]],
IFERROR(
  IF(
    COUNTIF(A$2:A$1997, A809) &gt; 1,
    MIN(IF(A$2:A$1997=A809, IF(B$2:B$1997&gt;B809, B$2:B$1997))) - B809,
    TODAY() - Table3[[#This Row],[Date of Update]]
  ),
  TODAY()-Table3[[#This Row],[Date of Update]]
)))</f>
        <v>27</v>
      </c>
      <c r="G809" s="40" t="str">
        <f>IF(Table3[[#This Row],[Stage]]="Closed",Table3[[#This Row],[Date of Update]]-(_xlfn.MINIFS(Table3[Date of Update],Table3[Ref], Table3[[#This Row],[Ref]])),"")</f>
        <v/>
      </c>
    </row>
    <row r="810" spans="1:7" x14ac:dyDescent="0.25">
      <c r="A810" s="39" t="s">
        <v>1435</v>
      </c>
      <c r="B810" s="33">
        <v>45359</v>
      </c>
      <c r="C810" s="32" t="s">
        <v>169</v>
      </c>
      <c r="D810" s="32" t="s">
        <v>4</v>
      </c>
      <c r="E810" s="32" t="s">
        <v>973</v>
      </c>
      <c r="F810" s="32" cm="1">
        <f t="array" aca="1" ref="F810" ca="1">IF(Table3[[#This Row],[Stage]]="Closed",0,IF(IFERROR(
  IF(
    COUNTIF(A$2:A$1997, A810) &gt; 1,
    MIN(IF(A$2:A$1997=A810, IF(B$2:B$1997&gt;B810, B$2:B$1997))) - B810,
    TODAY() - Table3[[#This Row],[Date of Update]]
  ),
  TODAY()-Table3[[#This Row],[Date of Update]]
)&lt;=0,
TODAY()-Table3[[#This Row],[Date of Update]],
IFERROR(
  IF(
    COUNTIF(A$2:A$1997, A810) &gt; 1,
    MIN(IF(A$2:A$1997=A810, IF(B$2:B$1997&gt;B810, B$2:B$1997))) - B810,
    TODAY() - Table3[[#This Row],[Date of Update]]
  ),
  TODAY()-Table3[[#This Row],[Date of Update]]
)))</f>
        <v>0</v>
      </c>
      <c r="G810" s="40">
        <f>IF(Table3[[#This Row],[Stage]]="Closed",Table3[[#This Row],[Date of Update]]-(_xlfn.MINIFS(Table3[Date of Update],Table3[Ref], Table3[[#This Row],[Ref]])),"")</f>
        <v>10</v>
      </c>
    </row>
    <row r="811" spans="1:7" x14ac:dyDescent="0.25">
      <c r="A811" s="39" t="s">
        <v>1527</v>
      </c>
      <c r="B811" s="33">
        <v>45359</v>
      </c>
      <c r="C811" s="32" t="s">
        <v>169</v>
      </c>
      <c r="D811" s="32" t="s">
        <v>4</v>
      </c>
      <c r="E811" s="32" t="s">
        <v>531</v>
      </c>
      <c r="F811" s="32" cm="1">
        <f t="array" aca="1" ref="F811" ca="1">IF(Table3[[#This Row],[Stage]]="Closed",0,IF(IFERROR(
  IF(
    COUNTIF(A$2:A$1997, A811) &gt; 1,
    MIN(IF(A$2:A$1997=A811, IF(B$2:B$1997&gt;B811, B$2:B$1997))) - B811,
    TODAY() - Table3[[#This Row],[Date of Update]]
  ),
  TODAY()-Table3[[#This Row],[Date of Update]]
)&lt;=0,
TODAY()-Table3[[#This Row],[Date of Update]],
IFERROR(
  IF(
    COUNTIF(A$2:A$1997, A811) &gt; 1,
    MIN(IF(A$2:A$1997=A811, IF(B$2:B$1997&gt;B811, B$2:B$1997))) - B811,
    TODAY() - Table3[[#This Row],[Date of Update]]
  ),
  TODAY()-Table3[[#This Row],[Date of Update]]
)))</f>
        <v>0</v>
      </c>
      <c r="G811" s="40">
        <f>IF(Table3[[#This Row],[Stage]]="Closed",Table3[[#This Row],[Date of Update]]-(_xlfn.MINIFS(Table3[Date of Update],Table3[Ref], Table3[[#This Row],[Ref]])),"")</f>
        <v>10</v>
      </c>
    </row>
    <row r="812" spans="1:7" x14ac:dyDescent="0.25">
      <c r="A812" s="39" t="s">
        <v>1445</v>
      </c>
      <c r="B812" s="33">
        <v>45359</v>
      </c>
      <c r="C812" s="32" t="s">
        <v>23</v>
      </c>
      <c r="D812" s="32" t="s">
        <v>4</v>
      </c>
      <c r="E812" s="32" t="s">
        <v>453</v>
      </c>
      <c r="F812" s="32" cm="1">
        <f t="array" aca="1" ref="F812" ca="1">IF(Table3[[#This Row],[Stage]]="Closed",0,IF(IFERROR(
  IF(
    COUNTIF(A$2:A$1997, A812) &gt; 1,
    MIN(IF(A$2:A$1997=A812, IF(B$2:B$1997&gt;B812, B$2:B$1997))) - B812,
    TODAY() - Table3[[#This Row],[Date of Update]]
  ),
  TODAY()-Table3[[#This Row],[Date of Update]]
)&lt;=0,
TODAY()-Table3[[#This Row],[Date of Update]],
IFERROR(
  IF(
    COUNTIF(A$2:A$1997, A812) &gt; 1,
    MIN(IF(A$2:A$1997=A812, IF(B$2:B$1997&gt;B812, B$2:B$1997))) - B812,
    TODAY() - Table3[[#This Row],[Date of Update]]
  ),
  TODAY()-Table3[[#This Row],[Date of Update]]
)))</f>
        <v>61</v>
      </c>
      <c r="G812" s="40" t="str">
        <f>IF(Table3[[#This Row],[Stage]]="Closed",Table3[[#This Row],[Date of Update]]-(_xlfn.MINIFS(Table3[Date of Update],Table3[Ref], Table3[[#This Row],[Ref]])),"")</f>
        <v/>
      </c>
    </row>
    <row r="813" spans="1:7" x14ac:dyDescent="0.25">
      <c r="A813" s="39" t="s">
        <v>151</v>
      </c>
      <c r="B813" s="33">
        <v>45363</v>
      </c>
      <c r="C813" s="32" t="s">
        <v>167</v>
      </c>
      <c r="D813" s="32" t="s">
        <v>24</v>
      </c>
      <c r="E813" s="32" t="s">
        <v>175</v>
      </c>
      <c r="F813" s="32" cm="1">
        <f t="array" aca="1" ref="F813" ca="1">IF(Table3[[#This Row],[Stage]]="Closed",0,IF(IFERROR(
  IF(
    COUNTIF(A$2:A$1997, A813) &gt; 1,
    MIN(IF(A$2:A$1997=A813, IF(B$2:B$1997&gt;B813, B$2:B$1997))) - B813,
    TODAY() - Table3[[#This Row],[Date of Update]]
  ),
  TODAY()-Table3[[#This Row],[Date of Update]]
)&lt;=0,
TODAY()-Table3[[#This Row],[Date of Update]],
IFERROR(
  IF(
    COUNTIF(A$2:A$1997, A813) &gt; 1,
    MIN(IF(A$2:A$1997=A813, IF(B$2:B$1997&gt;B813, B$2:B$1997))) - B813,
    TODAY() - Table3[[#This Row],[Date of Update]]
  ),
  TODAY()-Table3[[#This Row],[Date of Update]]
)))</f>
        <v>372</v>
      </c>
      <c r="G813" s="40" t="str">
        <f>IF(Table3[[#This Row],[Stage]]="Closed",Table3[[#This Row],[Date of Update]]-(_xlfn.MINIFS(Table3[Date of Update],Table3[Ref], Table3[[#This Row],[Ref]])),"")</f>
        <v/>
      </c>
    </row>
    <row r="814" spans="1:7" x14ac:dyDescent="0.25">
      <c r="A814" s="39" t="s">
        <v>1436</v>
      </c>
      <c r="B814" s="33">
        <v>45364</v>
      </c>
      <c r="C814" s="32" t="s">
        <v>169</v>
      </c>
      <c r="D814" s="32" t="s">
        <v>4</v>
      </c>
      <c r="E814" s="32" t="s">
        <v>453</v>
      </c>
      <c r="F814" s="32" cm="1">
        <f t="array" aca="1" ref="F814" ca="1">IF(Table3[[#This Row],[Stage]]="Closed",0,IF(IFERROR(
  IF(
    COUNTIF(A$2:A$1997, A814) &gt; 1,
    MIN(IF(A$2:A$1997=A814, IF(B$2:B$1997&gt;B814, B$2:B$1997))) - B814,
    TODAY() - Table3[[#This Row],[Date of Update]]
  ),
  TODAY()-Table3[[#This Row],[Date of Update]]
)&lt;=0,
TODAY()-Table3[[#This Row],[Date of Update]],
IFERROR(
  IF(
    COUNTIF(A$2:A$1997, A814) &gt; 1,
    MIN(IF(A$2:A$1997=A814, IF(B$2:B$1997&gt;B814, B$2:B$1997))) - B814,
    TODAY() - Table3[[#This Row],[Date of Update]]
  ),
  TODAY()-Table3[[#This Row],[Date of Update]]
)))</f>
        <v>0</v>
      </c>
      <c r="G814" s="40">
        <f>IF(Table3[[#This Row],[Stage]]="Closed",Table3[[#This Row],[Date of Update]]-(_xlfn.MINIFS(Table3[Date of Update],Table3[Ref], Table3[[#This Row],[Ref]])),"")</f>
        <v>63</v>
      </c>
    </row>
    <row r="815" spans="1:7" x14ac:dyDescent="0.25">
      <c r="A815" s="39" t="s">
        <v>156</v>
      </c>
      <c r="B815" s="33">
        <v>45365</v>
      </c>
      <c r="C815" s="32" t="s">
        <v>23</v>
      </c>
      <c r="D815" s="32" t="s">
        <v>4</v>
      </c>
      <c r="E815" s="32" t="s">
        <v>191</v>
      </c>
      <c r="F815" s="32" cm="1">
        <f t="array" aca="1" ref="F815" ca="1">IF(Table3[[#This Row],[Stage]]="Closed",0,IF(IFERROR(
  IF(
    COUNTIF(A$2:A$1997, A815) &gt; 1,
    MIN(IF(A$2:A$1997=A815, IF(B$2:B$1997&gt;B815, B$2:B$1997))) - B815,
    TODAY() - Table3[[#This Row],[Date of Update]]
  ),
  TODAY()-Table3[[#This Row],[Date of Update]]
)&lt;=0,
TODAY()-Table3[[#This Row],[Date of Update]],
IFERROR(
  IF(
    COUNTIF(A$2:A$1997, A815) &gt; 1,
    MIN(IF(A$2:A$1997=A815, IF(B$2:B$1997&gt;B815, B$2:B$1997))) - B815,
    TODAY() - Table3[[#This Row],[Date of Update]]
  ),
  TODAY()-Table3[[#This Row],[Date of Update]]
)))</f>
        <v>4</v>
      </c>
      <c r="G815" s="40" t="str">
        <f>IF(Table3[[#This Row],[Stage]]="Closed",Table3[[#This Row],[Date of Update]]-(_xlfn.MINIFS(Table3[Date of Update],Table3[Ref], Table3[[#This Row],[Ref]])),"")</f>
        <v/>
      </c>
    </row>
    <row r="816" spans="1:7" x14ac:dyDescent="0.25">
      <c r="A816" s="39" t="s">
        <v>1444</v>
      </c>
      <c r="B816" s="33">
        <v>45369</v>
      </c>
      <c r="C816" s="32" t="s">
        <v>169</v>
      </c>
      <c r="D816" s="32" t="s">
        <v>4</v>
      </c>
      <c r="E816" s="32" t="s">
        <v>991</v>
      </c>
      <c r="F816" s="32" cm="1">
        <f t="array" aca="1" ref="F816" ca="1">IF(Table3[[#This Row],[Stage]]="Closed",0,IF(IFERROR(
  IF(
    COUNTIF(A$2:A$1997, A816) &gt; 1,
    MIN(IF(A$2:A$1997=A816, IF(B$2:B$1997&gt;B816, B$2:B$1997))) - B816,
    TODAY() - Table3[[#This Row],[Date of Update]]
  ),
  TODAY()-Table3[[#This Row],[Date of Update]]
)&lt;=0,
TODAY()-Table3[[#This Row],[Date of Update]],
IFERROR(
  IF(
    COUNTIF(A$2:A$1997, A816) &gt; 1,
    MIN(IF(A$2:A$1997=A816, IF(B$2:B$1997&gt;B816, B$2:B$1997))) - B816,
    TODAY() - Table3[[#This Row],[Date of Update]]
  ),
  TODAY()-Table3[[#This Row],[Date of Update]]
)))</f>
        <v>0</v>
      </c>
      <c r="G816" s="40">
        <f>IF(Table3[[#This Row],[Stage]]="Closed",Table3[[#This Row],[Date of Update]]-(_xlfn.MINIFS(Table3[Date of Update],Table3[Ref], Table3[[#This Row],[Ref]])),"")</f>
        <v>19</v>
      </c>
    </row>
    <row r="817" spans="1:7" x14ac:dyDescent="0.25">
      <c r="A817" s="39" t="s">
        <v>1450</v>
      </c>
      <c r="B817" s="33">
        <v>45369</v>
      </c>
      <c r="C817" s="32" t="s">
        <v>23</v>
      </c>
      <c r="D817" s="32" t="s">
        <v>4</v>
      </c>
      <c r="E817" s="32" t="s">
        <v>1002</v>
      </c>
      <c r="F817" s="32" cm="1">
        <f t="array" aca="1" ref="F817" ca="1">IF(Table3[[#This Row],[Stage]]="Closed",0,IF(IFERROR(
  IF(
    COUNTIF(A$2:A$1997, A817) &gt; 1,
    MIN(IF(A$2:A$1997=A817, IF(B$2:B$1997&gt;B817, B$2:B$1997))) - B817,
    TODAY() - Table3[[#This Row],[Date of Update]]
  ),
  TODAY()-Table3[[#This Row],[Date of Update]]
)&lt;=0,
TODAY()-Table3[[#This Row],[Date of Update]],
IFERROR(
  IF(
    COUNTIF(A$2:A$1997, A817) &gt; 1,
    MIN(IF(A$2:A$1997=A817, IF(B$2:B$1997&gt;B817, B$2:B$1997))) - B817,
    TODAY() - Table3[[#This Row],[Date of Update]]
  ),
  TODAY()-Table3[[#This Row],[Date of Update]]
)))</f>
        <v>52</v>
      </c>
      <c r="G817" s="40" t="str">
        <f>IF(Table3[[#This Row],[Stage]]="Closed",Table3[[#This Row],[Date of Update]]-(_xlfn.MINIFS(Table3[Date of Update],Table3[Ref], Table3[[#This Row],[Ref]])),"")</f>
        <v/>
      </c>
    </row>
    <row r="818" spans="1:7" x14ac:dyDescent="0.25">
      <c r="A818" s="39" t="s">
        <v>156</v>
      </c>
      <c r="B818" s="33">
        <v>45369</v>
      </c>
      <c r="C818" s="32" t="s">
        <v>164</v>
      </c>
      <c r="D818" s="32" t="s">
        <v>8</v>
      </c>
      <c r="E818" s="32" t="s">
        <v>118</v>
      </c>
      <c r="F818" s="32" cm="1">
        <f t="array" aca="1" ref="F818" ca="1">IF(Table3[[#This Row],[Stage]]="Closed",0,IF(IFERROR(
  IF(
    COUNTIF(A$2:A$1997, A818) &gt; 1,
    MIN(IF(A$2:A$1997=A818, IF(B$2:B$1997&gt;B818, B$2:B$1997))) - B818,
    TODAY() - Table3[[#This Row],[Date of Update]]
  ),
  TODAY()-Table3[[#This Row],[Date of Update]]
)&lt;=0,
TODAY()-Table3[[#This Row],[Date of Update]],
IFERROR(
  IF(
    COUNTIF(A$2:A$1997, A818) &gt; 1,
    MIN(IF(A$2:A$1997=A818, IF(B$2:B$1997&gt;B818, B$2:B$1997))) - B818,
    TODAY() - Table3[[#This Row],[Date of Update]]
  ),
  TODAY()-Table3[[#This Row],[Date of Update]]
)))</f>
        <v>366</v>
      </c>
      <c r="G818" s="40" t="str">
        <f>IF(Table3[[#This Row],[Stage]]="Closed",Table3[[#This Row],[Date of Update]]-(_xlfn.MINIFS(Table3[Date of Update],Table3[Ref], Table3[[#This Row],[Ref]])),"")</f>
        <v/>
      </c>
    </row>
    <row r="819" spans="1:7" x14ac:dyDescent="0.25">
      <c r="A819" s="39" t="s">
        <v>1504</v>
      </c>
      <c r="B819" s="33">
        <v>45370</v>
      </c>
      <c r="C819" s="32" t="s">
        <v>23</v>
      </c>
      <c r="D819" s="32" t="s">
        <v>4</v>
      </c>
      <c r="E819" s="32" t="s">
        <v>1005</v>
      </c>
      <c r="F819" s="32" cm="1">
        <f t="array" aca="1" ref="F819" ca="1">IF(Table3[[#This Row],[Stage]]="Closed",0,IF(IFERROR(
  IF(
    COUNTIF(A$2:A$1997, A819) &gt; 1,
    MIN(IF(A$2:A$1997=A819, IF(B$2:B$1997&gt;B819, B$2:B$1997))) - B819,
    TODAY() - Table3[[#This Row],[Date of Update]]
  ),
  TODAY()-Table3[[#This Row],[Date of Update]]
)&lt;=0,
TODAY()-Table3[[#This Row],[Date of Update]],
IFERROR(
  IF(
    COUNTIF(A$2:A$1997, A819) &gt; 1,
    MIN(IF(A$2:A$1997=A819, IF(B$2:B$1997&gt;B819, B$2:B$1997))) - B819,
    TODAY() - Table3[[#This Row],[Date of Update]]
  ),
  TODAY()-Table3[[#This Row],[Date of Update]]
)))</f>
        <v>44</v>
      </c>
      <c r="G819" s="40" t="str">
        <f>IF(Table3[[#This Row],[Stage]]="Closed",Table3[[#This Row],[Date of Update]]-(_xlfn.MINIFS(Table3[Date of Update],Table3[Ref], Table3[[#This Row],[Ref]])),"")</f>
        <v/>
      </c>
    </row>
    <row r="820" spans="1:7" x14ac:dyDescent="0.25">
      <c r="A820" s="39" t="s">
        <v>1505</v>
      </c>
      <c r="B820" s="33">
        <v>45370</v>
      </c>
      <c r="C820" s="32" t="s">
        <v>23</v>
      </c>
      <c r="D820" s="32" t="s">
        <v>4</v>
      </c>
      <c r="E820" s="32" t="s">
        <v>1005</v>
      </c>
      <c r="F820" s="32" cm="1">
        <f t="array" aca="1" ref="F820" ca="1">IF(Table3[[#This Row],[Stage]]="Closed",0,IF(IFERROR(
  IF(
    COUNTIF(A$2:A$1997, A820) &gt; 1,
    MIN(IF(A$2:A$1997=A820, IF(B$2:B$1997&gt;B820, B$2:B$1997))) - B820,
    TODAY() - Table3[[#This Row],[Date of Update]]
  ),
  TODAY()-Table3[[#This Row],[Date of Update]]
)&lt;=0,
TODAY()-Table3[[#This Row],[Date of Update]],
IFERROR(
  IF(
    COUNTIF(A$2:A$1997, A820) &gt; 1,
    MIN(IF(A$2:A$1997=A820, IF(B$2:B$1997&gt;B820, B$2:B$1997))) - B820,
    TODAY() - Table3[[#This Row],[Date of Update]]
  ),
  TODAY()-Table3[[#This Row],[Date of Update]]
)))</f>
        <v>44</v>
      </c>
      <c r="G820" s="40" t="str">
        <f>IF(Table3[[#This Row],[Stage]]="Closed",Table3[[#This Row],[Date of Update]]-(_xlfn.MINIFS(Table3[Date of Update],Table3[Ref], Table3[[#This Row],[Ref]])),"")</f>
        <v/>
      </c>
    </row>
    <row r="821" spans="1:7" x14ac:dyDescent="0.25">
      <c r="A821" s="39" t="s">
        <v>1506</v>
      </c>
      <c r="B821" s="33">
        <v>45370</v>
      </c>
      <c r="C821" s="32" t="s">
        <v>23</v>
      </c>
      <c r="D821" s="32" t="s">
        <v>4</v>
      </c>
      <c r="E821" s="32" t="s">
        <v>1005</v>
      </c>
      <c r="F821" s="32" cm="1">
        <f t="array" aca="1" ref="F821" ca="1">IF(Table3[[#This Row],[Stage]]="Closed",0,IF(IFERROR(
  IF(
    COUNTIF(A$2:A$1997, A821) &gt; 1,
    MIN(IF(A$2:A$1997=A821, IF(B$2:B$1997&gt;B821, B$2:B$1997))) - B821,
    TODAY() - Table3[[#This Row],[Date of Update]]
  ),
  TODAY()-Table3[[#This Row],[Date of Update]]
)&lt;=0,
TODAY()-Table3[[#This Row],[Date of Update]],
IFERROR(
  IF(
    COUNTIF(A$2:A$1997, A821) &gt; 1,
    MIN(IF(A$2:A$1997=A821, IF(B$2:B$1997&gt;B821, B$2:B$1997))) - B821,
    TODAY() - Table3[[#This Row],[Date of Update]]
  ),
  TODAY()-Table3[[#This Row],[Date of Update]]
)))</f>
        <v>44</v>
      </c>
      <c r="G821" s="40" t="str">
        <f>IF(Table3[[#This Row],[Stage]]="Closed",Table3[[#This Row],[Date of Update]]-(_xlfn.MINIFS(Table3[Date of Update],Table3[Ref], Table3[[#This Row],[Ref]])),"")</f>
        <v/>
      </c>
    </row>
    <row r="822" spans="1:7" x14ac:dyDescent="0.25">
      <c r="A822" s="39" t="s">
        <v>1507</v>
      </c>
      <c r="B822" s="33">
        <v>45370</v>
      </c>
      <c r="C822" s="32" t="s">
        <v>23</v>
      </c>
      <c r="D822" s="32" t="s">
        <v>4</v>
      </c>
      <c r="E822" s="32" t="s">
        <v>1005</v>
      </c>
      <c r="F822" s="32" cm="1">
        <f t="array" aca="1" ref="F822" ca="1">IF(Table3[[#This Row],[Stage]]="Closed",0,IF(IFERROR(
  IF(
    COUNTIF(A$2:A$1997, A822) &gt; 1,
    MIN(IF(A$2:A$1997=A822, IF(B$2:B$1997&gt;B822, B$2:B$1997))) - B822,
    TODAY() - Table3[[#This Row],[Date of Update]]
  ),
  TODAY()-Table3[[#This Row],[Date of Update]]
)&lt;=0,
TODAY()-Table3[[#This Row],[Date of Update]],
IFERROR(
  IF(
    COUNTIF(A$2:A$1997, A822) &gt; 1,
    MIN(IF(A$2:A$1997=A822, IF(B$2:B$1997&gt;B822, B$2:B$1997))) - B822,
    TODAY() - Table3[[#This Row],[Date of Update]]
  ),
  TODAY()-Table3[[#This Row],[Date of Update]]
)))</f>
        <v>44</v>
      </c>
      <c r="G822" s="40" t="str">
        <f>IF(Table3[[#This Row],[Stage]]="Closed",Table3[[#This Row],[Date of Update]]-(_xlfn.MINIFS(Table3[Date of Update],Table3[Ref], Table3[[#This Row],[Ref]])),"")</f>
        <v/>
      </c>
    </row>
    <row r="823" spans="1:7" x14ac:dyDescent="0.25">
      <c r="A823" s="39" t="s">
        <v>1437</v>
      </c>
      <c r="B823" s="33">
        <v>45373</v>
      </c>
      <c r="C823" s="32" t="s">
        <v>169</v>
      </c>
      <c r="D823" s="32" t="s">
        <v>4</v>
      </c>
      <c r="E823" s="32" t="s">
        <v>977</v>
      </c>
      <c r="F823" s="32" cm="1">
        <f t="array" aca="1" ref="F823" ca="1">IF(Table3[[#This Row],[Stage]]="Closed",0,IF(IFERROR(
  IF(
    COUNTIF(A$2:A$1997, A823) &gt; 1,
    MIN(IF(A$2:A$1997=A823, IF(B$2:B$1997&gt;B823, B$2:B$1997))) - B823,
    TODAY() - Table3[[#This Row],[Date of Update]]
  ),
  TODAY()-Table3[[#This Row],[Date of Update]]
)&lt;=0,
TODAY()-Table3[[#This Row],[Date of Update]],
IFERROR(
  IF(
    COUNTIF(A$2:A$1997, A823) &gt; 1,
    MIN(IF(A$2:A$1997=A823, IF(B$2:B$1997&gt;B823, B$2:B$1997))) - B823,
    TODAY() - Table3[[#This Row],[Date of Update]]
  ),
  TODAY()-Table3[[#This Row],[Date of Update]]
)))</f>
        <v>0</v>
      </c>
      <c r="G823" s="40">
        <f>IF(Table3[[#This Row],[Stage]]="Closed",Table3[[#This Row],[Date of Update]]-(_xlfn.MINIFS(Table3[Date of Update],Table3[Ref], Table3[[#This Row],[Ref]])),"")</f>
        <v>35</v>
      </c>
    </row>
    <row r="824" spans="1:7" x14ac:dyDescent="0.25">
      <c r="A824" s="39" t="s">
        <v>1440</v>
      </c>
      <c r="B824" s="33">
        <v>45379</v>
      </c>
      <c r="C824" s="32" t="s">
        <v>23</v>
      </c>
      <c r="D824" s="32" t="s">
        <v>4</v>
      </c>
      <c r="E824" s="32" t="s">
        <v>88</v>
      </c>
      <c r="F824" s="32" cm="1">
        <f t="array" aca="1" ref="F824" ca="1">IF(Table3[[#This Row],[Stage]]="Closed",0,IF(IFERROR(
  IF(
    COUNTIF(A$2:A$1997, A824) &gt; 1,
    MIN(IF(A$2:A$1997=A824, IF(B$2:B$1997&gt;B824, B$2:B$1997))) - B824,
    TODAY() - Table3[[#This Row],[Date of Update]]
  ),
  TODAY()-Table3[[#This Row],[Date of Update]]
)&lt;=0,
TODAY()-Table3[[#This Row],[Date of Update]],
IFERROR(
  IF(
    COUNTIF(A$2:A$1997, A824) &gt; 1,
    MIN(IF(A$2:A$1997=A824, IF(B$2:B$1997&gt;B824, B$2:B$1997))) - B824,
    TODAY() - Table3[[#This Row],[Date of Update]]
  ),
  TODAY()-Table3[[#This Row],[Date of Update]]
)))</f>
        <v>8</v>
      </c>
      <c r="G824" s="40" t="str">
        <f>IF(Table3[[#This Row],[Stage]]="Closed",Table3[[#This Row],[Date of Update]]-(_xlfn.MINIFS(Table3[Date of Update],Table3[Ref], Table3[[#This Row],[Ref]])),"")</f>
        <v/>
      </c>
    </row>
    <row r="825" spans="1:7" x14ac:dyDescent="0.25">
      <c r="A825" s="39" t="s">
        <v>1438</v>
      </c>
      <c r="B825" s="33">
        <v>45386</v>
      </c>
      <c r="C825" s="32" t="s">
        <v>169</v>
      </c>
      <c r="D825" s="32" t="s">
        <v>4</v>
      </c>
      <c r="E825" s="32" t="s">
        <v>814</v>
      </c>
      <c r="F825" s="32" cm="1">
        <f t="array" aca="1" ref="F825" ca="1">IF(Table3[[#This Row],[Stage]]="Closed",0,IF(IFERROR(
  IF(
    COUNTIF(A$2:A$1997, A825) &gt; 1,
    MIN(IF(A$2:A$1997=A825, IF(B$2:B$1997&gt;B825, B$2:B$1997))) - B825,
    TODAY() - Table3[[#This Row],[Date of Update]]
  ),
  TODAY()-Table3[[#This Row],[Date of Update]]
)&lt;=0,
TODAY()-Table3[[#This Row],[Date of Update]],
IFERROR(
  IF(
    COUNTIF(A$2:A$1997, A825) &gt; 1,
    MIN(IF(A$2:A$1997=A825, IF(B$2:B$1997&gt;B825, B$2:B$1997))) - B825,
    TODAY() - Table3[[#This Row],[Date of Update]]
  ),
  TODAY()-Table3[[#This Row],[Date of Update]]
)))</f>
        <v>0</v>
      </c>
      <c r="G825" s="40">
        <f>IF(Table3[[#This Row],[Stage]]="Closed",Table3[[#This Row],[Date of Update]]-(_xlfn.MINIFS(Table3[Date of Update],Table3[Ref], Table3[[#This Row],[Ref]])),"")</f>
        <v>27</v>
      </c>
    </row>
    <row r="826" spans="1:7" x14ac:dyDescent="0.25">
      <c r="A826" s="39" t="s">
        <v>1440</v>
      </c>
      <c r="B826" s="33">
        <v>45387</v>
      </c>
      <c r="C826" s="32" t="s">
        <v>169</v>
      </c>
      <c r="D826" s="32" t="s">
        <v>4</v>
      </c>
      <c r="E826" s="32" t="s">
        <v>88</v>
      </c>
      <c r="F826" s="32" cm="1">
        <f t="array" aca="1" ref="F826" ca="1">IF(Table3[[#This Row],[Stage]]="Closed",0,IF(IFERROR(
  IF(
    COUNTIF(A$2:A$1997, A826) &gt; 1,
    MIN(IF(A$2:A$1997=A826, IF(B$2:B$1997&gt;B826, B$2:B$1997))) - B826,
    TODAY() - Table3[[#This Row],[Date of Update]]
  ),
  TODAY()-Table3[[#This Row],[Date of Update]]
)&lt;=0,
TODAY()-Table3[[#This Row],[Date of Update]],
IFERROR(
  IF(
    COUNTIF(A$2:A$1997, A826) &gt; 1,
    MIN(IF(A$2:A$1997=A826, IF(B$2:B$1997&gt;B826, B$2:B$1997))) - B826,
    TODAY() - Table3[[#This Row],[Date of Update]]
  ),
  TODAY()-Table3[[#This Row],[Date of Update]]
)))</f>
        <v>0</v>
      </c>
      <c r="G826" s="40">
        <f>IF(Table3[[#This Row],[Stage]]="Closed",Table3[[#This Row],[Date of Update]]-(_xlfn.MINIFS(Table3[Date of Update],Table3[Ref], Table3[[#This Row],[Ref]])),"")</f>
        <v>8</v>
      </c>
    </row>
    <row r="827" spans="1:7" x14ac:dyDescent="0.25">
      <c r="A827" s="39" t="s">
        <v>1439</v>
      </c>
      <c r="B827" s="33">
        <v>45387</v>
      </c>
      <c r="C827" s="32" t="s">
        <v>169</v>
      </c>
      <c r="D827" s="32" t="s">
        <v>4</v>
      </c>
      <c r="E827" s="32" t="s">
        <v>980</v>
      </c>
      <c r="F827" s="32" cm="1">
        <f t="array" aca="1" ref="F827" ca="1">IF(Table3[[#This Row],[Stage]]="Closed",0,IF(IFERROR(
  IF(
    COUNTIF(A$2:A$1997, A827) &gt; 1,
    MIN(IF(A$2:A$1997=A827, IF(B$2:B$1997&gt;B827, B$2:B$1997))) - B827,
    TODAY() - Table3[[#This Row],[Date of Update]]
  ),
  TODAY()-Table3[[#This Row],[Date of Update]]
)&lt;=0,
TODAY()-Table3[[#This Row],[Date of Update]],
IFERROR(
  IF(
    COUNTIF(A$2:A$1997, A827) &gt; 1,
    MIN(IF(A$2:A$1997=A827, IF(B$2:B$1997&gt;B827, B$2:B$1997))) - B827,
    TODAY() - Table3[[#This Row],[Date of Update]]
  ),
  TODAY()-Table3[[#This Row],[Date of Update]]
)))</f>
        <v>0</v>
      </c>
      <c r="G827" s="40">
        <f>IF(Table3[[#This Row],[Stage]]="Closed",Table3[[#This Row],[Date of Update]]-(_xlfn.MINIFS(Table3[Date of Update],Table3[Ref], Table3[[#This Row],[Ref]])),"")</f>
        <v>255</v>
      </c>
    </row>
    <row r="828" spans="1:7" x14ac:dyDescent="0.25">
      <c r="A828" s="39" t="s">
        <v>1441</v>
      </c>
      <c r="B828" s="33">
        <v>45397</v>
      </c>
      <c r="C828" s="32" t="s">
        <v>169</v>
      </c>
      <c r="D828" s="32" t="s">
        <v>4</v>
      </c>
      <c r="E828" s="32" t="s">
        <v>982</v>
      </c>
      <c r="F828" s="32" cm="1">
        <f t="array" aca="1" ref="F828" ca="1">IF(Table3[[#This Row],[Stage]]="Closed",0,IF(IFERROR(
  IF(
    COUNTIF(A$2:A$1997, A828) &gt; 1,
    MIN(IF(A$2:A$1997=A828, IF(B$2:B$1997&gt;B828, B$2:B$1997))) - B828,
    TODAY() - Table3[[#This Row],[Date of Update]]
  ),
  TODAY()-Table3[[#This Row],[Date of Update]]
)&lt;=0,
TODAY()-Table3[[#This Row],[Date of Update]],
IFERROR(
  IF(
    COUNTIF(A$2:A$1997, A828) &gt; 1,
    MIN(IF(A$2:A$1997=A828, IF(B$2:B$1997&gt;B828, B$2:B$1997))) - B828,
    TODAY() - Table3[[#This Row],[Date of Update]]
  ),
  TODAY()-Table3[[#This Row],[Date of Update]]
)))</f>
        <v>0</v>
      </c>
      <c r="G828" s="40">
        <f>IF(Table3[[#This Row],[Stage]]="Closed",Table3[[#This Row],[Date of Update]]-(_xlfn.MINIFS(Table3[Date of Update],Table3[Ref], Table3[[#This Row],[Ref]])),"")</f>
        <v>59</v>
      </c>
    </row>
    <row r="829" spans="1:7" x14ac:dyDescent="0.25">
      <c r="A829" s="39" t="s">
        <v>1442</v>
      </c>
      <c r="B829" s="33">
        <v>45398</v>
      </c>
      <c r="C829" s="32" t="s">
        <v>169</v>
      </c>
      <c r="D829" s="32" t="s">
        <v>4</v>
      </c>
      <c r="E829" s="32" t="s">
        <v>986</v>
      </c>
      <c r="F829" s="32" cm="1">
        <f t="array" aca="1" ref="F829" ca="1">IF(Table3[[#This Row],[Stage]]="Closed",0,IF(IFERROR(
  IF(
    COUNTIF(A$2:A$1997, A829) &gt; 1,
    MIN(IF(A$2:A$1997=A829, IF(B$2:B$1997&gt;B829, B$2:B$1997))) - B829,
    TODAY() - Table3[[#This Row],[Date of Update]]
  ),
  TODAY()-Table3[[#This Row],[Date of Update]]
)&lt;=0,
TODAY()-Table3[[#This Row],[Date of Update]],
IFERROR(
  IF(
    COUNTIF(A$2:A$1997, A829) &gt; 1,
    MIN(IF(A$2:A$1997=A829, IF(B$2:B$1997&gt;B829, B$2:B$1997))) - B829,
    TODAY() - Table3[[#This Row],[Date of Update]]
  ),
  TODAY()-Table3[[#This Row],[Date of Update]]
)))</f>
        <v>0</v>
      </c>
      <c r="G829" s="40">
        <f>IF(Table3[[#This Row],[Stage]]="Closed",Table3[[#This Row],[Date of Update]]-(_xlfn.MINIFS(Table3[Date of Update],Table3[Ref], Table3[[#This Row],[Ref]])),"")</f>
        <v>49</v>
      </c>
    </row>
    <row r="830" spans="1:7" x14ac:dyDescent="0.25">
      <c r="A830" s="39" t="s">
        <v>154</v>
      </c>
      <c r="B830" s="33">
        <v>45399</v>
      </c>
      <c r="C830" s="32" t="s">
        <v>166</v>
      </c>
      <c r="D830" s="32" t="s">
        <v>24</v>
      </c>
      <c r="E830" s="32" t="s">
        <v>182</v>
      </c>
      <c r="F830" s="32" cm="1">
        <f t="array" aca="1" ref="F830" ca="1">IF(Table3[[#This Row],[Stage]]="Closed",0,IF(IFERROR(
  IF(
    COUNTIF(A$2:A$1997, A830) &gt; 1,
    MIN(IF(A$2:A$1997=A830, IF(B$2:B$1997&gt;B830, B$2:B$1997))) - B830,
    TODAY() - Table3[[#This Row],[Date of Update]]
  ),
  TODAY()-Table3[[#This Row],[Date of Update]]
)&lt;=0,
TODAY()-Table3[[#This Row],[Date of Update]],
IFERROR(
  IF(
    COUNTIF(A$2:A$1997, A830) &gt; 1,
    MIN(IF(A$2:A$1997=A830, IF(B$2:B$1997&gt;B830, B$2:B$1997))) - B830,
    TODAY() - Table3[[#This Row],[Date of Update]]
  ),
  TODAY()-Table3[[#This Row],[Date of Update]]
)))</f>
        <v>34</v>
      </c>
      <c r="G830" s="40" t="str">
        <f>IF(Table3[[#This Row],[Stage]]="Closed",Table3[[#This Row],[Date of Update]]-(_xlfn.MINIFS(Table3[Date of Update],Table3[Ref], Table3[[#This Row],[Ref]])),"")</f>
        <v/>
      </c>
    </row>
    <row r="831" spans="1:7" x14ac:dyDescent="0.25">
      <c r="A831" s="39" t="s">
        <v>1504</v>
      </c>
      <c r="B831" s="33">
        <v>45414</v>
      </c>
      <c r="C831" s="32" t="s">
        <v>169</v>
      </c>
      <c r="D831" s="32" t="s">
        <v>4</v>
      </c>
      <c r="E831" s="32" t="s">
        <v>1005</v>
      </c>
      <c r="F831" s="32" cm="1">
        <f t="array" aca="1" ref="F831" ca="1">IF(Table3[[#This Row],[Stage]]="Closed",0,IF(IFERROR(
  IF(
    COUNTIF(A$2:A$1997, A831) &gt; 1,
    MIN(IF(A$2:A$1997=A831, IF(B$2:B$1997&gt;B831, B$2:B$1997))) - B831,
    TODAY() - Table3[[#This Row],[Date of Update]]
  ),
  TODAY()-Table3[[#This Row],[Date of Update]]
)&lt;=0,
TODAY()-Table3[[#This Row],[Date of Update]],
IFERROR(
  IF(
    COUNTIF(A$2:A$1997, A831) &gt; 1,
    MIN(IF(A$2:A$1997=A831, IF(B$2:B$1997&gt;B831, B$2:B$1997))) - B831,
    TODAY() - Table3[[#This Row],[Date of Update]]
  ),
  TODAY()-Table3[[#This Row],[Date of Update]]
)))</f>
        <v>0</v>
      </c>
      <c r="G831" s="40">
        <f>IF(Table3[[#This Row],[Stage]]="Closed",Table3[[#This Row],[Date of Update]]-(_xlfn.MINIFS(Table3[Date of Update],Table3[Ref], Table3[[#This Row],[Ref]])),"")</f>
        <v>44</v>
      </c>
    </row>
    <row r="832" spans="1:7" x14ac:dyDescent="0.25">
      <c r="A832" s="39" t="s">
        <v>1505</v>
      </c>
      <c r="B832" s="33">
        <v>45414</v>
      </c>
      <c r="C832" s="32" t="s">
        <v>169</v>
      </c>
      <c r="D832" s="32" t="s">
        <v>4</v>
      </c>
      <c r="E832" s="32" t="s">
        <v>1005</v>
      </c>
      <c r="F832" s="32" cm="1">
        <f t="array" aca="1" ref="F832" ca="1">IF(Table3[[#This Row],[Stage]]="Closed",0,IF(IFERROR(
  IF(
    COUNTIF(A$2:A$1997, A832) &gt; 1,
    MIN(IF(A$2:A$1997=A832, IF(B$2:B$1997&gt;B832, B$2:B$1997))) - B832,
    TODAY() - Table3[[#This Row],[Date of Update]]
  ),
  TODAY()-Table3[[#This Row],[Date of Update]]
)&lt;=0,
TODAY()-Table3[[#This Row],[Date of Update]],
IFERROR(
  IF(
    COUNTIF(A$2:A$1997, A832) &gt; 1,
    MIN(IF(A$2:A$1997=A832, IF(B$2:B$1997&gt;B832, B$2:B$1997))) - B832,
    TODAY() - Table3[[#This Row],[Date of Update]]
  ),
  TODAY()-Table3[[#This Row],[Date of Update]]
)))</f>
        <v>0</v>
      </c>
      <c r="G832" s="40">
        <f>IF(Table3[[#This Row],[Stage]]="Closed",Table3[[#This Row],[Date of Update]]-(_xlfn.MINIFS(Table3[Date of Update],Table3[Ref], Table3[[#This Row],[Ref]])),"")</f>
        <v>44</v>
      </c>
    </row>
    <row r="833" spans="1:7" x14ac:dyDescent="0.25">
      <c r="A833" s="39" t="s">
        <v>1506</v>
      </c>
      <c r="B833" s="33">
        <v>45414</v>
      </c>
      <c r="C833" s="32" t="s">
        <v>169</v>
      </c>
      <c r="D833" s="32" t="s">
        <v>4</v>
      </c>
      <c r="E833" s="32" t="s">
        <v>1005</v>
      </c>
      <c r="F833" s="32" cm="1">
        <f t="array" aca="1" ref="F833" ca="1">IF(Table3[[#This Row],[Stage]]="Closed",0,IF(IFERROR(
  IF(
    COUNTIF(A$2:A$1997, A833) &gt; 1,
    MIN(IF(A$2:A$1997=A833, IF(B$2:B$1997&gt;B833, B$2:B$1997))) - B833,
    TODAY() - Table3[[#This Row],[Date of Update]]
  ),
  TODAY()-Table3[[#This Row],[Date of Update]]
)&lt;=0,
TODAY()-Table3[[#This Row],[Date of Update]],
IFERROR(
  IF(
    COUNTIF(A$2:A$1997, A833) &gt; 1,
    MIN(IF(A$2:A$1997=A833, IF(B$2:B$1997&gt;B833, B$2:B$1997))) - B833,
    TODAY() - Table3[[#This Row],[Date of Update]]
  ),
  TODAY()-Table3[[#This Row],[Date of Update]]
)))</f>
        <v>0</v>
      </c>
      <c r="G833" s="40">
        <f>IF(Table3[[#This Row],[Stage]]="Closed",Table3[[#This Row],[Date of Update]]-(_xlfn.MINIFS(Table3[Date of Update],Table3[Ref], Table3[[#This Row],[Ref]])),"")</f>
        <v>44</v>
      </c>
    </row>
    <row r="834" spans="1:7" x14ac:dyDescent="0.25">
      <c r="A834" s="39" t="s">
        <v>1507</v>
      </c>
      <c r="B834" s="33">
        <v>45414</v>
      </c>
      <c r="C834" s="32" t="s">
        <v>169</v>
      </c>
      <c r="D834" s="32" t="s">
        <v>4</v>
      </c>
      <c r="E834" s="32" t="s">
        <v>1005</v>
      </c>
      <c r="F834" s="32" cm="1">
        <f t="array" aca="1" ref="F834" ca="1">IF(Table3[[#This Row],[Stage]]="Closed",0,IF(IFERROR(
  IF(
    COUNTIF(A$2:A$1997, A834) &gt; 1,
    MIN(IF(A$2:A$1997=A834, IF(B$2:B$1997&gt;B834, B$2:B$1997))) - B834,
    TODAY() - Table3[[#This Row],[Date of Update]]
  ),
  TODAY()-Table3[[#This Row],[Date of Update]]
)&lt;=0,
TODAY()-Table3[[#This Row],[Date of Update]],
IFERROR(
  IF(
    COUNTIF(A$2:A$1997, A834) &gt; 1,
    MIN(IF(A$2:A$1997=A834, IF(B$2:B$1997&gt;B834, B$2:B$1997))) - B834,
    TODAY() - Table3[[#This Row],[Date of Update]]
  ),
  TODAY()-Table3[[#This Row],[Date of Update]]
)))</f>
        <v>0</v>
      </c>
      <c r="G834" s="40">
        <f>IF(Table3[[#This Row],[Stage]]="Closed",Table3[[#This Row],[Date of Update]]-(_xlfn.MINIFS(Table3[Date of Update],Table3[Ref], Table3[[#This Row],[Ref]])),"")</f>
        <v>44</v>
      </c>
    </row>
    <row r="835" spans="1:7" x14ac:dyDescent="0.25">
      <c r="A835" s="39" t="s">
        <v>1451</v>
      </c>
      <c r="B835" s="33">
        <v>45415</v>
      </c>
      <c r="C835" s="32" t="s">
        <v>23</v>
      </c>
      <c r="D835" s="32" t="s">
        <v>4</v>
      </c>
      <c r="E835" s="32" t="s">
        <v>1010</v>
      </c>
      <c r="F835" s="32" cm="1">
        <f t="array" aca="1" ref="F835" ca="1">IF(Table3[[#This Row],[Stage]]="Closed",0,IF(IFERROR(
  IF(
    COUNTIF(A$2:A$1997, A835) &gt; 1,
    MIN(IF(A$2:A$1997=A835, IF(B$2:B$1997&gt;B835, B$2:B$1997))) - B835,
    TODAY() - Table3[[#This Row],[Date of Update]]
  ),
  TODAY()-Table3[[#This Row],[Date of Update]]
)&lt;=0,
TODAY()-Table3[[#This Row],[Date of Update]],
IFERROR(
  IF(
    COUNTIF(A$2:A$1997, A835) &gt; 1,
    MIN(IF(A$2:A$1997=A835, IF(B$2:B$1997&gt;B835, B$2:B$1997))) - B835,
    TODAY() - Table3[[#This Row],[Date of Update]]
  ),
  TODAY()-Table3[[#This Row],[Date of Update]]
)))</f>
        <v>14</v>
      </c>
      <c r="G835" s="40" t="str">
        <f>IF(Table3[[#This Row],[Stage]]="Closed",Table3[[#This Row],[Date of Update]]-(_xlfn.MINIFS(Table3[Date of Update],Table3[Ref], Table3[[#This Row],[Ref]])),"")</f>
        <v/>
      </c>
    </row>
    <row r="836" spans="1:7" x14ac:dyDescent="0.25">
      <c r="A836" s="39" t="s">
        <v>1445</v>
      </c>
      <c r="B836" s="33">
        <v>45420</v>
      </c>
      <c r="C836" s="32" t="s">
        <v>169</v>
      </c>
      <c r="D836" s="32" t="s">
        <v>4</v>
      </c>
      <c r="E836" s="32" t="s">
        <v>453</v>
      </c>
      <c r="F836" s="32" cm="1">
        <f t="array" aca="1" ref="F836" ca="1">IF(Table3[[#This Row],[Stage]]="Closed",0,IF(IFERROR(
  IF(
    COUNTIF(A$2:A$1997, A836) &gt; 1,
    MIN(IF(A$2:A$1997=A836, IF(B$2:B$1997&gt;B836, B$2:B$1997))) - B836,
    TODAY() - Table3[[#This Row],[Date of Update]]
  ),
  TODAY()-Table3[[#This Row],[Date of Update]]
)&lt;=0,
TODAY()-Table3[[#This Row],[Date of Update]],
IFERROR(
  IF(
    COUNTIF(A$2:A$1997, A836) &gt; 1,
    MIN(IF(A$2:A$1997=A836, IF(B$2:B$1997&gt;B836, B$2:B$1997))) - B836,
    TODAY() - Table3[[#This Row],[Date of Update]]
  ),
  TODAY()-Table3[[#This Row],[Date of Update]]
)))</f>
        <v>0</v>
      </c>
      <c r="G836" s="40">
        <f>IF(Table3[[#This Row],[Stage]]="Closed",Table3[[#This Row],[Date of Update]]-(_xlfn.MINIFS(Table3[Date of Update],Table3[Ref], Table3[[#This Row],[Ref]])),"")</f>
        <v>61</v>
      </c>
    </row>
    <row r="837" spans="1:7" x14ac:dyDescent="0.25">
      <c r="A837" s="39" t="s">
        <v>1450</v>
      </c>
      <c r="B837" s="33">
        <v>45421</v>
      </c>
      <c r="C837" s="32" t="s">
        <v>169</v>
      </c>
      <c r="D837" s="32" t="s">
        <v>4</v>
      </c>
      <c r="E837" s="32" t="s">
        <v>1002</v>
      </c>
      <c r="F837" s="32" cm="1">
        <f t="array" aca="1" ref="F837" ca="1">IF(Table3[[#This Row],[Stage]]="Closed",0,IF(IFERROR(
  IF(
    COUNTIF(A$2:A$1997, A837) &gt; 1,
    MIN(IF(A$2:A$1997=A837, IF(B$2:B$1997&gt;B837, B$2:B$1997))) - B837,
    TODAY() - Table3[[#This Row],[Date of Update]]
  ),
  TODAY()-Table3[[#This Row],[Date of Update]]
)&lt;=0,
TODAY()-Table3[[#This Row],[Date of Update]],
IFERROR(
  IF(
    COUNTIF(A$2:A$1997, A837) &gt; 1,
    MIN(IF(A$2:A$1997=A837, IF(B$2:B$1997&gt;B837, B$2:B$1997))) - B837,
    TODAY() - Table3[[#This Row],[Date of Update]]
  ),
  TODAY()-Table3[[#This Row],[Date of Update]]
)))</f>
        <v>0</v>
      </c>
      <c r="G837" s="40">
        <f>IF(Table3[[#This Row],[Stage]]="Closed",Table3[[#This Row],[Date of Update]]-(_xlfn.MINIFS(Table3[Date of Update],Table3[Ref], Table3[[#This Row],[Ref]])),"")</f>
        <v>52</v>
      </c>
    </row>
    <row r="838" spans="1:7" x14ac:dyDescent="0.25">
      <c r="A838" s="39" t="s">
        <v>1446</v>
      </c>
      <c r="B838" s="33">
        <v>45421</v>
      </c>
      <c r="C838" s="32" t="s">
        <v>169</v>
      </c>
      <c r="D838" s="32" t="s">
        <v>4</v>
      </c>
      <c r="E838" s="32" t="s">
        <v>453</v>
      </c>
      <c r="F838" s="32" cm="1">
        <f t="array" aca="1" ref="F838" ca="1">IF(Table3[[#This Row],[Stage]]="Closed",0,IF(IFERROR(
  IF(
    COUNTIF(A$2:A$1997, A838) &gt; 1,
    MIN(IF(A$2:A$1997=A838, IF(B$2:B$1997&gt;B838, B$2:B$1997))) - B838,
    TODAY() - Table3[[#This Row],[Date of Update]]
  ),
  TODAY()-Table3[[#This Row],[Date of Update]]
)&lt;=0,
TODAY()-Table3[[#This Row],[Date of Update]],
IFERROR(
  IF(
    COUNTIF(A$2:A$1997, A838) &gt; 1,
    MIN(IF(A$2:A$1997=A838, IF(B$2:B$1997&gt;B838, B$2:B$1997))) - B838,
    TODAY() - Table3[[#This Row],[Date of Update]]
  ),
  TODAY()-Table3[[#This Row],[Date of Update]]
)))</f>
        <v>0</v>
      </c>
      <c r="G838" s="40">
        <f>IF(Table3[[#This Row],[Stage]]="Closed",Table3[[#This Row],[Date of Update]]-(_xlfn.MINIFS(Table3[Date of Update],Table3[Ref], Table3[[#This Row],[Ref]])),"")</f>
        <v>343</v>
      </c>
    </row>
    <row r="839" spans="1:7" x14ac:dyDescent="0.25">
      <c r="A839" s="39" t="s">
        <v>1453</v>
      </c>
      <c r="B839" s="33">
        <v>45425</v>
      </c>
      <c r="C839" s="32" t="s">
        <v>23</v>
      </c>
      <c r="D839" s="32" t="s">
        <v>4</v>
      </c>
      <c r="E839" s="32" t="s">
        <v>1015</v>
      </c>
      <c r="F839" s="32" cm="1">
        <f t="array" aca="1" ref="F839" ca="1">IF(Table3[[#This Row],[Stage]]="Closed",0,IF(IFERROR(
  IF(
    COUNTIF(A$2:A$1997, A839) &gt; 1,
    MIN(IF(A$2:A$1997=A839, IF(B$2:B$1997&gt;B839, B$2:B$1997))) - B839,
    TODAY() - Table3[[#This Row],[Date of Update]]
  ),
  TODAY()-Table3[[#This Row],[Date of Update]]
)&lt;=0,
TODAY()-Table3[[#This Row],[Date of Update]],
IFERROR(
  IF(
    COUNTIF(A$2:A$1997, A839) &gt; 1,
    MIN(IF(A$2:A$1997=A839, IF(B$2:B$1997&gt;B839, B$2:B$1997))) - B839,
    TODAY() - Table3[[#This Row],[Date of Update]]
  ),
  TODAY()-Table3[[#This Row],[Date of Update]]
)))</f>
        <v>50</v>
      </c>
      <c r="G839" s="40" t="str">
        <f>IF(Table3[[#This Row],[Stage]]="Closed",Table3[[#This Row],[Date of Update]]-(_xlfn.MINIFS(Table3[Date of Update],Table3[Ref], Table3[[#This Row],[Ref]])),"")</f>
        <v/>
      </c>
    </row>
    <row r="840" spans="1:7" x14ac:dyDescent="0.25">
      <c r="A840" s="39" t="s">
        <v>1400</v>
      </c>
      <c r="B840" s="33">
        <v>45427</v>
      </c>
      <c r="C840" s="32" t="s">
        <v>169</v>
      </c>
      <c r="D840" s="32" t="s">
        <v>4</v>
      </c>
      <c r="E840" s="32" t="s">
        <v>453</v>
      </c>
      <c r="F840" s="32" cm="1">
        <f t="array" aca="1" ref="F840" ca="1">IF(Table3[[#This Row],[Stage]]="Closed",0,IF(IFERROR(
  IF(
    COUNTIF(A$2:A$1997, A840) &gt; 1,
    MIN(IF(A$2:A$1997=A840, IF(B$2:B$1997&gt;B840, B$2:B$1997))) - B840,
    TODAY() - Table3[[#This Row],[Date of Update]]
  ),
  TODAY()-Table3[[#This Row],[Date of Update]]
)&lt;=0,
TODAY()-Table3[[#This Row],[Date of Update]],
IFERROR(
  IF(
    COUNTIF(A$2:A$1997, A840) &gt; 1,
    MIN(IF(A$2:A$1997=A840, IF(B$2:B$1997&gt;B840, B$2:B$1997))) - B840,
    TODAY() - Table3[[#This Row],[Date of Update]]
  ),
  TODAY()-Table3[[#This Row],[Date of Update]]
)))</f>
        <v>0</v>
      </c>
      <c r="G840" s="40">
        <f>IF(Table3[[#This Row],[Stage]]="Closed",Table3[[#This Row],[Date of Update]]-(_xlfn.MINIFS(Table3[Date of Update],Table3[Ref], Table3[[#This Row],[Ref]])),"")</f>
        <v>107</v>
      </c>
    </row>
    <row r="841" spans="1:7" x14ac:dyDescent="0.25">
      <c r="A841" s="39" t="s">
        <v>1452</v>
      </c>
      <c r="B841" s="33">
        <v>45427</v>
      </c>
      <c r="C841" s="32" t="s">
        <v>23</v>
      </c>
      <c r="D841" s="32" t="s">
        <v>4</v>
      </c>
      <c r="E841" s="32" t="s">
        <v>453</v>
      </c>
      <c r="F841" s="32" cm="1">
        <f t="array" aca="1" ref="F841" ca="1">IF(Table3[[#This Row],[Stage]]="Closed",0,IF(IFERROR(
  IF(
    COUNTIF(A$2:A$1997, A841) &gt; 1,
    MIN(IF(A$2:A$1997=A841, IF(B$2:B$1997&gt;B841, B$2:B$1997))) - B841,
    TODAY() - Table3[[#This Row],[Date of Update]]
  ),
  TODAY()-Table3[[#This Row],[Date of Update]]
)&lt;=0,
TODAY()-Table3[[#This Row],[Date of Update]],
IFERROR(
  IF(
    COUNTIF(A$2:A$1997, A841) &gt; 1,
    MIN(IF(A$2:A$1997=A841, IF(B$2:B$1997&gt;B841, B$2:B$1997))) - B841,
    TODAY() - Table3[[#This Row],[Date of Update]]
  ),
  TODAY()-Table3[[#This Row],[Date of Update]]
)))</f>
        <v>16</v>
      </c>
      <c r="G841" s="40" t="str">
        <f>IF(Table3[[#This Row],[Stage]]="Closed",Table3[[#This Row],[Date of Update]]-(_xlfn.MINIFS(Table3[Date of Update],Table3[Ref], Table3[[#This Row],[Ref]])),"")</f>
        <v/>
      </c>
    </row>
    <row r="842" spans="1:7" x14ac:dyDescent="0.25">
      <c r="A842" s="39" t="s">
        <v>1451</v>
      </c>
      <c r="B842" s="33">
        <v>45429</v>
      </c>
      <c r="C842" s="32" t="s">
        <v>169</v>
      </c>
      <c r="D842" s="32" t="s">
        <v>4</v>
      </c>
      <c r="E842" s="32" t="s">
        <v>1010</v>
      </c>
      <c r="F842" s="32" cm="1">
        <f t="array" aca="1" ref="F842" ca="1">IF(Table3[[#This Row],[Stage]]="Closed",0,IF(IFERROR(
  IF(
    COUNTIF(A$2:A$1997, A842) &gt; 1,
    MIN(IF(A$2:A$1997=A842, IF(B$2:B$1997&gt;B842, B$2:B$1997))) - B842,
    TODAY() - Table3[[#This Row],[Date of Update]]
  ),
  TODAY()-Table3[[#This Row],[Date of Update]]
)&lt;=0,
TODAY()-Table3[[#This Row],[Date of Update]],
IFERROR(
  IF(
    COUNTIF(A$2:A$1997, A842) &gt; 1,
    MIN(IF(A$2:A$1997=A842, IF(B$2:B$1997&gt;B842, B$2:B$1997))) - B842,
    TODAY() - Table3[[#This Row],[Date of Update]]
  ),
  TODAY()-Table3[[#This Row],[Date of Update]]
)))</f>
        <v>0</v>
      </c>
      <c r="G842" s="40">
        <f>IF(Table3[[#This Row],[Stage]]="Closed",Table3[[#This Row],[Date of Update]]-(_xlfn.MINIFS(Table3[Date of Update],Table3[Ref], Table3[[#This Row],[Ref]])),"")</f>
        <v>14</v>
      </c>
    </row>
    <row r="843" spans="1:7" x14ac:dyDescent="0.25">
      <c r="A843" s="39" t="s">
        <v>155</v>
      </c>
      <c r="B843" s="33">
        <v>45430</v>
      </c>
      <c r="C843" s="32" t="s">
        <v>23</v>
      </c>
      <c r="D843" s="32" t="s">
        <v>8</v>
      </c>
      <c r="E843" s="32" t="s">
        <v>186</v>
      </c>
      <c r="F843" s="32" cm="1">
        <f t="array" aca="1" ref="F843" ca="1">IF(Table3[[#This Row],[Stage]]="Closed",0,IF(IFERROR(
  IF(
    COUNTIF(A$2:A$1997, A843) &gt; 1,
    MIN(IF(A$2:A$1997=A843, IF(B$2:B$1997&gt;B843, B$2:B$1997))) - B843,
    TODAY() - Table3[[#This Row],[Date of Update]]
  ),
  TODAY()-Table3[[#This Row],[Date of Update]]
)&lt;=0,
TODAY()-Table3[[#This Row],[Date of Update]],
IFERROR(
  IF(
    COUNTIF(A$2:A$1997, A843) &gt; 1,
    MIN(IF(A$2:A$1997=A843, IF(B$2:B$1997&gt;B843, B$2:B$1997))) - B843,
    TODAY() - Table3[[#This Row],[Date of Update]]
  ),
  TODAY()-Table3[[#This Row],[Date of Update]]
)))</f>
        <v>5</v>
      </c>
      <c r="G843" s="40" t="str">
        <f>IF(Table3[[#This Row],[Stage]]="Closed",Table3[[#This Row],[Date of Update]]-(_xlfn.MINIFS(Table3[Date of Update],Table3[Ref], Table3[[#This Row],[Ref]])),"")</f>
        <v/>
      </c>
    </row>
    <row r="844" spans="1:7" x14ac:dyDescent="0.25">
      <c r="A844" s="39" t="s">
        <v>154</v>
      </c>
      <c r="B844" s="33">
        <v>45433</v>
      </c>
      <c r="C844" s="32" t="s">
        <v>166</v>
      </c>
      <c r="D844" s="32" t="s">
        <v>8</v>
      </c>
      <c r="E844" s="32" t="s">
        <v>183</v>
      </c>
      <c r="F844" s="32" cm="1">
        <f t="array" aca="1" ref="F844" ca="1">IF(Table3[[#This Row],[Stage]]="Closed",0,IF(IFERROR(
  IF(
    COUNTIF(A$2:A$1997, A844) &gt; 1,
    MIN(IF(A$2:A$1997=A844, IF(B$2:B$1997&gt;B844, B$2:B$1997))) - B844,
    TODAY() - Table3[[#This Row],[Date of Update]]
  ),
  TODAY()-Table3[[#This Row],[Date of Update]]
)&lt;=0,
TODAY()-Table3[[#This Row],[Date of Update]],
IFERROR(
  IF(
    COUNTIF(A$2:A$1997, A844) &gt; 1,
    MIN(IF(A$2:A$1997=A844, IF(B$2:B$1997&gt;B844, B$2:B$1997))) - B844,
    TODAY() - Table3[[#This Row],[Date of Update]]
  ),
  TODAY()-Table3[[#This Row],[Date of Update]]
)))</f>
        <v>22</v>
      </c>
      <c r="G844" s="40" t="str">
        <f>IF(Table3[[#This Row],[Stage]]="Closed",Table3[[#This Row],[Date of Update]]-(_xlfn.MINIFS(Table3[Date of Update],Table3[Ref], Table3[[#This Row],[Ref]])),"")</f>
        <v/>
      </c>
    </row>
    <row r="845" spans="1:7" x14ac:dyDescent="0.25">
      <c r="A845" s="39" t="s">
        <v>1372</v>
      </c>
      <c r="B845" s="33">
        <v>45433</v>
      </c>
      <c r="C845" s="32" t="s">
        <v>23</v>
      </c>
      <c r="D845" s="32" t="s">
        <v>4</v>
      </c>
      <c r="E845" s="32" t="s">
        <v>1016</v>
      </c>
      <c r="F845" s="32" cm="1">
        <f t="array" aca="1" ref="F845" ca="1">IF(Table3[[#This Row],[Stage]]="Closed",0,IF(IFERROR(
  IF(
    COUNTIF(A$2:A$1997, A845) &gt; 1,
    MIN(IF(A$2:A$1997=A845, IF(B$2:B$1997&gt;B845, B$2:B$1997))) - B845,
    TODAY() - Table3[[#This Row],[Date of Update]]
  ),
  TODAY()-Table3[[#This Row],[Date of Update]]
)&lt;=0,
TODAY()-Table3[[#This Row],[Date of Update]],
IFERROR(
  IF(
    COUNTIF(A$2:A$1997, A845) &gt; 1,
    MIN(IF(A$2:A$1997=A845, IF(B$2:B$1997&gt;B845, B$2:B$1997))) - B845,
    TODAY() - Table3[[#This Row],[Date of Update]]
  ),
  TODAY()-Table3[[#This Row],[Date of Update]]
)))</f>
        <v>10</v>
      </c>
      <c r="G845" s="40" t="str">
        <f>IF(Table3[[#This Row],[Stage]]="Closed",Table3[[#This Row],[Date of Update]]-(_xlfn.MINIFS(Table3[Date of Update],Table3[Ref], Table3[[#This Row],[Ref]])),"")</f>
        <v/>
      </c>
    </row>
    <row r="846" spans="1:7" x14ac:dyDescent="0.25">
      <c r="A846" s="39" t="s">
        <v>1448</v>
      </c>
      <c r="B846" s="33">
        <v>45434</v>
      </c>
      <c r="C846" s="32" t="s">
        <v>169</v>
      </c>
      <c r="D846" s="32" t="s">
        <v>4</v>
      </c>
      <c r="E846" s="32" t="s">
        <v>999</v>
      </c>
      <c r="F846" s="32" cm="1">
        <f t="array" aca="1" ref="F846" ca="1">IF(Table3[[#This Row],[Stage]]="Closed",0,IF(IFERROR(
  IF(
    COUNTIF(A$2:A$1997, A846) &gt; 1,
    MIN(IF(A$2:A$1997=A846, IF(B$2:B$1997&gt;B846, B$2:B$1997))) - B846,
    TODAY() - Table3[[#This Row],[Date of Update]]
  ),
  TODAY()-Table3[[#This Row],[Date of Update]]
)&lt;=0,
TODAY()-Table3[[#This Row],[Date of Update]],
IFERROR(
  IF(
    COUNTIF(A$2:A$1997, A846) &gt; 1,
    MIN(IF(A$2:A$1997=A846, IF(B$2:B$1997&gt;B846, B$2:B$1997))) - B846,
    TODAY() - Table3[[#This Row],[Date of Update]]
  ),
  TODAY()-Table3[[#This Row],[Date of Update]]
)))</f>
        <v>0</v>
      </c>
      <c r="G846" s="40">
        <f>IF(Table3[[#This Row],[Stage]]="Closed",Table3[[#This Row],[Date of Update]]-(_xlfn.MINIFS(Table3[Date of Update],Table3[Ref], Table3[[#This Row],[Ref]])),"")</f>
        <v>406</v>
      </c>
    </row>
    <row r="847" spans="1:7" x14ac:dyDescent="0.25">
      <c r="A847" s="39" t="s">
        <v>1449</v>
      </c>
      <c r="B847" s="33">
        <v>45434</v>
      </c>
      <c r="C847" s="32" t="s">
        <v>169</v>
      </c>
      <c r="D847" s="32" t="s">
        <v>4</v>
      </c>
      <c r="E847" s="32" t="s">
        <v>453</v>
      </c>
      <c r="F847" s="32" cm="1">
        <f t="array" aca="1" ref="F847" ca="1">IF(Table3[[#This Row],[Stage]]="Closed",0,IF(IFERROR(
  IF(
    COUNTIF(A$2:A$1997, A847) &gt; 1,
    MIN(IF(A$2:A$1997=A847, IF(B$2:B$1997&gt;B847, B$2:B$1997))) - B847,
    TODAY() - Table3[[#This Row],[Date of Update]]
  ),
  TODAY()-Table3[[#This Row],[Date of Update]]
)&lt;=0,
TODAY()-Table3[[#This Row],[Date of Update]],
IFERROR(
  IF(
    COUNTIF(A$2:A$1997, A847) &gt; 1,
    MIN(IF(A$2:A$1997=A847, IF(B$2:B$1997&gt;B847, B$2:B$1997))) - B847,
    TODAY() - Table3[[#This Row],[Date of Update]]
  ),
  TODAY()-Table3[[#This Row],[Date of Update]]
)))</f>
        <v>0</v>
      </c>
      <c r="G847" s="40">
        <f>IF(Table3[[#This Row],[Stage]]="Closed",Table3[[#This Row],[Date of Update]]-(_xlfn.MINIFS(Table3[Date of Update],Table3[Ref], Table3[[#This Row],[Ref]])),"")</f>
        <v>198</v>
      </c>
    </row>
    <row r="848" spans="1:7" x14ac:dyDescent="0.25">
      <c r="A848" s="39" t="s">
        <v>155</v>
      </c>
      <c r="B848" s="33">
        <v>45435</v>
      </c>
      <c r="C848" s="32" t="s">
        <v>23</v>
      </c>
      <c r="D848" s="32" t="s">
        <v>4</v>
      </c>
      <c r="E848" s="32" t="s">
        <v>187</v>
      </c>
      <c r="F848" s="32" cm="1">
        <f t="array" aca="1" ref="F848" ca="1">IF(Table3[[#This Row],[Stage]]="Closed",0,IF(IFERROR(
  IF(
    COUNTIF(A$2:A$1997, A848) &gt; 1,
    MIN(IF(A$2:A$1997=A848, IF(B$2:B$1997&gt;B848, B$2:B$1997))) - B848,
    TODAY() - Table3[[#This Row],[Date of Update]]
  ),
  TODAY()-Table3[[#This Row],[Date of Update]]
)&lt;=0,
TODAY()-Table3[[#This Row],[Date of Update]],
IFERROR(
  IF(
    COUNTIF(A$2:A$1997, A848) &gt; 1,
    MIN(IF(A$2:A$1997=A848, IF(B$2:B$1997&gt;B848, B$2:B$1997))) - B848,
    TODAY() - Table3[[#This Row],[Date of Update]]
  ),
  TODAY()-Table3[[#This Row],[Date of Update]]
)))</f>
        <v>40</v>
      </c>
      <c r="G848" s="40" t="str">
        <f>IF(Table3[[#This Row],[Stage]]="Closed",Table3[[#This Row],[Date of Update]]-(_xlfn.MINIFS(Table3[Date of Update],Table3[Ref], Table3[[#This Row],[Ref]])),"")</f>
        <v/>
      </c>
    </row>
    <row r="849" spans="1:7" x14ac:dyDescent="0.25">
      <c r="A849" s="39" t="s">
        <v>1454</v>
      </c>
      <c r="B849" s="33">
        <v>45436</v>
      </c>
      <c r="C849" s="32" t="s">
        <v>23</v>
      </c>
      <c r="D849" s="32" t="s">
        <v>4</v>
      </c>
      <c r="E849" s="32" t="s">
        <v>1018</v>
      </c>
      <c r="F849" s="32" cm="1">
        <f t="array" aca="1" ref="F849" ca="1">IF(Table3[[#This Row],[Stage]]="Closed",0,IF(IFERROR(
  IF(
    COUNTIF(A$2:A$1997, A849) &gt; 1,
    MIN(IF(A$2:A$1997=A849, IF(B$2:B$1997&gt;B849, B$2:B$1997))) - B849,
    TODAY() - Table3[[#This Row],[Date of Update]]
  ),
  TODAY()-Table3[[#This Row],[Date of Update]]
)&lt;=0,
TODAY()-Table3[[#This Row],[Date of Update]],
IFERROR(
  IF(
    COUNTIF(A$2:A$1997, A849) &gt; 1,
    MIN(IF(A$2:A$1997=A849, IF(B$2:B$1997&gt;B849, B$2:B$1997))) - B849,
    TODAY() - Table3[[#This Row],[Date of Update]]
  ),
  TODAY()-Table3[[#This Row],[Date of Update]]
)))</f>
        <v>19</v>
      </c>
      <c r="G849" s="40" t="str">
        <f>IF(Table3[[#This Row],[Stage]]="Closed",Table3[[#This Row],[Date of Update]]-(_xlfn.MINIFS(Table3[Date of Update],Table3[Ref], Table3[[#This Row],[Ref]])),"")</f>
        <v/>
      </c>
    </row>
    <row r="850" spans="1:7" x14ac:dyDescent="0.25">
      <c r="A850" s="39" t="s">
        <v>1372</v>
      </c>
      <c r="B850" s="33">
        <v>45443</v>
      </c>
      <c r="C850" s="32" t="s">
        <v>169</v>
      </c>
      <c r="D850" s="32" t="s">
        <v>4</v>
      </c>
      <c r="E850" s="32" t="s">
        <v>1016</v>
      </c>
      <c r="F850" s="32" cm="1">
        <f t="array" aca="1" ref="F850" ca="1">IF(Table3[[#This Row],[Stage]]="Closed",0,IF(IFERROR(
  IF(
    COUNTIF(A$2:A$1997, A850) &gt; 1,
    MIN(IF(A$2:A$1997=A850, IF(B$2:B$1997&gt;B850, B$2:B$1997))) - B850,
    TODAY() - Table3[[#This Row],[Date of Update]]
  ),
  TODAY()-Table3[[#This Row],[Date of Update]]
)&lt;=0,
TODAY()-Table3[[#This Row],[Date of Update]],
IFERROR(
  IF(
    COUNTIF(A$2:A$1997, A850) &gt; 1,
    MIN(IF(A$2:A$1997=A850, IF(B$2:B$1997&gt;B850, B$2:B$1997))) - B850,
    TODAY() - Table3[[#This Row],[Date of Update]]
  ),
  TODAY()-Table3[[#This Row],[Date of Update]]
)))</f>
        <v>0</v>
      </c>
      <c r="G850" s="40">
        <f>IF(Table3[[#This Row],[Stage]]="Closed",Table3[[#This Row],[Date of Update]]-(_xlfn.MINIFS(Table3[Date of Update],Table3[Ref], Table3[[#This Row],[Ref]])),"")</f>
        <v>10</v>
      </c>
    </row>
    <row r="851" spans="1:7" x14ac:dyDescent="0.25">
      <c r="A851" s="39" t="s">
        <v>1452</v>
      </c>
      <c r="B851" s="33">
        <v>45443</v>
      </c>
      <c r="C851" s="32" t="s">
        <v>169</v>
      </c>
      <c r="D851" s="32" t="s">
        <v>4</v>
      </c>
      <c r="E851" s="32" t="s">
        <v>453</v>
      </c>
      <c r="F851" s="32" cm="1">
        <f t="array" aca="1" ref="F851" ca="1">IF(Table3[[#This Row],[Stage]]="Closed",0,IF(IFERROR(
  IF(
    COUNTIF(A$2:A$1997, A851) &gt; 1,
    MIN(IF(A$2:A$1997=A851, IF(B$2:B$1997&gt;B851, B$2:B$1997))) - B851,
    TODAY() - Table3[[#This Row],[Date of Update]]
  ),
  TODAY()-Table3[[#This Row],[Date of Update]]
)&lt;=0,
TODAY()-Table3[[#This Row],[Date of Update]],
IFERROR(
  IF(
    COUNTIF(A$2:A$1997, A851) &gt; 1,
    MIN(IF(A$2:A$1997=A851, IF(B$2:B$1997&gt;B851, B$2:B$1997))) - B851,
    TODAY() - Table3[[#This Row],[Date of Update]]
  ),
  TODAY()-Table3[[#This Row],[Date of Update]]
)))</f>
        <v>0</v>
      </c>
      <c r="G851" s="40">
        <f>IF(Table3[[#This Row],[Stage]]="Closed",Table3[[#This Row],[Date of Update]]-(_xlfn.MINIFS(Table3[Date of Update],Table3[Ref], Table3[[#This Row],[Ref]])),"")</f>
        <v>16</v>
      </c>
    </row>
    <row r="852" spans="1:7" x14ac:dyDescent="0.25">
      <c r="A852" s="39" t="s">
        <v>1447</v>
      </c>
      <c r="B852" s="33">
        <v>45450</v>
      </c>
      <c r="C852" s="32" t="s">
        <v>169</v>
      </c>
      <c r="D852" s="32" t="s">
        <v>4</v>
      </c>
      <c r="E852" s="32" t="s">
        <v>996</v>
      </c>
      <c r="F852" s="32" cm="1">
        <f t="array" aca="1" ref="F852" ca="1">IF(Table3[[#This Row],[Stage]]="Closed",0,IF(IFERROR(
  IF(
    COUNTIF(A$2:A$1997, A852) &gt; 1,
    MIN(IF(A$2:A$1997=A852, IF(B$2:B$1997&gt;B852, B$2:B$1997))) - B852,
    TODAY() - Table3[[#This Row],[Date of Update]]
  ),
  TODAY()-Table3[[#This Row],[Date of Update]]
)&lt;=0,
TODAY()-Table3[[#This Row],[Date of Update]],
IFERROR(
  IF(
    COUNTIF(A$2:A$1997, A852) &gt; 1,
    MIN(IF(A$2:A$1997=A852, IF(B$2:B$1997&gt;B852, B$2:B$1997))) - B852,
    TODAY() - Table3[[#This Row],[Date of Update]]
  ),
  TODAY()-Table3[[#This Row],[Date of Update]]
)))</f>
        <v>0</v>
      </c>
      <c r="G852" s="40">
        <f>IF(Table3[[#This Row],[Stage]]="Closed",Table3[[#This Row],[Date of Update]]-(_xlfn.MINIFS(Table3[Date of Update],Table3[Ref], Table3[[#This Row],[Ref]])),"")</f>
        <v>93</v>
      </c>
    </row>
    <row r="853" spans="1:7" x14ac:dyDescent="0.25">
      <c r="A853" s="39" t="s">
        <v>157</v>
      </c>
      <c r="B853" s="33">
        <v>45452</v>
      </c>
      <c r="C853" s="32" t="s">
        <v>23</v>
      </c>
      <c r="D853" s="32" t="s">
        <v>4</v>
      </c>
      <c r="E853" s="32" t="s">
        <v>193</v>
      </c>
      <c r="F853" s="32" cm="1">
        <f t="array" aca="1" ref="F853" ca="1">IF(Table3[[#This Row],[Stage]]="Closed",0,IF(IFERROR(
  IF(
    COUNTIF(A$2:A$1997, A853) &gt; 1,
    MIN(IF(A$2:A$1997=A853, IF(B$2:B$1997&gt;B853, B$2:B$1997))) - B853,
    TODAY() - Table3[[#This Row],[Date of Update]]
  ),
  TODAY()-Table3[[#This Row],[Date of Update]]
)&lt;=0,
TODAY()-Table3[[#This Row],[Date of Update]],
IFERROR(
  IF(
    COUNTIF(A$2:A$1997, A853) &gt; 1,
    MIN(IF(A$2:A$1997=A853, IF(B$2:B$1997&gt;B853, B$2:B$1997))) - B853,
    TODAY() - Table3[[#This Row],[Date of Update]]
  ),
  TODAY()-Table3[[#This Row],[Date of Update]]
)))</f>
        <v>3</v>
      </c>
      <c r="G853" s="40" t="str">
        <f>IF(Table3[[#This Row],[Stage]]="Closed",Table3[[#This Row],[Date of Update]]-(_xlfn.MINIFS(Table3[Date of Update],Table3[Ref], Table3[[#This Row],[Ref]])),"")</f>
        <v/>
      </c>
    </row>
    <row r="854" spans="1:7" x14ac:dyDescent="0.25">
      <c r="A854" s="39" t="s">
        <v>1454</v>
      </c>
      <c r="B854" s="33">
        <v>45455</v>
      </c>
      <c r="C854" s="32" t="s">
        <v>169</v>
      </c>
      <c r="D854" s="32" t="s">
        <v>4</v>
      </c>
      <c r="E854" s="32" t="s">
        <v>1018</v>
      </c>
      <c r="F854" s="32" cm="1">
        <f t="array" aca="1" ref="F854" ca="1">IF(Table3[[#This Row],[Stage]]="Closed",0,IF(IFERROR(
  IF(
    COUNTIF(A$2:A$1997, A854) &gt; 1,
    MIN(IF(A$2:A$1997=A854, IF(B$2:B$1997&gt;B854, B$2:B$1997))) - B854,
    TODAY() - Table3[[#This Row],[Date of Update]]
  ),
  TODAY()-Table3[[#This Row],[Date of Update]]
)&lt;=0,
TODAY()-Table3[[#This Row],[Date of Update]],
IFERROR(
  IF(
    COUNTIF(A$2:A$1997, A854) &gt; 1,
    MIN(IF(A$2:A$1997=A854, IF(B$2:B$1997&gt;B854, B$2:B$1997))) - B854,
    TODAY() - Table3[[#This Row],[Date of Update]]
  ),
  TODAY()-Table3[[#This Row],[Date of Update]]
)))</f>
        <v>0</v>
      </c>
      <c r="G854" s="40">
        <f>IF(Table3[[#This Row],[Stage]]="Closed",Table3[[#This Row],[Date of Update]]-(_xlfn.MINIFS(Table3[Date of Update],Table3[Ref], Table3[[#This Row],[Ref]])),"")</f>
        <v>19</v>
      </c>
    </row>
    <row r="855" spans="1:7" x14ac:dyDescent="0.25">
      <c r="A855" s="39" t="s">
        <v>157</v>
      </c>
      <c r="B855" s="33">
        <v>45455</v>
      </c>
      <c r="C855" s="32" t="s">
        <v>164</v>
      </c>
      <c r="D855" s="32" t="s">
        <v>8</v>
      </c>
      <c r="E855" s="32" t="s">
        <v>192</v>
      </c>
      <c r="F855" s="32" cm="1">
        <f t="array" aca="1" ref="F855" ca="1">IF(Table3[[#This Row],[Stage]]="Closed",0,IF(IFERROR(
  IF(
    COUNTIF(A$2:A$1997, A855) &gt; 1,
    MIN(IF(A$2:A$1997=A855, IF(B$2:B$1997&gt;B855, B$2:B$1997))) - B855,
    TODAY() - Table3[[#This Row],[Date of Update]]
  ),
  TODAY()-Table3[[#This Row],[Date of Update]]
)&lt;=0,
TODAY()-Table3[[#This Row],[Date of Update]],
IFERROR(
  IF(
    COUNTIF(A$2:A$1997, A855) &gt; 1,
    MIN(IF(A$2:A$1997=A855, IF(B$2:B$1997&gt;B855, B$2:B$1997))) - B855,
    TODAY() - Table3[[#This Row],[Date of Update]]
  ),
  TODAY()-Table3[[#This Row],[Date of Update]]
)))</f>
        <v>8</v>
      </c>
      <c r="G855" s="40" t="str">
        <f>IF(Table3[[#This Row],[Stage]]="Closed",Table3[[#This Row],[Date of Update]]-(_xlfn.MINIFS(Table3[Date of Update],Table3[Ref], Table3[[#This Row],[Ref]])),"")</f>
        <v/>
      </c>
    </row>
    <row r="856" spans="1:7" x14ac:dyDescent="0.25">
      <c r="A856" s="39" t="s">
        <v>154</v>
      </c>
      <c r="B856" s="33">
        <v>45455</v>
      </c>
      <c r="C856" s="32" t="s">
        <v>167</v>
      </c>
      <c r="D856" s="32" t="s">
        <v>24</v>
      </c>
      <c r="E856" s="32" t="s">
        <v>184</v>
      </c>
      <c r="F856" s="32" cm="1">
        <f t="array" aca="1" ref="F856" ca="1">IF(Table3[[#This Row],[Stage]]="Closed",0,IF(IFERROR(
  IF(
    COUNTIF(A$2:A$1997, A856) &gt; 1,
    MIN(IF(A$2:A$1997=A856, IF(B$2:B$1997&gt;B856, B$2:B$1997))) - B856,
    TODAY() - Table3[[#This Row],[Date of Update]]
  ),
  TODAY()-Table3[[#This Row],[Date of Update]]
)&lt;=0,
TODAY()-Table3[[#This Row],[Date of Update]],
IFERROR(
  IF(
    COUNTIF(A$2:A$1997, A856) &gt; 1,
    MIN(IF(A$2:A$1997=A856, IF(B$2:B$1997&gt;B856, B$2:B$1997))) - B856,
    TODAY() - Table3[[#This Row],[Date of Update]]
  ),
  TODAY()-Table3[[#This Row],[Date of Update]]
)))</f>
        <v>22</v>
      </c>
      <c r="G856" s="40" t="str">
        <f>IF(Table3[[#This Row],[Stage]]="Closed",Table3[[#This Row],[Date of Update]]-(_xlfn.MINIFS(Table3[Date of Update],Table3[Ref], Table3[[#This Row],[Ref]])),"")</f>
        <v/>
      </c>
    </row>
    <row r="857" spans="1:7" x14ac:dyDescent="0.25">
      <c r="A857" s="39" t="s">
        <v>1455</v>
      </c>
      <c r="B857" s="33">
        <v>45461</v>
      </c>
      <c r="C857" s="32" t="s">
        <v>23</v>
      </c>
      <c r="D857" s="32" t="s">
        <v>4</v>
      </c>
      <c r="E857" s="32" t="s">
        <v>453</v>
      </c>
      <c r="F857" s="32" cm="1">
        <f t="array" aca="1" ref="F857" ca="1">IF(Table3[[#This Row],[Stage]]="Closed",0,IF(IFERROR(
  IF(
    COUNTIF(A$2:A$1997, A857) &gt; 1,
    MIN(IF(A$2:A$1997=A857, IF(B$2:B$1997&gt;B857, B$2:B$1997))) - B857,
    TODAY() - Table3[[#This Row],[Date of Update]]
  ),
  TODAY()-Table3[[#This Row],[Date of Update]]
)&lt;=0,
TODAY()-Table3[[#This Row],[Date of Update]],
IFERROR(
  IF(
    COUNTIF(A$2:A$1997, A857) &gt; 1,
    MIN(IF(A$2:A$1997=A857, IF(B$2:B$1997&gt;B857, B$2:B$1997))) - B857,
    TODAY() - Table3[[#This Row],[Date of Update]]
  ),
  TODAY()-Table3[[#This Row],[Date of Update]]
)))</f>
        <v>15</v>
      </c>
      <c r="G857" s="40" t="str">
        <f>IF(Table3[[#This Row],[Stage]]="Closed",Table3[[#This Row],[Date of Update]]-(_xlfn.MINIFS(Table3[Date of Update],Table3[Ref], Table3[[#This Row],[Ref]])),"")</f>
        <v/>
      </c>
    </row>
    <row r="858" spans="1:7" x14ac:dyDescent="0.25">
      <c r="A858" s="39" t="s">
        <v>1456</v>
      </c>
      <c r="B858" s="33">
        <v>45461</v>
      </c>
      <c r="C858" s="32" t="s">
        <v>23</v>
      </c>
      <c r="D858" s="32" t="s">
        <v>4</v>
      </c>
      <c r="E858" s="32" t="s">
        <v>814</v>
      </c>
      <c r="F858" s="32" cm="1">
        <f t="array" aca="1" ref="F858" ca="1">IF(Table3[[#This Row],[Stage]]="Closed",0,IF(IFERROR(
  IF(
    COUNTIF(A$2:A$1997, A858) &gt; 1,
    MIN(IF(A$2:A$1997=A858, IF(B$2:B$1997&gt;B858, B$2:B$1997))) - B858,
    TODAY() - Table3[[#This Row],[Date of Update]]
  ),
  TODAY()-Table3[[#This Row],[Date of Update]]
)&lt;=0,
TODAY()-Table3[[#This Row],[Date of Update]],
IFERROR(
  IF(
    COUNTIF(A$2:A$1997, A858) &gt; 1,
    MIN(IF(A$2:A$1997=A858, IF(B$2:B$1997&gt;B858, B$2:B$1997))) - B858,
    TODAY() - Table3[[#This Row],[Date of Update]]
  ),
  TODAY()-Table3[[#This Row],[Date of Update]]
)))</f>
        <v>15</v>
      </c>
      <c r="G858" s="40" t="str">
        <f>IF(Table3[[#This Row],[Stage]]="Closed",Table3[[#This Row],[Date of Update]]-(_xlfn.MINIFS(Table3[Date of Update],Table3[Ref], Table3[[#This Row],[Ref]])),"")</f>
        <v/>
      </c>
    </row>
    <row r="859" spans="1:7" x14ac:dyDescent="0.25">
      <c r="A859" s="39" t="s">
        <v>157</v>
      </c>
      <c r="B859" s="33">
        <v>45463</v>
      </c>
      <c r="C859" s="32" t="s">
        <v>164</v>
      </c>
      <c r="D859" s="32" t="s">
        <v>8</v>
      </c>
      <c r="E859" s="32" t="s">
        <v>137</v>
      </c>
      <c r="F859" s="32" cm="1">
        <f t="array" aca="1" ref="F859" ca="1">IF(Table3[[#This Row],[Stage]]="Closed",0,IF(IFERROR(
  IF(
    COUNTIF(A$2:A$1997, A859) &gt; 1,
    MIN(IF(A$2:A$1997=A859, IF(B$2:B$1997&gt;B859, B$2:B$1997))) - B859,
    TODAY() - Table3[[#This Row],[Date of Update]]
  ),
  TODAY()-Table3[[#This Row],[Date of Update]]
)&lt;=0,
TODAY()-Table3[[#This Row],[Date of Update]],
IFERROR(
  IF(
    COUNTIF(A$2:A$1997, A859) &gt; 1,
    MIN(IF(A$2:A$1997=A859, IF(B$2:B$1997&gt;B859, B$2:B$1997))) - B859,
    TODAY() - Table3[[#This Row],[Date of Update]]
  ),
  TODAY()-Table3[[#This Row],[Date of Update]]
)))</f>
        <v>272</v>
      </c>
      <c r="G859" s="40" t="str">
        <f>IF(Table3[[#This Row],[Stage]]="Closed",Table3[[#This Row],[Date of Update]]-(_xlfn.MINIFS(Table3[Date of Update],Table3[Ref], Table3[[#This Row],[Ref]])),"")</f>
        <v/>
      </c>
    </row>
    <row r="860" spans="1:7" x14ac:dyDescent="0.25">
      <c r="A860" s="39" t="s">
        <v>1453</v>
      </c>
      <c r="B860" s="33">
        <v>45475</v>
      </c>
      <c r="C860" s="32" t="s">
        <v>169</v>
      </c>
      <c r="D860" s="32" t="s">
        <v>4</v>
      </c>
      <c r="E860" s="32" t="s">
        <v>1015</v>
      </c>
      <c r="F860" s="32" cm="1">
        <f t="array" aca="1" ref="F860" ca="1">IF(Table3[[#This Row],[Stage]]="Closed",0,IF(IFERROR(
  IF(
    COUNTIF(A$2:A$1997, A860) &gt; 1,
    MIN(IF(A$2:A$1997=A860, IF(B$2:B$1997&gt;B860, B$2:B$1997))) - B860,
    TODAY() - Table3[[#This Row],[Date of Update]]
  ),
  TODAY()-Table3[[#This Row],[Date of Update]]
)&lt;=0,
TODAY()-Table3[[#This Row],[Date of Update]],
IFERROR(
  IF(
    COUNTIF(A$2:A$1997, A860) &gt; 1,
    MIN(IF(A$2:A$1997=A860, IF(B$2:B$1997&gt;B860, B$2:B$1997))) - B860,
    TODAY() - Table3[[#This Row],[Date of Update]]
  ),
  TODAY()-Table3[[#This Row],[Date of Update]]
)))</f>
        <v>0</v>
      </c>
      <c r="G860" s="40">
        <f>IF(Table3[[#This Row],[Stage]]="Closed",Table3[[#This Row],[Date of Update]]-(_xlfn.MINIFS(Table3[Date of Update],Table3[Ref], Table3[[#This Row],[Ref]])),"")</f>
        <v>50</v>
      </c>
    </row>
    <row r="861" spans="1:7" x14ac:dyDescent="0.25">
      <c r="A861" s="39" t="s">
        <v>155</v>
      </c>
      <c r="B861" s="33">
        <v>45475</v>
      </c>
      <c r="C861" s="32" t="s">
        <v>164</v>
      </c>
      <c r="D861" s="32" t="s">
        <v>24</v>
      </c>
      <c r="E861" s="32" t="s">
        <v>189</v>
      </c>
      <c r="F861" s="32" cm="1">
        <f t="array" aca="1" ref="F861" ca="1">IF(Table3[[#This Row],[Stage]]="Closed",0,IF(IFERROR(
  IF(
    COUNTIF(A$2:A$1997, A861) &gt; 1,
    MIN(IF(A$2:A$1997=A861, IF(B$2:B$1997&gt;B861, B$2:B$1997))) - B861,
    TODAY() - Table3[[#This Row],[Date of Update]]
  ),
  TODAY()-Table3[[#This Row],[Date of Update]]
)&lt;=0,
TODAY()-Table3[[#This Row],[Date of Update]],
IFERROR(
  IF(
    COUNTIF(A$2:A$1997, A861) &gt; 1,
    MIN(IF(A$2:A$1997=A861, IF(B$2:B$1997&gt;B861, B$2:B$1997))) - B861,
    TODAY() - Table3[[#This Row],[Date of Update]]
  ),
  TODAY()-Table3[[#This Row],[Date of Update]]
)))</f>
        <v>7</v>
      </c>
      <c r="G861" s="40" t="str">
        <f>IF(Table3[[#This Row],[Stage]]="Closed",Table3[[#This Row],[Date of Update]]-(_xlfn.MINIFS(Table3[Date of Update],Table3[Ref], Table3[[#This Row],[Ref]])),"")</f>
        <v/>
      </c>
    </row>
    <row r="862" spans="1:7" x14ac:dyDescent="0.25">
      <c r="A862" s="39" t="s">
        <v>1455</v>
      </c>
      <c r="B862" s="33">
        <v>45476</v>
      </c>
      <c r="C862" s="32" t="s">
        <v>169</v>
      </c>
      <c r="D862" s="32" t="s">
        <v>4</v>
      </c>
      <c r="E862" s="32" t="s">
        <v>453</v>
      </c>
      <c r="F862" s="32" cm="1">
        <f t="array" aca="1" ref="F862" ca="1">IF(Table3[[#This Row],[Stage]]="Closed",0,IF(IFERROR(
  IF(
    COUNTIF(A$2:A$1997, A862) &gt; 1,
    MIN(IF(A$2:A$1997=A862, IF(B$2:B$1997&gt;B862, B$2:B$1997))) - B862,
    TODAY() - Table3[[#This Row],[Date of Update]]
  ),
  TODAY()-Table3[[#This Row],[Date of Update]]
)&lt;=0,
TODAY()-Table3[[#This Row],[Date of Update]],
IFERROR(
  IF(
    COUNTIF(A$2:A$1997, A862) &gt; 1,
    MIN(IF(A$2:A$1997=A862, IF(B$2:B$1997&gt;B862, B$2:B$1997))) - B862,
    TODAY() - Table3[[#This Row],[Date of Update]]
  ),
  TODAY()-Table3[[#This Row],[Date of Update]]
)))</f>
        <v>0</v>
      </c>
      <c r="G862" s="40">
        <f>IF(Table3[[#This Row],[Stage]]="Closed",Table3[[#This Row],[Date of Update]]-(_xlfn.MINIFS(Table3[Date of Update],Table3[Ref], Table3[[#This Row],[Ref]])),"")</f>
        <v>15</v>
      </c>
    </row>
    <row r="863" spans="1:7" x14ac:dyDescent="0.25">
      <c r="A863" s="39" t="s">
        <v>1456</v>
      </c>
      <c r="B863" s="33">
        <v>45476</v>
      </c>
      <c r="C863" s="32" t="s">
        <v>169</v>
      </c>
      <c r="D863" s="32" t="s">
        <v>4</v>
      </c>
      <c r="E863" s="32" t="s">
        <v>814</v>
      </c>
      <c r="F863" s="32" cm="1">
        <f t="array" aca="1" ref="F863" ca="1">IF(Table3[[#This Row],[Stage]]="Closed",0,IF(IFERROR(
  IF(
    COUNTIF(A$2:A$1997, A863) &gt; 1,
    MIN(IF(A$2:A$1997=A863, IF(B$2:B$1997&gt;B863, B$2:B$1997))) - B863,
    TODAY() - Table3[[#This Row],[Date of Update]]
  ),
  TODAY()-Table3[[#This Row],[Date of Update]]
)&lt;=0,
TODAY()-Table3[[#This Row],[Date of Update]],
IFERROR(
  IF(
    COUNTIF(A$2:A$1997, A863) &gt; 1,
    MIN(IF(A$2:A$1997=A863, IF(B$2:B$1997&gt;B863, B$2:B$1997))) - B863,
    TODAY() - Table3[[#This Row],[Date of Update]]
  ),
  TODAY()-Table3[[#This Row],[Date of Update]]
)))</f>
        <v>0</v>
      </c>
      <c r="G863" s="40">
        <f>IF(Table3[[#This Row],[Stage]]="Closed",Table3[[#This Row],[Date of Update]]-(_xlfn.MINIFS(Table3[Date of Update],Table3[Ref], Table3[[#This Row],[Ref]])),"")</f>
        <v>15</v>
      </c>
    </row>
    <row r="864" spans="1:7" x14ac:dyDescent="0.25">
      <c r="A864" s="39" t="s">
        <v>158</v>
      </c>
      <c r="B864" s="33">
        <v>45476</v>
      </c>
      <c r="C864" s="32" t="s">
        <v>23</v>
      </c>
      <c r="D864" s="32" t="s">
        <v>4</v>
      </c>
      <c r="E864" s="32" t="s">
        <v>149</v>
      </c>
      <c r="F864" s="32" cm="1">
        <f t="array" aca="1" ref="F864" ca="1">IF(Table3[[#This Row],[Stage]]="Closed",0,IF(IFERROR(
  IF(
    COUNTIF(A$2:A$1997, A864) &gt; 1,
    MIN(IF(A$2:A$1997=A864, IF(B$2:B$1997&gt;B864, B$2:B$1997))) - B864,
    TODAY() - Table3[[#This Row],[Date of Update]]
  ),
  TODAY()-Table3[[#This Row],[Date of Update]]
)&lt;=0,
TODAY()-Table3[[#This Row],[Date of Update]],
IFERROR(
  IF(
    COUNTIF(A$2:A$1997, A864) &gt; 1,
    MIN(IF(A$2:A$1997=A864, IF(B$2:B$1997&gt;B864, B$2:B$1997))) - B864,
    TODAY() - Table3[[#This Row],[Date of Update]]
  ),
  TODAY()-Table3[[#This Row],[Date of Update]]
)))</f>
        <v>1</v>
      </c>
      <c r="G864" s="40" t="str">
        <f>IF(Table3[[#This Row],[Stage]]="Closed",Table3[[#This Row],[Date of Update]]-(_xlfn.MINIFS(Table3[Date of Update],Table3[Ref], Table3[[#This Row],[Ref]])),"")</f>
        <v/>
      </c>
    </row>
    <row r="865" spans="1:7" x14ac:dyDescent="0.25">
      <c r="A865" s="39" t="s">
        <v>158</v>
      </c>
      <c r="B865" s="33">
        <v>45476</v>
      </c>
      <c r="C865" s="32" t="s">
        <v>164</v>
      </c>
      <c r="D865" s="32" t="s">
        <v>8</v>
      </c>
      <c r="E865" s="32" t="s">
        <v>149</v>
      </c>
      <c r="F865" s="32" cm="1">
        <f t="array" aca="1" ref="F865" ca="1">IF(Table3[[#This Row],[Stage]]="Closed",0,IF(IFERROR(
  IF(
    COUNTIF(A$2:A$1997, A865) &gt; 1,
    MIN(IF(A$2:A$1997=A865, IF(B$2:B$1997&gt;B865, B$2:B$1997))) - B865,
    TODAY() - Table3[[#This Row],[Date of Update]]
  ),
  TODAY()-Table3[[#This Row],[Date of Update]]
)&lt;=0,
TODAY()-Table3[[#This Row],[Date of Update]],
IFERROR(
  IF(
    COUNTIF(A$2:A$1997, A865) &gt; 1,
    MIN(IF(A$2:A$1997=A865, IF(B$2:B$1997&gt;B865, B$2:B$1997))) - B865,
    TODAY() - Table3[[#This Row],[Date of Update]]
  ),
  TODAY()-Table3[[#This Row],[Date of Update]]
)))</f>
        <v>1</v>
      </c>
      <c r="G865" s="40" t="str">
        <f>IF(Table3[[#This Row],[Stage]]="Closed",Table3[[#This Row],[Date of Update]]-(_xlfn.MINIFS(Table3[Date of Update],Table3[Ref], Table3[[#This Row],[Ref]])),"")</f>
        <v/>
      </c>
    </row>
    <row r="866" spans="1:7" x14ac:dyDescent="0.25">
      <c r="A866" s="39" t="s">
        <v>154</v>
      </c>
      <c r="B866" s="33">
        <v>45477</v>
      </c>
      <c r="C866" s="32" t="s">
        <v>166</v>
      </c>
      <c r="D866" s="32" t="s">
        <v>4</v>
      </c>
      <c r="E866" s="32" t="s">
        <v>185</v>
      </c>
      <c r="F866" s="32" cm="1">
        <f t="array" aca="1" ref="F866" ca="1">IF(Table3[[#This Row],[Stage]]="Closed",0,IF(IFERROR(
  IF(
    COUNTIF(A$2:A$1997, A866) &gt; 1,
    MIN(IF(A$2:A$1997=A866, IF(B$2:B$1997&gt;B866, B$2:B$1997))) - B866,
    TODAY() - Table3[[#This Row],[Date of Update]]
  ),
  TODAY()-Table3[[#This Row],[Date of Update]]
)&lt;=0,
TODAY()-Table3[[#This Row],[Date of Update]],
IFERROR(
  IF(
    COUNTIF(A$2:A$1997, A866) &gt; 1,
    MIN(IF(A$2:A$1997=A866, IF(B$2:B$1997&gt;B866, B$2:B$1997))) - B866,
    TODAY() - Table3[[#This Row],[Date of Update]]
  ),
  TODAY()-Table3[[#This Row],[Date of Update]]
)))</f>
        <v>1</v>
      </c>
      <c r="G866" s="40" t="str">
        <f>IF(Table3[[#This Row],[Stage]]="Closed",Table3[[#This Row],[Date of Update]]-(_xlfn.MINIFS(Table3[Date of Update],Table3[Ref], Table3[[#This Row],[Ref]])),"")</f>
        <v/>
      </c>
    </row>
    <row r="867" spans="1:7" x14ac:dyDescent="0.25">
      <c r="A867" s="39" t="s">
        <v>158</v>
      </c>
      <c r="B867" s="33">
        <v>45477</v>
      </c>
      <c r="C867" s="32" t="s">
        <v>164</v>
      </c>
      <c r="D867" s="32" t="s">
        <v>24</v>
      </c>
      <c r="E867" s="32" t="s">
        <v>149</v>
      </c>
      <c r="F867" s="32" cm="1">
        <f t="array" aca="1" ref="F867" ca="1">IF(Table3[[#This Row],[Stage]]="Closed",0,IF(IFERROR(
  IF(
    COUNTIF(A$2:A$1997, A867) &gt; 1,
    MIN(IF(A$2:A$1997=A867, IF(B$2:B$1997&gt;B867, B$2:B$1997))) - B867,
    TODAY() - Table3[[#This Row],[Date of Update]]
  ),
  TODAY()-Table3[[#This Row],[Date of Update]]
)&lt;=0,
TODAY()-Table3[[#This Row],[Date of Update]],
IFERROR(
  IF(
    COUNTIF(A$2:A$1997, A867) &gt; 1,
    MIN(IF(A$2:A$1997=A867, IF(B$2:B$1997&gt;B867, B$2:B$1997))) - B867,
    TODAY() - Table3[[#This Row],[Date of Update]]
  ),
  TODAY()-Table3[[#This Row],[Date of Update]]
)))</f>
        <v>258</v>
      </c>
      <c r="G867" s="40" t="str">
        <f>IF(Table3[[#This Row],[Stage]]="Closed",Table3[[#This Row],[Date of Update]]-(_xlfn.MINIFS(Table3[Date of Update],Table3[Ref], Table3[[#This Row],[Ref]])),"")</f>
        <v/>
      </c>
    </row>
    <row r="868" spans="1:7" x14ac:dyDescent="0.25">
      <c r="A868" s="39" t="s">
        <v>154</v>
      </c>
      <c r="B868" s="33">
        <v>45478</v>
      </c>
      <c r="C868" s="32" t="s">
        <v>166</v>
      </c>
      <c r="D868" s="32" t="s">
        <v>8</v>
      </c>
      <c r="E868" s="32" t="s">
        <v>93</v>
      </c>
      <c r="F868" s="32" cm="1">
        <f t="array" aca="1" ref="F868" ca="1">IF(Table3[[#This Row],[Stage]]="Closed",0,IF(IFERROR(
  IF(
    COUNTIF(A$2:A$1997, A868) &gt; 1,
    MIN(IF(A$2:A$1997=A868, IF(B$2:B$1997&gt;B868, B$2:B$1997))) - B868,
    TODAY() - Table3[[#This Row],[Date of Update]]
  ),
  TODAY()-Table3[[#This Row],[Date of Update]]
)&lt;=0,
TODAY()-Table3[[#This Row],[Date of Update]],
IFERROR(
  IF(
    COUNTIF(A$2:A$1997, A868) &gt; 1,
    MIN(IF(A$2:A$1997=A868, IF(B$2:B$1997&gt;B868, B$2:B$1997))) - B868,
    TODAY() - Table3[[#This Row],[Date of Update]]
  ),
  TODAY()-Table3[[#This Row],[Date of Update]]
)))</f>
        <v>257</v>
      </c>
      <c r="G868" s="40" t="str">
        <f>IF(Table3[[#This Row],[Stage]]="Closed",Table3[[#This Row],[Date of Update]]-(_xlfn.MINIFS(Table3[Date of Update],Table3[Ref], Table3[[#This Row],[Ref]])),"")</f>
        <v/>
      </c>
    </row>
    <row r="869" spans="1:7" x14ac:dyDescent="0.25">
      <c r="A869" s="39" t="s">
        <v>155</v>
      </c>
      <c r="B869" s="33">
        <v>45482</v>
      </c>
      <c r="C869" s="32" t="s">
        <v>168</v>
      </c>
      <c r="D869" s="32" t="s">
        <v>8</v>
      </c>
      <c r="E869" s="32" t="s">
        <v>190</v>
      </c>
      <c r="F869" s="32" cm="1">
        <f t="array" aca="1" ref="F869" ca="1">IF(Table3[[#This Row],[Stage]]="Closed",0,IF(IFERROR(
  IF(
    COUNTIF(A$2:A$1997, A869) &gt; 1,
    MIN(IF(A$2:A$1997=A869, IF(B$2:B$1997&gt;B869, B$2:B$1997))) - B869,
    TODAY() - Table3[[#This Row],[Date of Update]]
  ),
  TODAY()-Table3[[#This Row],[Date of Update]]
)&lt;=0,
TODAY()-Table3[[#This Row],[Date of Update]],
IFERROR(
  IF(
    COUNTIF(A$2:A$1997, A869) &gt; 1,
    MIN(IF(A$2:A$1997=A869, IF(B$2:B$1997&gt;B869, B$2:B$1997))) - B869,
    TODAY() - Table3[[#This Row],[Date of Update]]
  ),
  TODAY()-Table3[[#This Row],[Date of Update]]
)))</f>
        <v>253</v>
      </c>
      <c r="G869" s="40" t="str">
        <f>IF(Table3[[#This Row],[Stage]]="Closed",Table3[[#This Row],[Date of Update]]-(_xlfn.MINIFS(Table3[Date of Update],Table3[Ref], Table3[[#This Row],[Ref]])),"")</f>
        <v/>
      </c>
    </row>
    <row r="870" spans="1:7" x14ac:dyDescent="0.25">
      <c r="A870" s="39" t="s">
        <v>159</v>
      </c>
      <c r="B870" s="33">
        <v>45484</v>
      </c>
      <c r="C870" s="32" t="s">
        <v>23</v>
      </c>
      <c r="D870" s="32" t="s">
        <v>4</v>
      </c>
      <c r="E870" s="32" t="s">
        <v>150</v>
      </c>
      <c r="F870" s="32" cm="1">
        <f t="array" aca="1" ref="F870" ca="1">IF(Table3[[#This Row],[Stage]]="Closed",0,IF(IFERROR(
  IF(
    COUNTIF(A$2:A$1997, A870) &gt; 1,
    MIN(IF(A$2:A$1997=A870, IF(B$2:B$1997&gt;B870, B$2:B$1997))) - B870,
    TODAY() - Table3[[#This Row],[Date of Update]]
  ),
  TODAY()-Table3[[#This Row],[Date of Update]]
)&lt;=0,
TODAY()-Table3[[#This Row],[Date of Update]],
IFERROR(
  IF(
    COUNTIF(A$2:A$1997, A870) &gt; 1,
    MIN(IF(A$2:A$1997=A870, IF(B$2:B$1997&gt;B870, B$2:B$1997))) - B870,
    TODAY() - Table3[[#This Row],[Date of Update]]
  ),
  TODAY()-Table3[[#This Row],[Date of Update]]
)))</f>
        <v>11</v>
      </c>
      <c r="G870" s="40" t="str">
        <f>IF(Table3[[#This Row],[Stage]]="Closed",Table3[[#This Row],[Date of Update]]-(_xlfn.MINIFS(Table3[Date of Update],Table3[Ref], Table3[[#This Row],[Ref]])),"")</f>
        <v/>
      </c>
    </row>
    <row r="871" spans="1:7" x14ac:dyDescent="0.25">
      <c r="A871" s="39" t="s">
        <v>160</v>
      </c>
      <c r="B871" s="33">
        <v>45484</v>
      </c>
      <c r="C871" s="32" t="s">
        <v>23</v>
      </c>
      <c r="D871" s="32" t="s">
        <v>4</v>
      </c>
      <c r="E871" s="32" t="s">
        <v>150</v>
      </c>
      <c r="F871" s="32" cm="1">
        <f t="array" aca="1" ref="F871" ca="1">IF(Table3[[#This Row],[Stage]]="Closed",0,IF(IFERROR(
  IF(
    COUNTIF(A$2:A$1997, A871) &gt; 1,
    MIN(IF(A$2:A$1997=A871, IF(B$2:B$1997&gt;B871, B$2:B$1997))) - B871,
    TODAY() - Table3[[#This Row],[Date of Update]]
  ),
  TODAY()-Table3[[#This Row],[Date of Update]]
)&lt;=0,
TODAY()-Table3[[#This Row],[Date of Update]],
IFERROR(
  IF(
    COUNTIF(A$2:A$1997, A871) &gt; 1,
    MIN(IF(A$2:A$1997=A871, IF(B$2:B$1997&gt;B871, B$2:B$1997))) - B871,
    TODAY() - Table3[[#This Row],[Date of Update]]
  ),
  TODAY()-Table3[[#This Row],[Date of Update]]
)))</f>
        <v>11</v>
      </c>
      <c r="G871" s="40" t="str">
        <f>IF(Table3[[#This Row],[Stage]]="Closed",Table3[[#This Row],[Date of Update]]-(_xlfn.MINIFS(Table3[Date of Update],Table3[Ref], Table3[[#This Row],[Ref]])),"")</f>
        <v/>
      </c>
    </row>
    <row r="872" spans="1:7" x14ac:dyDescent="0.25">
      <c r="A872" s="39" t="s">
        <v>1519</v>
      </c>
      <c r="B872" s="33">
        <v>45484</v>
      </c>
      <c r="C872" s="32" t="s">
        <v>23</v>
      </c>
      <c r="D872" s="32" t="s">
        <v>4</v>
      </c>
      <c r="E872" s="32" t="s">
        <v>150</v>
      </c>
      <c r="F872" s="32" cm="1">
        <f t="array" aca="1" ref="F872" ca="1">IF(Table3[[#This Row],[Stage]]="Closed",0,IF(IFERROR(
  IF(
    COUNTIF(A$2:A$1997, A872) &gt; 1,
    MIN(IF(A$2:A$1997=A872, IF(B$2:B$1997&gt;B872, B$2:B$1997))) - B872,
    TODAY() - Table3[[#This Row],[Date of Update]]
  ),
  TODAY()-Table3[[#This Row],[Date of Update]]
)&lt;=0,
TODAY()-Table3[[#This Row],[Date of Update]],
IFERROR(
  IF(
    COUNTIF(A$2:A$1997, A872) &gt; 1,
    MIN(IF(A$2:A$1997=A872, IF(B$2:B$1997&gt;B872, B$2:B$1997))) - B872,
    TODAY() - Table3[[#This Row],[Date of Update]]
  ),
  TODAY()-Table3[[#This Row],[Date of Update]]
)))</f>
        <v>11</v>
      </c>
      <c r="G872" s="40" t="str">
        <f>IF(Table3[[#This Row],[Stage]]="Closed",Table3[[#This Row],[Date of Update]]-(_xlfn.MINIFS(Table3[Date of Update],Table3[Ref], Table3[[#This Row],[Ref]])),"")</f>
        <v/>
      </c>
    </row>
    <row r="873" spans="1:7" x14ac:dyDescent="0.25">
      <c r="A873" s="39" t="s">
        <v>161</v>
      </c>
      <c r="B873" s="33">
        <v>45484</v>
      </c>
      <c r="C873" s="32" t="s">
        <v>23</v>
      </c>
      <c r="D873" s="32" t="s">
        <v>4</v>
      </c>
      <c r="E873" s="32" t="s">
        <v>150</v>
      </c>
      <c r="F873" s="32" cm="1">
        <f t="array" aca="1" ref="F873" ca="1">IF(Table3[[#This Row],[Stage]]="Closed",0,IF(IFERROR(
  IF(
    COUNTIF(A$2:A$1997, A873) &gt; 1,
    MIN(IF(A$2:A$1997=A873, IF(B$2:B$1997&gt;B873, B$2:B$1997))) - B873,
    TODAY() - Table3[[#This Row],[Date of Update]]
  ),
  TODAY()-Table3[[#This Row],[Date of Update]]
)&lt;=0,
TODAY()-Table3[[#This Row],[Date of Update]],
IFERROR(
  IF(
    COUNTIF(A$2:A$1997, A873) &gt; 1,
    MIN(IF(A$2:A$1997=A873, IF(B$2:B$1997&gt;B873, B$2:B$1997))) - B873,
    TODAY() - Table3[[#This Row],[Date of Update]]
  ),
  TODAY()-Table3[[#This Row],[Date of Update]]
)))</f>
        <v>11</v>
      </c>
      <c r="G873" s="40" t="str">
        <f>IF(Table3[[#This Row],[Stage]]="Closed",Table3[[#This Row],[Date of Update]]-(_xlfn.MINIFS(Table3[Date of Update],Table3[Ref], Table3[[#This Row],[Ref]])),"")</f>
        <v/>
      </c>
    </row>
    <row r="874" spans="1:7" x14ac:dyDescent="0.25">
      <c r="A874" s="39" t="s">
        <v>162</v>
      </c>
      <c r="B874" s="33">
        <v>45484</v>
      </c>
      <c r="C874" s="32" t="s">
        <v>23</v>
      </c>
      <c r="D874" s="32" t="s">
        <v>4</v>
      </c>
      <c r="E874" s="32" t="s">
        <v>150</v>
      </c>
      <c r="F874" s="32" cm="1">
        <f t="array" aca="1" ref="F874" ca="1">IF(Table3[[#This Row],[Stage]]="Closed",0,IF(IFERROR(
  IF(
    COUNTIF(A$2:A$1997, A874) &gt; 1,
    MIN(IF(A$2:A$1997=A874, IF(B$2:B$1997&gt;B874, B$2:B$1997))) - B874,
    TODAY() - Table3[[#This Row],[Date of Update]]
  ),
  TODAY()-Table3[[#This Row],[Date of Update]]
)&lt;=0,
TODAY()-Table3[[#This Row],[Date of Update]],
IFERROR(
  IF(
    COUNTIF(A$2:A$1997, A874) &gt; 1,
    MIN(IF(A$2:A$1997=A874, IF(B$2:B$1997&gt;B874, B$2:B$1997))) - B874,
    TODAY() - Table3[[#This Row],[Date of Update]]
  ),
  TODAY()-Table3[[#This Row],[Date of Update]]
)))</f>
        <v>11</v>
      </c>
      <c r="G874" s="40" t="str">
        <f>IF(Table3[[#This Row],[Stage]]="Closed",Table3[[#This Row],[Date of Update]]-(_xlfn.MINIFS(Table3[Date of Update],Table3[Ref], Table3[[#This Row],[Ref]])),"")</f>
        <v/>
      </c>
    </row>
    <row r="875" spans="1:7" x14ac:dyDescent="0.25">
      <c r="A875" s="39" t="s">
        <v>1457</v>
      </c>
      <c r="B875" s="33">
        <v>45484</v>
      </c>
      <c r="C875" s="32" t="s">
        <v>23</v>
      </c>
      <c r="D875" s="32" t="s">
        <v>4</v>
      </c>
      <c r="E875" s="32" t="s">
        <v>1024</v>
      </c>
      <c r="F875" s="32" cm="1">
        <f t="array" aca="1" ref="F875" ca="1">IF(Table3[[#This Row],[Stage]]="Closed",0,IF(IFERROR(
  IF(
    COUNTIF(A$2:A$1997, A875) &gt; 1,
    MIN(IF(A$2:A$1997=A875, IF(B$2:B$1997&gt;B875, B$2:B$1997))) - B875,
    TODAY() - Table3[[#This Row],[Date of Update]]
  ),
  TODAY()-Table3[[#This Row],[Date of Update]]
)&lt;=0,
TODAY()-Table3[[#This Row],[Date of Update]],
IFERROR(
  IF(
    COUNTIF(A$2:A$1997, A875) &gt; 1,
    MIN(IF(A$2:A$1997=A875, IF(B$2:B$1997&gt;B875, B$2:B$1997))) - B875,
    TODAY() - Table3[[#This Row],[Date of Update]]
  ),
  TODAY()-Table3[[#This Row],[Date of Update]]
)))</f>
        <v>251</v>
      </c>
      <c r="G875" s="40" t="str">
        <f>IF(Table3[[#This Row],[Stage]]="Closed",Table3[[#This Row],[Date of Update]]-(_xlfn.MINIFS(Table3[Date of Update],Table3[Ref], Table3[[#This Row],[Ref]])),"")</f>
        <v/>
      </c>
    </row>
    <row r="876" spans="1:7" x14ac:dyDescent="0.25">
      <c r="A876" s="39" t="s">
        <v>1457</v>
      </c>
      <c r="B876" s="33">
        <v>45484</v>
      </c>
      <c r="C876" s="32" t="s">
        <v>169</v>
      </c>
      <c r="D876" s="32" t="s">
        <v>4</v>
      </c>
      <c r="E876" s="32" t="s">
        <v>1024</v>
      </c>
      <c r="F876" s="32" cm="1">
        <f t="array" aca="1" ref="F876" ca="1">IF(Table3[[#This Row],[Stage]]="Closed",0,IF(IFERROR(
  IF(
    COUNTIF(A$2:A$1997, A876) &gt; 1,
    MIN(IF(A$2:A$1997=A876, IF(B$2:B$1997&gt;B876, B$2:B$1997))) - B876,
    TODAY() - Table3[[#This Row],[Date of Update]]
  ),
  TODAY()-Table3[[#This Row],[Date of Update]]
)&lt;=0,
TODAY()-Table3[[#This Row],[Date of Update]],
IFERROR(
  IF(
    COUNTIF(A$2:A$1997, A876) &gt; 1,
    MIN(IF(A$2:A$1997=A876, IF(B$2:B$1997&gt;B876, B$2:B$1997))) - B876,
    TODAY() - Table3[[#This Row],[Date of Update]]
  ),
  TODAY()-Table3[[#This Row],[Date of Update]]
)))</f>
        <v>0</v>
      </c>
      <c r="G876" s="40">
        <f>IF(Table3[[#This Row],[Stage]]="Closed",Table3[[#This Row],[Date of Update]]-(_xlfn.MINIFS(Table3[Date of Update],Table3[Ref], Table3[[#This Row],[Ref]])),"")</f>
        <v>0</v>
      </c>
    </row>
    <row r="877" spans="1:7" x14ac:dyDescent="0.25">
      <c r="A877" s="39" t="s">
        <v>163</v>
      </c>
      <c r="B877" s="33">
        <v>45484</v>
      </c>
      <c r="C877" s="32" t="s">
        <v>23</v>
      </c>
      <c r="D877" s="32" t="s">
        <v>4</v>
      </c>
      <c r="E877" s="32" t="s">
        <v>150</v>
      </c>
      <c r="F877" s="32" cm="1">
        <f t="array" aca="1" ref="F877" ca="1">IF(Table3[[#This Row],[Stage]]="Closed",0,IF(IFERROR(
  IF(
    COUNTIF(A$2:A$1997, A877) &gt; 1,
    MIN(IF(A$2:A$1997=A877, IF(B$2:B$1997&gt;B877, B$2:B$1997))) - B877,
    TODAY() - Table3[[#This Row],[Date of Update]]
  ),
  TODAY()-Table3[[#This Row],[Date of Update]]
)&lt;=0,
TODAY()-Table3[[#This Row],[Date of Update]],
IFERROR(
  IF(
    COUNTIF(A$2:A$1997, A877) &gt; 1,
    MIN(IF(A$2:A$1997=A877, IF(B$2:B$1997&gt;B877, B$2:B$1997))) - B877,
    TODAY() - Table3[[#This Row],[Date of Update]]
  ),
  TODAY()-Table3[[#This Row],[Date of Update]]
)))</f>
        <v>11</v>
      </c>
      <c r="G877" s="40" t="str">
        <f>IF(Table3[[#This Row],[Stage]]="Closed",Table3[[#This Row],[Date of Update]]-(_xlfn.MINIFS(Table3[Date of Update],Table3[Ref], Table3[[#This Row],[Ref]])),"")</f>
        <v/>
      </c>
    </row>
    <row r="878" spans="1:7" x14ac:dyDescent="0.25">
      <c r="A878" s="41" t="s">
        <v>1543</v>
      </c>
      <c r="B878" s="37">
        <v>45488</v>
      </c>
      <c r="C878" s="36" t="s">
        <v>23</v>
      </c>
      <c r="D878" s="36" t="s">
        <v>4</v>
      </c>
      <c r="E878" s="36" t="s">
        <v>1542</v>
      </c>
      <c r="F878" s="36" cm="1">
        <f t="array" aca="1" ref="F878" ca="1">IF(Table3[[#This Row],[Stage]]="Closed",0,IF(IFERROR(
  IF(
    COUNTIF(A$2:A$1997, A878) &gt; 1,
    MIN(IF(A$2:A$1997=A878, IF(B$2:B$1997&gt;B878, B$2:B$1997))) - B878,
    TODAY() - Table3[[#This Row],[Date of Update]]
  ),
  TODAY()-Table3[[#This Row],[Date of Update]]
)&lt;=0,
TODAY()-Table3[[#This Row],[Date of Update]],
IFERROR(
  IF(
    COUNTIF(A$2:A$1997, A878) &gt; 1,
    MIN(IF(A$2:A$1997=A878, IF(B$2:B$1997&gt;B878, B$2:B$1997))) - B878,
    TODAY() - Table3[[#This Row],[Date of Update]]
  ),
  TODAY()-Table3[[#This Row],[Date of Update]]
)))</f>
        <v>247</v>
      </c>
      <c r="G878" s="42" t="str">
        <f>IF(Table3[[#This Row],[Stage]]="Closed",Table3[[#This Row],[Date of Update]]-(_xlfn.MINIFS(Table3[Date of Update],Table3[Ref], Table3[[#This Row],[Ref]])),"")</f>
        <v/>
      </c>
    </row>
    <row r="879" spans="1:7" x14ac:dyDescent="0.25">
      <c r="A879" s="41" t="s">
        <v>1550</v>
      </c>
      <c r="B879" s="37">
        <v>45485</v>
      </c>
      <c r="C879" s="36" t="s">
        <v>23</v>
      </c>
      <c r="D879" s="36" t="s">
        <v>4</v>
      </c>
      <c r="E879" s="36" t="s">
        <v>1549</v>
      </c>
      <c r="F879" s="36" cm="1">
        <f t="array" aca="1" ref="F879" ca="1">IF(Table3[[#This Row],[Stage]]="Closed",0,IF(IFERROR(
  IF(
    COUNTIF(A$2:A$1997, A879) &gt; 1,
    MIN(IF(A$2:A$1997=A879, IF(B$2:B$1997&gt;B879, B$2:B$1997))) - B879,
    TODAY() - Table3[[#This Row],[Date of Update]]
  ),
  TODAY()-Table3[[#This Row],[Date of Update]]
)&lt;=0,
TODAY()-Table3[[#This Row],[Date of Update]],
IFERROR(
  IF(
    COUNTIF(A$2:A$1997, A879) &gt; 1,
    MIN(IF(A$2:A$1997=A879, IF(B$2:B$1997&gt;B879, B$2:B$1997))) - B879,
    TODAY() - Table3[[#This Row],[Date of Update]]
  ),
  TODAY()-Table3[[#This Row],[Date of Update]]
)))</f>
        <v>250</v>
      </c>
      <c r="G879" s="42" t="str">
        <f>IF(Table3[[#This Row],[Stage]]="Closed",Table3[[#This Row],[Date of Update]]-(_xlfn.MINIFS(Table3[Date of Update],Table3[Ref], Table3[[#This Row],[Ref]])),"")</f>
        <v/>
      </c>
    </row>
    <row r="880" spans="1:7" x14ac:dyDescent="0.25">
      <c r="A880" s="41" t="s">
        <v>1555</v>
      </c>
      <c r="B880" s="37">
        <v>45489</v>
      </c>
      <c r="C880" s="36" t="s">
        <v>23</v>
      </c>
      <c r="D880" s="36" t="s">
        <v>8</v>
      </c>
      <c r="E880" s="36" t="s">
        <v>1554</v>
      </c>
      <c r="F880" s="36" cm="1">
        <f t="array" aca="1" ref="F880" ca="1">IF(Table3[[#This Row],[Stage]]="Closed",0,IF(IFERROR(
  IF(
    COUNTIF(A$2:A$1997, A880) &gt; 1,
    MIN(IF(A$2:A$1997=A880, IF(B$2:B$1997&gt;B880, B$2:B$1997))) - B880,
    TODAY() - Table3[[#This Row],[Date of Update]]
  ),
  TODAY()-Table3[[#This Row],[Date of Update]]
)&lt;=0,
TODAY()-Table3[[#This Row],[Date of Update]],
IFERROR(
  IF(
    COUNTIF(A$2:A$1997, A880) &gt; 1,
    MIN(IF(A$2:A$1997=A880, IF(B$2:B$1997&gt;B880, B$2:B$1997))) - B880,
    TODAY() - Table3[[#This Row],[Date of Update]]
  ),
  TODAY()-Table3[[#This Row],[Date of Update]]
)))</f>
        <v>246</v>
      </c>
      <c r="G880" s="42" t="str">
        <f>IF(Table3[[#This Row],[Stage]]="Closed",Table3[[#This Row],[Date of Update]]-(_xlfn.MINIFS(Table3[Date of Update],Table3[Ref], Table3[[#This Row],[Ref]])),"")</f>
        <v/>
      </c>
    </row>
    <row r="881" spans="1:7" x14ac:dyDescent="0.25">
      <c r="A881" s="41" t="s">
        <v>1519</v>
      </c>
      <c r="B881" s="37">
        <v>45495</v>
      </c>
      <c r="C881" s="36" t="s">
        <v>23</v>
      </c>
      <c r="D881" s="36" t="s">
        <v>8</v>
      </c>
      <c r="E881" s="36" t="s">
        <v>1564</v>
      </c>
      <c r="F881" s="36" cm="1">
        <f t="array" aca="1" ref="F881" ca="1">IF(Table3[[#This Row],[Stage]]="Closed",0,IF(IFERROR(
  IF(
    COUNTIF(A$2:A$1997, A881) &gt; 1,
    MIN(IF(A$2:A$1997=A881, IF(B$2:B$1997&gt;B881, B$2:B$1997))) - B881,
    TODAY() - Table3[[#This Row],[Date of Update]]
  ),
  TODAY()-Table3[[#This Row],[Date of Update]]
)&lt;=0,
TODAY()-Table3[[#This Row],[Date of Update]],
IFERROR(
  IF(
    COUNTIF(A$2:A$1997, A881) &gt; 1,
    MIN(IF(A$2:A$1997=A881, IF(B$2:B$1997&gt;B881, B$2:B$1997))) - B881,
    TODAY() - Table3[[#This Row],[Date of Update]]
  ),
  TODAY()-Table3[[#This Row],[Date of Update]]
)))</f>
        <v>240</v>
      </c>
      <c r="G881" s="42" t="str">
        <f>IF(Table3[[#This Row],[Stage]]="Closed",Table3[[#This Row],[Date of Update]]-(_xlfn.MINIFS(Table3[Date of Update],Table3[Ref], Table3[[#This Row],[Ref]])),"")</f>
        <v/>
      </c>
    </row>
    <row r="882" spans="1:7" x14ac:dyDescent="0.25">
      <c r="A882" s="41" t="s">
        <v>162</v>
      </c>
      <c r="B882" s="37">
        <v>45495</v>
      </c>
      <c r="C882" s="36" t="s">
        <v>23</v>
      </c>
      <c r="D882" s="36" t="s">
        <v>8</v>
      </c>
      <c r="E882" s="36" t="s">
        <v>1564</v>
      </c>
      <c r="F882" s="36" cm="1">
        <f t="array" aca="1" ref="F882" ca="1">IF(Table3[[#This Row],[Stage]]="Closed",0,IF(IFERROR(
  IF(
    COUNTIF(A$2:A$1997, A882) &gt; 1,
    MIN(IF(A$2:A$1997=A882, IF(B$2:B$1997&gt;B882, B$2:B$1997))) - B882,
    TODAY() - Table3[[#This Row],[Date of Update]]
  ),
  TODAY()-Table3[[#This Row],[Date of Update]]
)&lt;=0,
TODAY()-Table3[[#This Row],[Date of Update]],
IFERROR(
  IF(
    COUNTIF(A$2:A$1997, A882) &gt; 1,
    MIN(IF(A$2:A$1997=A882, IF(B$2:B$1997&gt;B882, B$2:B$1997))) - B882,
    TODAY() - Table3[[#This Row],[Date of Update]]
  ),
  TODAY()-Table3[[#This Row],[Date of Update]]
)))</f>
        <v>240</v>
      </c>
      <c r="G882" s="42" t="str">
        <f>IF(Table3[[#This Row],[Stage]]="Closed",Table3[[#This Row],[Date of Update]]-(_xlfn.MINIFS(Table3[Date of Update],Table3[Ref], Table3[[#This Row],[Ref]])),"")</f>
        <v/>
      </c>
    </row>
    <row r="883" spans="1:7" x14ac:dyDescent="0.25">
      <c r="A883" s="41" t="s">
        <v>163</v>
      </c>
      <c r="B883" s="37">
        <v>45495</v>
      </c>
      <c r="C883" s="36" t="s">
        <v>23</v>
      </c>
      <c r="D883" s="36" t="s">
        <v>8</v>
      </c>
      <c r="E883" s="36" t="s">
        <v>1564</v>
      </c>
      <c r="F883" s="36" cm="1">
        <f t="array" aca="1" ref="F883" ca="1">IF(Table3[[#This Row],[Stage]]="Closed",0,IF(IFERROR(
  IF(
    COUNTIF(A$2:A$1997, A883) &gt; 1,
    MIN(IF(A$2:A$1997=A883, IF(B$2:B$1997&gt;B883, B$2:B$1997))) - B883,
    TODAY() - Table3[[#This Row],[Date of Update]]
  ),
  TODAY()-Table3[[#This Row],[Date of Update]]
)&lt;=0,
TODAY()-Table3[[#This Row],[Date of Update]],
IFERROR(
  IF(
    COUNTIF(A$2:A$1997, A883) &gt; 1,
    MIN(IF(A$2:A$1997=A883, IF(B$2:B$1997&gt;B883, B$2:B$1997))) - B883,
    TODAY() - Table3[[#This Row],[Date of Update]]
  ),
  TODAY()-Table3[[#This Row],[Date of Update]]
)))</f>
        <v>240</v>
      </c>
      <c r="G883" s="42" t="str">
        <f>IF(Table3[[#This Row],[Stage]]="Closed",Table3[[#This Row],[Date of Update]]-(_xlfn.MINIFS(Table3[Date of Update],Table3[Ref], Table3[[#This Row],[Ref]])),"")</f>
        <v/>
      </c>
    </row>
    <row r="884" spans="1:7" x14ac:dyDescent="0.25">
      <c r="A884" s="41" t="s">
        <v>159</v>
      </c>
      <c r="B884" s="37">
        <v>45495</v>
      </c>
      <c r="C884" s="36" t="s">
        <v>23</v>
      </c>
      <c r="D884" s="36" t="s">
        <v>8</v>
      </c>
      <c r="E884" s="36" t="s">
        <v>1564</v>
      </c>
      <c r="F884" s="36" cm="1">
        <f t="array" aca="1" ref="F884" ca="1">IF(Table3[[#This Row],[Stage]]="Closed",0,IF(IFERROR(
  IF(
    COUNTIF(A$2:A$1997, A884) &gt; 1,
    MIN(IF(A$2:A$1997=A884, IF(B$2:B$1997&gt;B884, B$2:B$1997))) - B884,
    TODAY() - Table3[[#This Row],[Date of Update]]
  ),
  TODAY()-Table3[[#This Row],[Date of Update]]
)&lt;=0,
TODAY()-Table3[[#This Row],[Date of Update]],
IFERROR(
  IF(
    COUNTIF(A$2:A$1997, A884) &gt; 1,
    MIN(IF(A$2:A$1997=A884, IF(B$2:B$1997&gt;B884, B$2:B$1997))) - B884,
    TODAY() - Table3[[#This Row],[Date of Update]]
  ),
  TODAY()-Table3[[#This Row],[Date of Update]]
)))</f>
        <v>240</v>
      </c>
      <c r="G884" s="42" t="str">
        <f>IF(Table3[[#This Row],[Stage]]="Closed",Table3[[#This Row],[Date of Update]]-(_xlfn.MINIFS(Table3[Date of Update],Table3[Ref], Table3[[#This Row],[Ref]])),"")</f>
        <v/>
      </c>
    </row>
    <row r="885" spans="1:7" x14ac:dyDescent="0.25">
      <c r="A885" s="41" t="s">
        <v>160</v>
      </c>
      <c r="B885" s="37">
        <v>45495</v>
      </c>
      <c r="C885" s="36" t="s">
        <v>23</v>
      </c>
      <c r="D885" s="36" t="s">
        <v>8</v>
      </c>
      <c r="E885" s="36" t="s">
        <v>1564</v>
      </c>
      <c r="F885" s="36" cm="1">
        <f t="array" aca="1" ref="F885" ca="1">IF(Table3[[#This Row],[Stage]]="Closed",0,IF(IFERROR(
  IF(
    COUNTIF(A$2:A$1997, A885) &gt; 1,
    MIN(IF(A$2:A$1997=A885, IF(B$2:B$1997&gt;B885, B$2:B$1997))) - B885,
    TODAY() - Table3[[#This Row],[Date of Update]]
  ),
  TODAY()-Table3[[#This Row],[Date of Update]]
)&lt;=0,
TODAY()-Table3[[#This Row],[Date of Update]],
IFERROR(
  IF(
    COUNTIF(A$2:A$1997, A885) &gt; 1,
    MIN(IF(A$2:A$1997=A885, IF(B$2:B$1997&gt;B885, B$2:B$1997))) - B885,
    TODAY() - Table3[[#This Row],[Date of Update]]
  ),
  TODAY()-Table3[[#This Row],[Date of Update]]
)))</f>
        <v>240</v>
      </c>
      <c r="G885" s="42" t="str">
        <f>IF(Table3[[#This Row],[Stage]]="Closed",Table3[[#This Row],[Date of Update]]-(_xlfn.MINIFS(Table3[Date of Update],Table3[Ref], Table3[[#This Row],[Ref]])),"")</f>
        <v/>
      </c>
    </row>
    <row r="886" spans="1:7" x14ac:dyDescent="0.25">
      <c r="A886" s="41" t="s">
        <v>161</v>
      </c>
      <c r="B886" s="37">
        <v>45495</v>
      </c>
      <c r="C886" s="36" t="s">
        <v>23</v>
      </c>
      <c r="D886" s="36" t="s">
        <v>8</v>
      </c>
      <c r="E886" s="36" t="s">
        <v>1564</v>
      </c>
      <c r="F886" s="36" cm="1">
        <f t="array" aca="1" ref="F886" ca="1">IF(Table3[[#This Row],[Stage]]="Closed",0,IF(IFERROR(
  IF(
    COUNTIF(A$2:A$1997, A886) &gt; 1,
    MIN(IF(A$2:A$1997=A886, IF(B$2:B$1997&gt;B886, B$2:B$1997))) - B886,
    TODAY() - Table3[[#This Row],[Date of Update]]
  ),
  TODAY()-Table3[[#This Row],[Date of Update]]
)&lt;=0,
TODAY()-Table3[[#This Row],[Date of Update]],
IFERROR(
  IF(
    COUNTIF(A$2:A$1997, A886) &gt; 1,
    MIN(IF(A$2:A$1997=A886, IF(B$2:B$1997&gt;B886, B$2:B$1997))) - B886,
    TODAY() - Table3[[#This Row],[Date of Update]]
  ),
  TODAY()-Table3[[#This Row],[Date of Update]]
)))</f>
        <v>240</v>
      </c>
      <c r="G886" s="42" t="str">
        <f>IF(Table3[[#This Row],[Stage]]="Closed",Table3[[#This Row],[Date of Update]]-(_xlfn.MINIFS(Table3[Date of Update],Table3[Ref], Table3[[#This Row],[Ref]])),"")</f>
        <v/>
      </c>
    </row>
    <row r="887" spans="1:7" x14ac:dyDescent="0.25">
      <c r="A887" s="98" t="s">
        <v>157</v>
      </c>
      <c r="B887" s="99">
        <v>45735</v>
      </c>
      <c r="C887" s="100" t="s">
        <v>166</v>
      </c>
      <c r="D887" s="100" t="s">
        <v>4</v>
      </c>
      <c r="E887" s="100" t="s">
        <v>137</v>
      </c>
      <c r="F887" s="101" cm="1">
        <f t="array" aca="1" ref="F887" ca="1">IF(Table3[[#This Row],[Stage]]="Closed",0,IF(IFERROR(
  IF(
    COUNTIF(A$2:A$1997, A887) &gt; 1,
    MIN(IF(A$2:A$1997=A887, IF(B$2:B$1997&gt;B887, B$2:B$1997))) - B887,
    TODAY() - Table3[[#This Row],[Date of Update]]
  ),
  TODAY()-Table3[[#This Row],[Date of Update]]
)&lt;=0,
TODAY()-Table3[[#This Row],[Date of Update]],
IFERROR(
  IF(
    COUNTIF(A$2:A$1997, A887) &gt; 1,
    MIN(IF(A$2:A$1997=A887, IF(B$2:B$1997&gt;B887, B$2:B$1997))) - B887,
    TODAY() - Table3[[#This Row],[Date of Update]]
  ),
  TODAY()-Table3[[#This Row],[Date of Update]]
)))</f>
        <v>0</v>
      </c>
      <c r="G887" s="102" t="str">
        <f>IF(Table3[[#This Row],[Stage]]="Closed",Table3[[#This Row],[Date of Update]]-(_xlfn.MINIFS(Table3[Date of Update],Table3[Ref], Table3[[#This Row],[Ref]])),"")</f>
        <v/>
      </c>
    </row>
  </sheetData>
  <phoneticPr fontId="4"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E8CEC9-324C-44DF-B25F-2665C6479BB9}">
  <sheetPr codeName="Sheet2">
    <tabColor theme="3" tint="0.79998168889431442"/>
  </sheetPr>
  <dimension ref="B1:P57"/>
  <sheetViews>
    <sheetView showGridLines="0" tabSelected="1" zoomScale="80" workbookViewId="0">
      <selection activeCell="J29" sqref="J29"/>
    </sheetView>
  </sheetViews>
  <sheetFormatPr defaultColWidth="10.69921875" defaultRowHeight="13.2" x14ac:dyDescent="0.25"/>
  <cols>
    <col min="1" max="1" width="2.3984375" style="47" customWidth="1"/>
    <col min="2" max="2" width="3" style="47" customWidth="1"/>
    <col min="3" max="3" width="10.296875" style="47" customWidth="1"/>
    <col min="4" max="6" width="10.69921875" style="47"/>
    <col min="7" max="7" width="3" style="47" customWidth="1"/>
    <col min="8" max="8" width="10.69921875" style="18"/>
    <col min="9" max="10" width="10.69921875" style="47"/>
    <col min="11" max="11" width="10.69921875" style="71"/>
    <col min="12" max="12" width="3" style="47" customWidth="1"/>
    <col min="13" max="16384" width="10.69921875" style="47"/>
  </cols>
  <sheetData>
    <row r="1" spans="2:16" ht="13.8" x14ac:dyDescent="0.25">
      <c r="I1" s="24"/>
      <c r="J1" s="24"/>
      <c r="K1" s="68"/>
      <c r="L1" s="24"/>
      <c r="M1" s="24"/>
      <c r="N1" s="24"/>
      <c r="O1" s="24"/>
      <c r="P1" s="24"/>
    </row>
    <row r="2" spans="2:16" ht="13.8" x14ac:dyDescent="0.25">
      <c r="B2" s="72"/>
      <c r="C2" s="72"/>
      <c r="D2" s="72"/>
      <c r="E2" s="72"/>
      <c r="F2" s="72"/>
      <c r="G2" s="72"/>
      <c r="H2" s="92"/>
      <c r="I2" s="72"/>
      <c r="J2" s="72"/>
      <c r="K2" s="73"/>
      <c r="L2" s="72"/>
      <c r="M2" s="24"/>
      <c r="N2" s="24"/>
      <c r="O2" s="24"/>
      <c r="P2" s="24"/>
    </row>
    <row r="3" spans="2:16" ht="13.8" x14ac:dyDescent="0.25">
      <c r="B3" s="72"/>
      <c r="C3" s="24"/>
      <c r="D3" s="24"/>
      <c r="E3" s="24"/>
      <c r="F3" s="24"/>
      <c r="G3" s="72"/>
      <c r="H3" s="95" t="s">
        <v>1545</v>
      </c>
      <c r="I3" s="95"/>
      <c r="J3" s="95"/>
      <c r="K3" s="95"/>
      <c r="L3" s="72"/>
      <c r="M3" s="24"/>
      <c r="N3" s="24"/>
      <c r="O3" s="24"/>
      <c r="P3" s="24"/>
    </row>
    <row r="4" spans="2:16" ht="34.950000000000003" customHeight="1" x14ac:dyDescent="0.25">
      <c r="B4" s="72"/>
      <c r="C4" s="24"/>
      <c r="D4" s="24"/>
      <c r="E4" s="24"/>
      <c r="F4" s="24"/>
      <c r="G4" s="72"/>
      <c r="H4" s="80"/>
      <c r="I4" s="82" t="s">
        <v>1558</v>
      </c>
      <c r="J4" s="82" t="s">
        <v>1559</v>
      </c>
      <c r="K4" s="83" t="s">
        <v>195</v>
      </c>
      <c r="L4" s="72"/>
      <c r="M4" s="24"/>
      <c r="N4" s="24"/>
      <c r="O4" s="24"/>
      <c r="P4" s="24"/>
    </row>
    <row r="5" spans="2:16" ht="13.8" x14ac:dyDescent="0.25">
      <c r="B5" s="72"/>
      <c r="C5" s="24"/>
      <c r="D5" s="24"/>
      <c r="E5" s="24"/>
      <c r="F5" s="24"/>
      <c r="G5" s="72"/>
      <c r="H5" s="93">
        <f ca="1">DATE(YEAR(TODAY()),MONTH(TODAY())-1,"1")</f>
        <v>45689</v>
      </c>
      <c r="I5" s="48" t="e">
        <f ca="1">INDEX(Table4[],MATCH($H$5,Table4[Date],0),2)</f>
        <v>#N/A</v>
      </c>
      <c r="J5" s="48" t="e">
        <f ca="1">INDEX(Table4[],MATCH($H$5,Table4[Date],0),3)</f>
        <v>#N/A</v>
      </c>
      <c r="K5" s="48" t="e">
        <f ca="1">INDEX(Table4[],MATCH($H$5,Table4[Date],0),4)</f>
        <v>#N/A</v>
      </c>
      <c r="L5" s="72"/>
      <c r="M5" s="24"/>
      <c r="N5" s="24"/>
      <c r="O5" s="24"/>
      <c r="P5" s="24"/>
    </row>
    <row r="6" spans="2:16" ht="13.8" x14ac:dyDescent="0.25">
      <c r="B6" s="72"/>
      <c r="C6" s="24"/>
      <c r="D6" s="24"/>
      <c r="E6" s="24"/>
      <c r="F6" s="24"/>
      <c r="G6" s="74"/>
      <c r="H6" s="94"/>
      <c r="I6" s="75"/>
      <c r="J6" s="75"/>
      <c r="K6" s="79"/>
      <c r="L6" s="72"/>
      <c r="M6" s="24"/>
      <c r="N6" s="24"/>
      <c r="O6" s="24"/>
      <c r="P6" s="24"/>
    </row>
    <row r="7" spans="2:16" ht="13.8" x14ac:dyDescent="0.25">
      <c r="B7" s="72"/>
      <c r="C7" s="72"/>
      <c r="D7" s="72"/>
      <c r="E7" s="72"/>
      <c r="F7" s="75"/>
      <c r="G7" s="75"/>
      <c r="H7" s="96" t="s">
        <v>1544</v>
      </c>
      <c r="I7" s="96"/>
      <c r="J7" s="96"/>
      <c r="K7" s="96"/>
      <c r="L7" s="72"/>
      <c r="M7" s="24"/>
      <c r="N7" s="24"/>
      <c r="O7" s="24"/>
      <c r="P7" s="24"/>
    </row>
    <row r="8" spans="2:16" ht="34.950000000000003" customHeight="1" x14ac:dyDescent="0.25">
      <c r="B8" s="72"/>
      <c r="C8" s="88"/>
      <c r="D8" s="82" t="s">
        <v>1557</v>
      </c>
      <c r="E8" s="82" t="s">
        <v>1562</v>
      </c>
      <c r="F8" s="82" t="s">
        <v>1563</v>
      </c>
      <c r="G8" s="75"/>
      <c r="H8" s="80"/>
      <c r="I8" s="82" t="s">
        <v>1026</v>
      </c>
      <c r="J8" s="82" t="s">
        <v>1027</v>
      </c>
      <c r="K8" s="82" t="s">
        <v>1560</v>
      </c>
      <c r="L8" s="72"/>
      <c r="M8" s="24"/>
      <c r="N8" s="24"/>
      <c r="O8" s="24"/>
      <c r="P8" s="24"/>
    </row>
    <row r="9" spans="2:16" ht="13.8" x14ac:dyDescent="0.25">
      <c r="B9" s="72"/>
      <c r="C9" s="89" t="s">
        <v>12</v>
      </c>
      <c r="D9" s="18">
        <f>COUNTIFS(Table2[Overall Status],"Open",Table2[Legal],"Tu Sen")</f>
        <v>25</v>
      </c>
      <c r="E9" s="91">
        <f>COUNTIFS(Table2[Overall Status],"Open",Table2[Legal],"Tu Sen",Table2[Who With],"Legal")</f>
        <v>6</v>
      </c>
      <c r="F9" s="91">
        <f>COUNTIFS(Table2[Overall Status],"Open",Table2[Legal],"Tu Sen",Table2[Who With],"&lt;&gt;"&amp;"Legal")</f>
        <v>19</v>
      </c>
      <c r="G9" s="75"/>
      <c r="H9" s="93">
        <f ca="1">DATE(YEAR(TODAY()),MONTH(TODAY())-1,"1")</f>
        <v>45689</v>
      </c>
      <c r="I9" s="18">
        <f ca="1">INDEX(Table7[],MATCH($H$9,Table7[Date],0),2)</f>
        <v>0</v>
      </c>
      <c r="J9" s="18">
        <f ca="1">INDEX(Table7[],MATCH($H$9,Table7[Date],0),3)</f>
        <v>0</v>
      </c>
      <c r="K9" s="48">
        <f ca="1">INDEX(Table7[],MATCH($H$9,Table7[Date],0),4)</f>
        <v>38</v>
      </c>
      <c r="L9" s="72"/>
      <c r="M9" s="24"/>
      <c r="N9" s="24"/>
      <c r="O9" s="24"/>
      <c r="P9" s="24"/>
    </row>
    <row r="10" spans="2:16" ht="13.8" x14ac:dyDescent="0.25">
      <c r="B10" s="72"/>
      <c r="C10" s="89" t="s">
        <v>16</v>
      </c>
      <c r="D10" s="18">
        <f>COUNTIFS(Table2[Overall Status],"Open",Table2[Legal],"Charlotte")</f>
        <v>15</v>
      </c>
      <c r="E10" s="91">
        <f>COUNTIFS(Table2[Overall Status],"Open",Table2[Legal],"Charlotte",Table2[Who With],"Legal")</f>
        <v>1</v>
      </c>
      <c r="F10" s="91">
        <f>COUNTIFS(Table2[Overall Status],"Open",Table2[Legal],"Charlotte",Table2[Who With],"&lt;&gt;"&amp;"Legal")</f>
        <v>14</v>
      </c>
      <c r="G10" s="75"/>
      <c r="H10" s="94"/>
      <c r="I10" s="75"/>
      <c r="J10" s="75"/>
      <c r="K10" s="79"/>
      <c r="L10" s="72"/>
      <c r="M10" s="24"/>
      <c r="N10" s="24"/>
      <c r="O10" s="24"/>
      <c r="P10" s="24"/>
    </row>
    <row r="11" spans="2:16" ht="13.8" x14ac:dyDescent="0.25">
      <c r="B11" s="72"/>
      <c r="C11" s="72"/>
      <c r="D11" s="72"/>
      <c r="E11" s="72"/>
      <c r="F11" s="75"/>
      <c r="G11" s="75"/>
      <c r="H11" s="96" t="s">
        <v>1025</v>
      </c>
      <c r="I11" s="96"/>
      <c r="J11" s="96"/>
      <c r="K11" s="96"/>
      <c r="L11" s="72"/>
      <c r="M11" s="24"/>
      <c r="N11" s="24"/>
      <c r="O11" s="24"/>
      <c r="P11" s="24"/>
    </row>
    <row r="12" spans="2:16" ht="34.950000000000003" customHeight="1" x14ac:dyDescent="0.25">
      <c r="B12" s="72"/>
      <c r="C12" s="72"/>
      <c r="D12" s="72"/>
      <c r="E12" s="72"/>
      <c r="F12" s="75"/>
      <c r="G12" s="75"/>
      <c r="H12" s="80"/>
      <c r="I12" s="82" t="s">
        <v>1561</v>
      </c>
      <c r="J12" s="82" t="s">
        <v>1030</v>
      </c>
      <c r="K12" s="83" t="s">
        <v>1031</v>
      </c>
      <c r="L12" s="72"/>
      <c r="M12" s="24"/>
      <c r="N12" s="24"/>
      <c r="O12" s="24"/>
      <c r="P12" s="24"/>
    </row>
    <row r="13" spans="2:16" ht="13.8" x14ac:dyDescent="0.25">
      <c r="B13" s="72"/>
      <c r="C13" s="72"/>
      <c r="D13" s="72"/>
      <c r="E13" s="72"/>
      <c r="F13" s="75"/>
      <c r="G13" s="75"/>
      <c r="H13" s="93">
        <f ca="1">DATE(YEAR(TODAY()),MONTH(TODAY())-1,"1")</f>
        <v>45689</v>
      </c>
      <c r="I13" s="18">
        <f ca="1">INDEX(Table6[],MATCH($H$13,Table6[Date],0),2)</f>
        <v>0</v>
      </c>
      <c r="J13" s="18">
        <f ca="1">INDEX(Table6[],MATCH($H$13,Table6[Date],0),3)</f>
        <v>0</v>
      </c>
      <c r="K13" s="48">
        <f ca="1">INDEX(Table6[],MATCH($H$13,Table6[Date],0),4)</f>
        <v>0</v>
      </c>
      <c r="L13" s="72"/>
      <c r="M13" s="24"/>
      <c r="N13" s="24"/>
      <c r="O13" s="24"/>
      <c r="P13" s="24"/>
    </row>
    <row r="14" spans="2:16" ht="13.8" x14ac:dyDescent="0.25">
      <c r="B14" s="72"/>
      <c r="C14" s="72"/>
      <c r="D14" s="72"/>
      <c r="E14" s="72"/>
      <c r="F14" s="75"/>
      <c r="G14" s="75"/>
      <c r="H14" s="94"/>
      <c r="I14" s="75"/>
      <c r="J14" s="75"/>
      <c r="K14" s="79"/>
      <c r="L14" s="72"/>
      <c r="M14" s="24"/>
      <c r="N14" s="24"/>
      <c r="O14" s="24"/>
      <c r="P14" s="24"/>
    </row>
    <row r="15" spans="2:16" ht="13.8" x14ac:dyDescent="0.25">
      <c r="B15" s="24"/>
      <c r="C15" s="24"/>
      <c r="D15" s="24"/>
      <c r="E15" s="24"/>
      <c r="K15" s="47"/>
      <c r="M15" s="24"/>
      <c r="N15" s="24"/>
      <c r="O15" s="24"/>
      <c r="P15" s="24"/>
    </row>
    <row r="16" spans="2:16" x14ac:dyDescent="0.25">
      <c r="K16" s="47"/>
    </row>
    <row r="17" spans="11:11" x14ac:dyDescent="0.25">
      <c r="K17" s="90"/>
    </row>
    <row r="18" spans="11:11" x14ac:dyDescent="0.25">
      <c r="K18" s="47"/>
    </row>
    <row r="19" spans="11:11" x14ac:dyDescent="0.25">
      <c r="K19" s="47"/>
    </row>
    <row r="20" spans="11:11" x14ac:dyDescent="0.25">
      <c r="K20" s="47"/>
    </row>
    <row r="21" spans="11:11" x14ac:dyDescent="0.25">
      <c r="K21" s="47"/>
    </row>
    <row r="22" spans="11:11" x14ac:dyDescent="0.25">
      <c r="K22" s="47"/>
    </row>
    <row r="23" spans="11:11" x14ac:dyDescent="0.25">
      <c r="K23" s="47"/>
    </row>
    <row r="24" spans="11:11" x14ac:dyDescent="0.25">
      <c r="K24" s="47"/>
    </row>
    <row r="25" spans="11:11" x14ac:dyDescent="0.25">
      <c r="K25" s="47"/>
    </row>
    <row r="26" spans="11:11" x14ac:dyDescent="0.25">
      <c r="K26" s="47"/>
    </row>
    <row r="27" spans="11:11" x14ac:dyDescent="0.25">
      <c r="K27" s="47"/>
    </row>
    <row r="28" spans="11:11" x14ac:dyDescent="0.25">
      <c r="K28" s="47"/>
    </row>
    <row r="29" spans="11:11" x14ac:dyDescent="0.25">
      <c r="K29" s="47"/>
    </row>
    <row r="30" spans="11:11" x14ac:dyDescent="0.25">
      <c r="K30" s="47"/>
    </row>
    <row r="31" spans="11:11" x14ac:dyDescent="0.25">
      <c r="K31" s="47"/>
    </row>
    <row r="32" spans="11:11" x14ac:dyDescent="0.25">
      <c r="K32" s="47"/>
    </row>
    <row r="33" spans="11:11" x14ac:dyDescent="0.25">
      <c r="K33" s="47"/>
    </row>
    <row r="34" spans="11:11" x14ac:dyDescent="0.25">
      <c r="K34" s="47"/>
    </row>
    <row r="35" spans="11:11" x14ac:dyDescent="0.25">
      <c r="K35" s="47"/>
    </row>
    <row r="36" spans="11:11" x14ac:dyDescent="0.25">
      <c r="K36" s="47"/>
    </row>
    <row r="37" spans="11:11" x14ac:dyDescent="0.25">
      <c r="K37" s="47"/>
    </row>
    <row r="38" spans="11:11" x14ac:dyDescent="0.25">
      <c r="K38" s="47"/>
    </row>
    <row r="39" spans="11:11" x14ac:dyDescent="0.25">
      <c r="K39" s="47"/>
    </row>
    <row r="40" spans="11:11" x14ac:dyDescent="0.25">
      <c r="K40" s="47"/>
    </row>
    <row r="41" spans="11:11" x14ac:dyDescent="0.25">
      <c r="K41" s="47"/>
    </row>
    <row r="42" spans="11:11" x14ac:dyDescent="0.25">
      <c r="K42" s="47"/>
    </row>
    <row r="43" spans="11:11" x14ac:dyDescent="0.25">
      <c r="K43" s="47"/>
    </row>
    <row r="44" spans="11:11" x14ac:dyDescent="0.25">
      <c r="K44" s="47"/>
    </row>
    <row r="45" spans="11:11" x14ac:dyDescent="0.25">
      <c r="K45" s="47"/>
    </row>
    <row r="46" spans="11:11" x14ac:dyDescent="0.25">
      <c r="K46" s="47"/>
    </row>
    <row r="47" spans="11:11" x14ac:dyDescent="0.25">
      <c r="K47" s="47"/>
    </row>
    <row r="48" spans="11:11" x14ac:dyDescent="0.25">
      <c r="K48" s="47"/>
    </row>
    <row r="49" spans="11:11" x14ac:dyDescent="0.25">
      <c r="K49" s="47"/>
    </row>
    <row r="50" spans="11:11" x14ac:dyDescent="0.25">
      <c r="K50" s="47"/>
    </row>
    <row r="51" spans="11:11" x14ac:dyDescent="0.25">
      <c r="K51" s="47"/>
    </row>
    <row r="52" spans="11:11" x14ac:dyDescent="0.25">
      <c r="K52" s="47"/>
    </row>
    <row r="53" spans="11:11" x14ac:dyDescent="0.25">
      <c r="K53" s="47"/>
    </row>
    <row r="54" spans="11:11" x14ac:dyDescent="0.25">
      <c r="K54" s="47"/>
    </row>
    <row r="55" spans="11:11" x14ac:dyDescent="0.25">
      <c r="K55" s="47"/>
    </row>
    <row r="56" spans="11:11" x14ac:dyDescent="0.25">
      <c r="K56" s="47"/>
    </row>
    <row r="57" spans="11:11" x14ac:dyDescent="0.25">
      <c r="K57" s="47"/>
    </row>
  </sheetData>
  <mergeCells count="3">
    <mergeCell ref="H3:K3"/>
    <mergeCell ref="H7:K7"/>
    <mergeCell ref="H11:K11"/>
  </mergeCells>
  <dataValidations count="1">
    <dataValidation type="list" allowBlank="1" showInputMessage="1" showErrorMessage="1" sqref="I8" xr:uid="{F2369DB4-5CF4-4A2F-B6C6-3EFEC547F7DF}">
      <formula1>INDIRECT(U8)</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4" r:id="rId3" name="Button 106">
              <controlPr defaultSize="0" print="0" autoFill="0" autoPict="0" macro="[0]!UserForm_Activate">
                <anchor moveWithCells="1" sizeWithCells="1">
                  <from>
                    <xdr:col>2</xdr:col>
                    <xdr:colOff>236220</xdr:colOff>
                    <xdr:row>3</xdr:row>
                    <xdr:rowOff>53340</xdr:rowOff>
                  </from>
                  <to>
                    <xdr:col>3</xdr:col>
                    <xdr:colOff>716280</xdr:colOff>
                    <xdr:row>4</xdr:row>
                    <xdr:rowOff>137160</xdr:rowOff>
                  </to>
                </anchor>
              </controlPr>
            </control>
          </mc:Choice>
        </mc:AlternateContent>
        <mc:AlternateContent xmlns:mc="http://schemas.openxmlformats.org/markup-compatibility/2006">
          <mc:Choice Requires="x14">
            <control shapeId="2155" r:id="rId4" name="Button 107">
              <controlPr defaultSize="0" print="0" autoFill="0" autoPict="0" macro="[0]!updatecontract_activate">
                <anchor moveWithCells="1" sizeWithCells="1">
                  <from>
                    <xdr:col>4</xdr:col>
                    <xdr:colOff>160020</xdr:colOff>
                    <xdr:row>3</xdr:row>
                    <xdr:rowOff>53340</xdr:rowOff>
                  </from>
                  <to>
                    <xdr:col>5</xdr:col>
                    <xdr:colOff>563880</xdr:colOff>
                    <xdr:row>4</xdr:row>
                    <xdr:rowOff>137160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CAC799-E958-482C-B06B-1453F855F3FB}">
  <sheetPr codeName="Sheet7"/>
  <dimension ref="A1:P457"/>
  <sheetViews>
    <sheetView zoomScale="71" workbookViewId="0">
      <selection activeCell="A457" sqref="A457"/>
    </sheetView>
  </sheetViews>
  <sheetFormatPr defaultRowHeight="13.8" x14ac:dyDescent="0.25"/>
  <cols>
    <col min="1" max="1" width="10.796875" customWidth="1"/>
    <col min="2" max="2" width="14.09765625" customWidth="1"/>
    <col min="3" max="3" width="20.19921875" customWidth="1"/>
    <col min="4" max="4" width="20.5" customWidth="1"/>
    <col min="5" max="5" width="12.59765625" customWidth="1"/>
    <col min="6" max="6" width="9.3984375" customWidth="1"/>
    <col min="7" max="7" width="13.796875" customWidth="1"/>
    <col min="8" max="8" width="9.8984375" customWidth="1"/>
    <col min="9" max="9" width="29.09765625" customWidth="1"/>
    <col min="10" max="10" width="19.8984375" customWidth="1"/>
    <col min="11" max="11" width="11.296875" customWidth="1"/>
    <col min="12" max="12" width="11.69921875" customWidth="1"/>
    <col min="14" max="14" width="48" customWidth="1"/>
  </cols>
  <sheetData>
    <row r="1" spans="1:16" x14ac:dyDescent="0.25">
      <c r="A1" s="25" t="s">
        <v>19</v>
      </c>
      <c r="B1" s="43" t="s">
        <v>0</v>
      </c>
      <c r="C1" s="44" t="s">
        <v>1</v>
      </c>
      <c r="D1" s="44" t="s">
        <v>2</v>
      </c>
      <c r="E1" s="44" t="s">
        <v>3</v>
      </c>
      <c r="F1" s="44" t="s">
        <v>4</v>
      </c>
      <c r="G1" s="44" t="s">
        <v>5</v>
      </c>
      <c r="H1" s="44" t="s">
        <v>6</v>
      </c>
      <c r="I1" s="44" t="s">
        <v>7</v>
      </c>
      <c r="J1" s="44" t="s">
        <v>8</v>
      </c>
      <c r="K1" s="44" t="s">
        <v>9</v>
      </c>
      <c r="L1" s="44" t="s">
        <v>22</v>
      </c>
      <c r="M1" s="44" t="s">
        <v>21</v>
      </c>
      <c r="N1" s="44" t="s">
        <v>10</v>
      </c>
      <c r="O1" s="44" t="s">
        <v>165</v>
      </c>
      <c r="P1" s="45" t="s">
        <v>195</v>
      </c>
    </row>
    <row r="2" spans="1:16" hidden="1" x14ac:dyDescent="0.25">
      <c r="A2" s="39" t="str">
        <f>IF(Table2[[#This Row],[Date Received]]="","",_xlfn.CONCAT(Table2[[#This Row],[Counterparty]]," - ",Table2[[#This Row],[Contract Name]]))</f>
        <v>Cornerstone - Service Agreement</v>
      </c>
      <c r="B2" s="33">
        <v>44616</v>
      </c>
      <c r="C2" s="32" t="s">
        <v>11</v>
      </c>
      <c r="D2" s="32" t="s">
        <v>207</v>
      </c>
      <c r="E2" s="32"/>
      <c r="F2" s="32" t="s">
        <v>20</v>
      </c>
      <c r="G2" s="32" t="s">
        <v>30</v>
      </c>
      <c r="H2" s="32" t="s">
        <v>17</v>
      </c>
      <c r="I2" s="32" t="s">
        <v>201</v>
      </c>
      <c r="J2" s="32" t="s">
        <v>208</v>
      </c>
      <c r="K2" s="32" t="s">
        <v>199</v>
      </c>
      <c r="L2" s="32" t="s">
        <v>169</v>
      </c>
      <c r="M2" s="32" t="str">
        <f>IF(Table2[[#This Row],[Stage]]="Closed","Closed","Open")</f>
        <v>Closed</v>
      </c>
      <c r="N2" s="32"/>
      <c r="O2" s="32">
        <f ca="1">SUMIFS(Table3[Days with], Table3[Ref], Table2[[#This Row],[Ref]],Table3[Who With],"Legal")</f>
        <v>18</v>
      </c>
      <c r="P2" s="34">
        <f>SUMIFS(Table3[Total Cycle Time],Table3[Ref],Table2[[#This Row],[Ref]])</f>
        <v>18</v>
      </c>
    </row>
    <row r="3" spans="1:16" hidden="1" x14ac:dyDescent="0.25">
      <c r="A3" s="39" t="str">
        <f>IF(Table2[[#This Row],[Date Received]]="","",_xlfn.CONCAT(Table2[[#This Row],[Counterparty]]," - ",Table2[[#This Row],[Contract Name]]))</f>
        <v>KPMG - Engagement Letter 1</v>
      </c>
      <c r="B3" s="33">
        <v>44616</v>
      </c>
      <c r="C3" s="32" t="s">
        <v>1078</v>
      </c>
      <c r="D3" s="32" t="s">
        <v>197</v>
      </c>
      <c r="E3" s="32"/>
      <c r="F3" s="32" t="s">
        <v>20</v>
      </c>
      <c r="G3" s="32" t="s">
        <v>27</v>
      </c>
      <c r="H3" s="32" t="s">
        <v>17</v>
      </c>
      <c r="I3" s="32" t="s">
        <v>1459</v>
      </c>
      <c r="J3" s="32" t="s">
        <v>28</v>
      </c>
      <c r="K3" s="32" t="s">
        <v>199</v>
      </c>
      <c r="L3" s="32" t="s">
        <v>169</v>
      </c>
      <c r="M3" s="32" t="str">
        <f>IF(Table2[[#This Row],[Stage]]="Closed","Closed","Open")</f>
        <v>Closed</v>
      </c>
      <c r="N3" s="32"/>
      <c r="O3" s="32">
        <f ca="1">SUMIFS(Table3[Days with], Table3[Ref], Table2[[#This Row],[Ref]],Table3[Who With],"Legal")</f>
        <v>6</v>
      </c>
      <c r="P3" s="34">
        <f>SUMIFS(Table3[Total Cycle Time],Table3[Ref],Table2[[#This Row],[Ref]])</f>
        <v>6</v>
      </c>
    </row>
    <row r="4" spans="1:16" hidden="1" x14ac:dyDescent="0.25">
      <c r="A4" s="39" t="str">
        <f>IF(Table2[[#This Row],[Date Received]]="","",_xlfn.CONCAT(Table2[[#This Row],[Counterparty]]," - ",Table2[[#This Row],[Contract Name]]))</f>
        <v>AMCO CPM Solutions Limited - Service Agreement</v>
      </c>
      <c r="B4" s="33">
        <v>44617</v>
      </c>
      <c r="C4" s="32" t="s">
        <v>11</v>
      </c>
      <c r="D4" s="32" t="s">
        <v>200</v>
      </c>
      <c r="E4" s="32" t="s">
        <v>199</v>
      </c>
      <c r="F4" s="32" t="s">
        <v>20</v>
      </c>
      <c r="G4" s="32" t="s">
        <v>27</v>
      </c>
      <c r="H4" s="32" t="s">
        <v>17</v>
      </c>
      <c r="I4" s="32" t="s">
        <v>201</v>
      </c>
      <c r="J4" s="32" t="s">
        <v>28</v>
      </c>
      <c r="K4" s="32" t="s">
        <v>199</v>
      </c>
      <c r="L4" s="32" t="s">
        <v>169</v>
      </c>
      <c r="M4" s="32" t="str">
        <f>IF(Table2[[#This Row],[Stage]]="Closed","Closed","Open")</f>
        <v>Closed</v>
      </c>
      <c r="N4" s="32"/>
      <c r="O4" s="32">
        <f ca="1">SUMIFS(Table3[Days with], Table3[Ref], Table2[[#This Row],[Ref]],Table3[Who With],"Legal")</f>
        <v>7</v>
      </c>
      <c r="P4" s="34">
        <f>SUMIFS(Table3[Total Cycle Time],Table3[Ref],Table2[[#This Row],[Ref]])</f>
        <v>7</v>
      </c>
    </row>
    <row r="5" spans="1:16" hidden="1" x14ac:dyDescent="0.25">
      <c r="A5" s="39" t="str">
        <f>IF(Table2[[#This Row],[Date Received]]="","",_xlfn.CONCAT(Table2[[#This Row],[Counterparty]]," - ",Table2[[#This Row],[Contract Name]]))</f>
        <v>Cornerstone - Data Processing Agreement</v>
      </c>
      <c r="B5" s="33">
        <v>44617</v>
      </c>
      <c r="C5" s="32" t="s">
        <v>11</v>
      </c>
      <c r="D5" s="32" t="s">
        <v>207</v>
      </c>
      <c r="E5" s="32"/>
      <c r="F5" s="32" t="s">
        <v>20</v>
      </c>
      <c r="G5" s="32" t="s">
        <v>30</v>
      </c>
      <c r="H5" s="32" t="s">
        <v>17</v>
      </c>
      <c r="I5" s="32" t="s">
        <v>209</v>
      </c>
      <c r="J5" s="32" t="s">
        <v>208</v>
      </c>
      <c r="K5" s="32" t="s">
        <v>199</v>
      </c>
      <c r="L5" s="32" t="s">
        <v>169</v>
      </c>
      <c r="M5" s="32" t="str">
        <f>IF(Table2[[#This Row],[Stage]]="Closed","Closed","Open")</f>
        <v>Closed</v>
      </c>
      <c r="N5" s="32"/>
      <c r="O5" s="32">
        <f ca="1">SUMIFS(Table3[Days with], Table3[Ref], Table2[[#This Row],[Ref]],Table3[Who With],"Legal")</f>
        <v>17</v>
      </c>
      <c r="P5" s="34">
        <f>SUMIFS(Table3[Total Cycle Time],Table3[Ref],Table2[[#This Row],[Ref]])</f>
        <v>17</v>
      </c>
    </row>
    <row r="6" spans="1:16" hidden="1" x14ac:dyDescent="0.25">
      <c r="A6" s="39" t="str">
        <f>IF(Table2[[#This Row],[Date Received]]="","",_xlfn.CONCAT(Table2[[#This Row],[Counterparty]]," - ",Table2[[#This Row],[Contract Name]]))</f>
        <v>NVS - Extension to Supply Agreement</v>
      </c>
      <c r="B6" s="33">
        <v>44617</v>
      </c>
      <c r="C6" s="32" t="s">
        <v>11</v>
      </c>
      <c r="D6" s="32" t="s">
        <v>212</v>
      </c>
      <c r="E6" s="32"/>
      <c r="F6" s="32" t="s">
        <v>20</v>
      </c>
      <c r="G6" s="32" t="s">
        <v>14</v>
      </c>
      <c r="H6" s="32" t="s">
        <v>17</v>
      </c>
      <c r="I6" s="32" t="s">
        <v>213</v>
      </c>
      <c r="J6" s="32" t="s">
        <v>31</v>
      </c>
      <c r="K6" s="32" t="s">
        <v>8</v>
      </c>
      <c r="L6" s="32" t="s">
        <v>169</v>
      </c>
      <c r="M6" s="32" t="str">
        <f>IF(Table2[[#This Row],[Stage]]="Closed","Closed","Open")</f>
        <v>Closed</v>
      </c>
      <c r="N6" s="32" t="s">
        <v>214</v>
      </c>
      <c r="O6" s="32">
        <f ca="1">SUMIFS(Table3[Days with], Table3[Ref], Table2[[#This Row],[Ref]],Table3[Who With],"Legal")</f>
        <v>30</v>
      </c>
      <c r="P6" s="34">
        <f>SUMIFS(Table3[Total Cycle Time],Table3[Ref],Table2[[#This Row],[Ref]])</f>
        <v>30</v>
      </c>
    </row>
    <row r="7" spans="1:16" hidden="1" x14ac:dyDescent="0.25">
      <c r="A7" s="39" t="str">
        <f>IF(Table2[[#This Row],[Date Received]]="","",_xlfn.CONCAT(Table2[[#This Row],[Counterparty]]," - ",Table2[[#This Row],[Contract Name]]))</f>
        <v>Pet Cremation Services - Services Agreement</v>
      </c>
      <c r="B7" s="33">
        <v>44620</v>
      </c>
      <c r="C7" s="32" t="s">
        <v>11</v>
      </c>
      <c r="D7" s="32" t="s">
        <v>215</v>
      </c>
      <c r="E7" s="32"/>
      <c r="F7" s="32" t="s">
        <v>20</v>
      </c>
      <c r="G7" s="32" t="s">
        <v>14</v>
      </c>
      <c r="H7" s="32" t="s">
        <v>17</v>
      </c>
      <c r="I7" s="32" t="s">
        <v>32</v>
      </c>
      <c r="J7" s="32" t="s">
        <v>216</v>
      </c>
      <c r="K7" s="32" t="s">
        <v>8</v>
      </c>
      <c r="L7" s="32" t="s">
        <v>169</v>
      </c>
      <c r="M7" s="32" t="str">
        <f>IF(Table2[[#This Row],[Stage]]="Closed","Closed","Open")</f>
        <v>Closed</v>
      </c>
      <c r="N7" s="32" t="s">
        <v>217</v>
      </c>
      <c r="O7" s="32">
        <f ca="1">SUMIFS(Table3[Days with], Table3[Ref], Table2[[#This Row],[Ref]],Table3[Who With],"Legal")</f>
        <v>30</v>
      </c>
      <c r="P7" s="34">
        <f>SUMIFS(Table3[Total Cycle Time],Table3[Ref],Table2[[#This Row],[Ref]])</f>
        <v>30</v>
      </c>
    </row>
    <row r="8" spans="1:16" hidden="1" x14ac:dyDescent="0.25">
      <c r="A8" s="39" t="str">
        <f>IF(Table2[[#This Row],[Date Received]]="","",_xlfn.CONCAT(Table2[[#This Row],[Counterparty]]," - ",Table2[[#This Row],[Contract Name]]))</f>
        <v>KPMG - Engagement Letter 2</v>
      </c>
      <c r="B8" s="33">
        <v>44627</v>
      </c>
      <c r="C8" s="32" t="s">
        <v>1078</v>
      </c>
      <c r="D8" s="32" t="s">
        <v>197</v>
      </c>
      <c r="E8" s="32"/>
      <c r="F8" s="32" t="s">
        <v>20</v>
      </c>
      <c r="G8" s="32" t="s">
        <v>27</v>
      </c>
      <c r="H8" s="32" t="s">
        <v>17</v>
      </c>
      <c r="I8" s="32" t="s">
        <v>1460</v>
      </c>
      <c r="J8" s="32" t="s">
        <v>28</v>
      </c>
      <c r="K8" s="32" t="s">
        <v>199</v>
      </c>
      <c r="L8" s="32" t="s">
        <v>169</v>
      </c>
      <c r="M8" s="32" t="str">
        <f>IF(Table2[[#This Row],[Stage]]="Closed","Closed","Open")</f>
        <v>Closed</v>
      </c>
      <c r="N8" s="32"/>
      <c r="O8" s="32">
        <f ca="1">SUMIFS(Table3[Days with], Table3[Ref], Table2[[#This Row],[Ref]],Table3[Who With],"Legal")</f>
        <v>4</v>
      </c>
      <c r="P8" s="34">
        <f>SUMIFS(Table3[Total Cycle Time],Table3[Ref],Table2[[#This Row],[Ref]])</f>
        <v>4</v>
      </c>
    </row>
    <row r="9" spans="1:16" hidden="1" x14ac:dyDescent="0.25">
      <c r="A9" s="39" t="str">
        <f>IF(Table2[[#This Row],[Date Received]]="","",_xlfn.CONCAT(Table2[[#This Row],[Counterparty]]," - ",Table2[[#This Row],[Contract Name]]))</f>
        <v>KPMG - Engagement Letter 3</v>
      </c>
      <c r="B9" s="33">
        <v>44629</v>
      </c>
      <c r="C9" s="32" t="s">
        <v>1078</v>
      </c>
      <c r="D9" s="32" t="s">
        <v>197</v>
      </c>
      <c r="E9" s="32"/>
      <c r="F9" s="32" t="s">
        <v>20</v>
      </c>
      <c r="G9" s="32" t="s">
        <v>27</v>
      </c>
      <c r="H9" s="32" t="s">
        <v>17</v>
      </c>
      <c r="I9" s="32" t="s">
        <v>1461</v>
      </c>
      <c r="J9" s="32" t="s">
        <v>28</v>
      </c>
      <c r="K9" s="32" t="s">
        <v>199</v>
      </c>
      <c r="L9" s="32" t="s">
        <v>169</v>
      </c>
      <c r="M9" s="32" t="str">
        <f>IF(Table2[[#This Row],[Stage]]="Closed","Closed","Open")</f>
        <v>Closed</v>
      </c>
      <c r="N9" s="32"/>
      <c r="O9" s="32">
        <f ca="1">SUMIFS(Table3[Days with], Table3[Ref], Table2[[#This Row],[Ref]],Table3[Who With],"Legal")</f>
        <v>12</v>
      </c>
      <c r="P9" s="34">
        <f>SUMIFS(Table3[Total Cycle Time],Table3[Ref],Table2[[#This Row],[Ref]])</f>
        <v>12</v>
      </c>
    </row>
    <row r="10" spans="1:16" hidden="1" x14ac:dyDescent="0.25">
      <c r="A10" s="39" t="str">
        <f>IF(Table2[[#This Row],[Date Received]]="","",_xlfn.CONCAT(Table2[[#This Row],[Counterparty]]," - ",Table2[[#This Row],[Contract Name]]))</f>
        <v>ezofficesystems - Software License and Support Agreement 1</v>
      </c>
      <c r="B10" s="33">
        <v>44630</v>
      </c>
      <c r="C10" s="32" t="s">
        <v>11</v>
      </c>
      <c r="D10" s="32" t="s">
        <v>202</v>
      </c>
      <c r="E10" s="32" t="s">
        <v>203</v>
      </c>
      <c r="F10" s="32" t="s">
        <v>16</v>
      </c>
      <c r="G10" s="32" t="s">
        <v>29</v>
      </c>
      <c r="H10" s="32" t="s">
        <v>17</v>
      </c>
      <c r="I10" s="32" t="s">
        <v>1462</v>
      </c>
      <c r="J10" s="32" t="s">
        <v>205</v>
      </c>
      <c r="K10" s="32" t="s">
        <v>8</v>
      </c>
      <c r="L10" s="32" t="s">
        <v>169</v>
      </c>
      <c r="M10" s="32" t="str">
        <f>IF(Table2[[#This Row],[Stage]]="Closed","Closed","Open")</f>
        <v>Closed</v>
      </c>
      <c r="N10" s="32" t="s">
        <v>206</v>
      </c>
      <c r="O10" s="32">
        <f ca="1">SUMIFS(Table3[Days with], Table3[Ref], Table2[[#This Row],[Ref]],Table3[Who With],"Legal")</f>
        <v>31</v>
      </c>
      <c r="P10" s="34">
        <f>SUMIFS(Table3[Total Cycle Time],Table3[Ref],Table2[[#This Row],[Ref]])</f>
        <v>31</v>
      </c>
    </row>
    <row r="11" spans="1:16" hidden="1" x14ac:dyDescent="0.25">
      <c r="A11" s="39" t="str">
        <f>IF(Table2[[#This Row],[Date Received]]="","",_xlfn.CONCAT(Table2[[#This Row],[Counterparty]]," - ",Table2[[#This Row],[Contract Name]]))</f>
        <v>KPMG - Engagement Letter 4</v>
      </c>
      <c r="B11" s="33">
        <v>44630</v>
      </c>
      <c r="C11" s="32" t="s">
        <v>1078</v>
      </c>
      <c r="D11" s="32" t="s">
        <v>197</v>
      </c>
      <c r="E11" s="32"/>
      <c r="F11" s="32" t="s">
        <v>20</v>
      </c>
      <c r="G11" s="32" t="s">
        <v>27</v>
      </c>
      <c r="H11" s="32" t="s">
        <v>17</v>
      </c>
      <c r="I11" s="32" t="s">
        <v>1463</v>
      </c>
      <c r="J11" s="32" t="s">
        <v>28</v>
      </c>
      <c r="K11" s="32" t="s">
        <v>199</v>
      </c>
      <c r="L11" s="32" t="s">
        <v>169</v>
      </c>
      <c r="M11" s="32" t="str">
        <f>IF(Table2[[#This Row],[Stage]]="Closed","Closed","Open")</f>
        <v>Closed</v>
      </c>
      <c r="N11" s="32"/>
      <c r="O11" s="32">
        <f ca="1">SUMIFS(Table3[Days with], Table3[Ref], Table2[[#This Row],[Ref]],Table3[Who With],"Legal")</f>
        <v>27</v>
      </c>
      <c r="P11" s="34">
        <f>SUMIFS(Table3[Total Cycle Time],Table3[Ref],Table2[[#This Row],[Ref]])</f>
        <v>27</v>
      </c>
    </row>
    <row r="12" spans="1:16" hidden="1" x14ac:dyDescent="0.25">
      <c r="A12" s="39" t="str">
        <f>IF(Table2[[#This Row],[Date Received]]="","",_xlfn.CONCAT(Table2[[#This Row],[Counterparty]]," - ",Table2[[#This Row],[Contract Name]]))</f>
        <v>Fincloud Accountancy - Engagement Letter</v>
      </c>
      <c r="B12" s="33">
        <v>44631</v>
      </c>
      <c r="C12" s="32" t="s">
        <v>1079</v>
      </c>
      <c r="D12" s="32" t="s">
        <v>210</v>
      </c>
      <c r="E12" s="32"/>
      <c r="F12" s="32" t="s">
        <v>20</v>
      </c>
      <c r="G12" s="32" t="s">
        <v>27</v>
      </c>
      <c r="H12" s="32" t="s">
        <v>17</v>
      </c>
      <c r="I12" s="32" t="s">
        <v>198</v>
      </c>
      <c r="J12" s="32" t="s">
        <v>211</v>
      </c>
      <c r="K12" s="32" t="s">
        <v>199</v>
      </c>
      <c r="L12" s="32" t="s">
        <v>169</v>
      </c>
      <c r="M12" s="32" t="str">
        <f>IF(Table2[[#This Row],[Stage]]="Closed","Closed","Open")</f>
        <v>Closed</v>
      </c>
      <c r="N12" s="32"/>
      <c r="O12" s="32">
        <f ca="1">SUMIFS(Table3[Days with], Table3[Ref], Table2[[#This Row],[Ref]],Table3[Who With],"Legal")</f>
        <v>10</v>
      </c>
      <c r="P12" s="34">
        <f>SUMIFS(Table3[Total Cycle Time],Table3[Ref],Table2[[#This Row],[Ref]])</f>
        <v>10</v>
      </c>
    </row>
    <row r="13" spans="1:16" hidden="1" x14ac:dyDescent="0.25">
      <c r="A13" s="39" t="str">
        <f>IF(Table2[[#This Row],[Date Received]]="","",_xlfn.CONCAT(Table2[[#This Row],[Counterparty]]," - ",Table2[[#This Row],[Contract Name]]))</f>
        <v>Vet IT - IT Services Agreement</v>
      </c>
      <c r="B13" s="33">
        <v>44631</v>
      </c>
      <c r="C13" s="32" t="s">
        <v>11</v>
      </c>
      <c r="D13" s="32" t="s">
        <v>243</v>
      </c>
      <c r="E13" s="32"/>
      <c r="F13" s="32" t="s">
        <v>20</v>
      </c>
      <c r="G13" s="32" t="s">
        <v>29</v>
      </c>
      <c r="H13" s="32" t="s">
        <v>17</v>
      </c>
      <c r="I13" s="32" t="s">
        <v>244</v>
      </c>
      <c r="J13" s="32" t="s">
        <v>245</v>
      </c>
      <c r="K13" s="32" t="s">
        <v>8</v>
      </c>
      <c r="L13" s="32" t="s">
        <v>169</v>
      </c>
      <c r="M13" s="32" t="str">
        <f>IF(Table2[[#This Row],[Stage]]="Closed","Closed","Open")</f>
        <v>Closed</v>
      </c>
      <c r="N13" s="32"/>
      <c r="O13" s="32">
        <f ca="1">SUMIFS(Table3[Days with], Table3[Ref], Table2[[#This Row],[Ref]],Table3[Who With],"Legal")</f>
        <v>52</v>
      </c>
      <c r="P13" s="34">
        <f>SUMIFS(Table3[Total Cycle Time],Table3[Ref],Table2[[#This Row],[Ref]])</f>
        <v>52</v>
      </c>
    </row>
    <row r="14" spans="1:16" hidden="1" x14ac:dyDescent="0.25">
      <c r="A14" s="39" t="str">
        <f>IF(Table2[[#This Row],[Date Received]]="","",_xlfn.CONCAT(Table2[[#This Row],[Counterparty]]," - ",Table2[[#This Row],[Contract Name]]))</f>
        <v>ezofficesystems - Consent Agreement 1</v>
      </c>
      <c r="B14" s="33">
        <v>44631</v>
      </c>
      <c r="C14" s="32" t="s">
        <v>11</v>
      </c>
      <c r="D14" s="32" t="s">
        <v>202</v>
      </c>
      <c r="E14" s="32" t="s">
        <v>203</v>
      </c>
      <c r="F14" s="32" t="s">
        <v>16</v>
      </c>
      <c r="G14" s="32" t="s">
        <v>29</v>
      </c>
      <c r="H14" s="32" t="s">
        <v>17</v>
      </c>
      <c r="I14" s="32" t="s">
        <v>1495</v>
      </c>
      <c r="J14" s="32" t="s">
        <v>205</v>
      </c>
      <c r="K14" s="32" t="s">
        <v>8</v>
      </c>
      <c r="L14" s="32" t="s">
        <v>169</v>
      </c>
      <c r="M14" s="32" t="str">
        <f>IF(Table2[[#This Row],[Stage]]="Closed","Closed","Open")</f>
        <v>Closed</v>
      </c>
      <c r="N14" s="32" t="s">
        <v>206</v>
      </c>
      <c r="O14" s="32">
        <f ca="1">SUMIFS(Table3[Days with], Table3[Ref], Table2[[#This Row],[Ref]],Table3[Who With],"Legal")</f>
        <v>1104</v>
      </c>
      <c r="P14" s="34">
        <f>SUMIFS(Table3[Total Cycle Time],Table3[Ref],Table2[[#This Row],[Ref]])</f>
        <v>0</v>
      </c>
    </row>
    <row r="15" spans="1:16" hidden="1" x14ac:dyDescent="0.25">
      <c r="A15" s="39" t="str">
        <f>IF(Table2[[#This Row],[Date Received]]="","",_xlfn.CONCAT(Table2[[#This Row],[Counterparty]]," - ",Table2[[#This Row],[Contract Name]]))</f>
        <v>ezofficesystems - Termination Letter 1</v>
      </c>
      <c r="B15" s="33">
        <v>44631</v>
      </c>
      <c r="C15" s="32" t="s">
        <v>11</v>
      </c>
      <c r="D15" s="32" t="s">
        <v>202</v>
      </c>
      <c r="E15" s="32" t="s">
        <v>203</v>
      </c>
      <c r="F15" s="32" t="s">
        <v>16</v>
      </c>
      <c r="G15" s="32" t="s">
        <v>29</v>
      </c>
      <c r="H15" s="32" t="s">
        <v>17</v>
      </c>
      <c r="I15" s="32" t="s">
        <v>1485</v>
      </c>
      <c r="J15" s="32" t="s">
        <v>205</v>
      </c>
      <c r="K15" s="32" t="s">
        <v>8</v>
      </c>
      <c r="L15" s="32" t="s">
        <v>169</v>
      </c>
      <c r="M15" s="32" t="str">
        <f>IF(Table2[[#This Row],[Stage]]="Closed","Closed","Open")</f>
        <v>Closed</v>
      </c>
      <c r="N15" s="32" t="s">
        <v>206</v>
      </c>
      <c r="O15" s="32">
        <f ca="1">SUMIFS(Table3[Days with], Table3[Ref], Table2[[#This Row],[Ref]],Table3[Who With],"Legal")</f>
        <v>30</v>
      </c>
      <c r="P15" s="34">
        <f>SUMIFS(Table3[Total Cycle Time],Table3[Ref],Table2[[#This Row],[Ref]])</f>
        <v>30</v>
      </c>
    </row>
    <row r="16" spans="1:16" hidden="1" x14ac:dyDescent="0.25">
      <c r="A16" s="39" t="str">
        <f>IF(Table2[[#This Row],[Date Received]]="","",_xlfn.CONCAT(Table2[[#This Row],[Counterparty]]," - ",Table2[[#This Row],[Contract Name]]))</f>
        <v>IDEXX - Novation Agreement</v>
      </c>
      <c r="B16" s="33">
        <v>44636</v>
      </c>
      <c r="C16" s="32" t="s">
        <v>11</v>
      </c>
      <c r="D16" s="32" t="s">
        <v>225</v>
      </c>
      <c r="E16" s="32"/>
      <c r="F16" s="32" t="s">
        <v>20</v>
      </c>
      <c r="G16" s="32" t="s">
        <v>14</v>
      </c>
      <c r="H16" s="32" t="s">
        <v>17</v>
      </c>
      <c r="I16" s="32" t="s">
        <v>33</v>
      </c>
      <c r="J16" s="32" t="s">
        <v>31</v>
      </c>
      <c r="K16" s="32" t="s">
        <v>8</v>
      </c>
      <c r="L16" s="32" t="s">
        <v>169</v>
      </c>
      <c r="M16" s="32" t="str">
        <f>IF(Table2[[#This Row],[Stage]]="Closed","Closed","Open")</f>
        <v>Closed</v>
      </c>
      <c r="N16" s="32" t="s">
        <v>217</v>
      </c>
      <c r="O16" s="32">
        <f ca="1">SUMIFS(Table3[Days with], Table3[Ref], Table2[[#This Row],[Ref]],Table3[Who With],"Legal")</f>
        <v>30</v>
      </c>
      <c r="P16" s="34">
        <f>SUMIFS(Table3[Total Cycle Time],Table3[Ref],Table2[[#This Row],[Ref]])</f>
        <v>30</v>
      </c>
    </row>
    <row r="17" spans="1:16" hidden="1" x14ac:dyDescent="0.25">
      <c r="A17" s="39" t="str">
        <f>IF(Table2[[#This Row],[Date Received]]="","",_xlfn.CONCAT(Table2[[#This Row],[Counterparty]]," - ",Table2[[#This Row],[Contract Name]]))</f>
        <v>Business Integration Partners SpA - Service Agreement</v>
      </c>
      <c r="B17" s="33">
        <v>44637</v>
      </c>
      <c r="C17" s="32" t="s">
        <v>11</v>
      </c>
      <c r="D17" s="32" t="s">
        <v>246</v>
      </c>
      <c r="E17" s="32" t="s">
        <v>199</v>
      </c>
      <c r="F17" s="32" t="s">
        <v>20</v>
      </c>
      <c r="G17" s="32" t="s">
        <v>34</v>
      </c>
      <c r="H17" s="32" t="s">
        <v>17</v>
      </c>
      <c r="I17" s="32" t="s">
        <v>201</v>
      </c>
      <c r="J17" s="32" t="s">
        <v>35</v>
      </c>
      <c r="K17" s="32" t="s">
        <v>20</v>
      </c>
      <c r="L17" s="32" t="s">
        <v>169</v>
      </c>
      <c r="M17" s="32" t="str">
        <f>IF(Table2[[#This Row],[Stage]]="Closed","Closed","Open")</f>
        <v>Closed</v>
      </c>
      <c r="N17" s="32"/>
      <c r="O17" s="32">
        <f ca="1">SUMIFS(Table3[Days with], Table3[Ref], Table2[[#This Row],[Ref]],Table3[Who With],"Legal")</f>
        <v>47</v>
      </c>
      <c r="P17" s="34">
        <f>SUMIFS(Table3[Total Cycle Time],Table3[Ref],Table2[[#This Row],[Ref]])</f>
        <v>47</v>
      </c>
    </row>
    <row r="18" spans="1:16" hidden="1" x14ac:dyDescent="0.25">
      <c r="A18" s="39" t="str">
        <f>IF(Table2[[#This Row],[Date Received]]="","",_xlfn.CONCAT(Table2[[#This Row],[Counterparty]]," - ",Table2[[#This Row],[Contract Name]]))</f>
        <v>Peugeot Fleet - Fleet Support Agreement</v>
      </c>
      <c r="B18" s="33">
        <v>44638</v>
      </c>
      <c r="C18" s="32" t="s">
        <v>11</v>
      </c>
      <c r="D18" s="32" t="s">
        <v>259</v>
      </c>
      <c r="E18" s="32"/>
      <c r="F18" s="32" t="s">
        <v>20</v>
      </c>
      <c r="G18" s="32" t="s">
        <v>30</v>
      </c>
      <c r="H18" s="32" t="s">
        <v>17</v>
      </c>
      <c r="I18" s="32" t="s">
        <v>260</v>
      </c>
      <c r="J18" s="32" t="s">
        <v>261</v>
      </c>
      <c r="K18" s="32" t="s">
        <v>20</v>
      </c>
      <c r="L18" s="32" t="s">
        <v>169</v>
      </c>
      <c r="M18" s="32" t="str">
        <f>IF(Table2[[#This Row],[Stage]]="Closed","Closed","Open")</f>
        <v>Closed</v>
      </c>
      <c r="N18" s="32"/>
      <c r="O18" s="32">
        <f ca="1">SUMIFS(Table3[Days with], Table3[Ref], Table2[[#This Row],[Ref]],Table3[Who With],"Legal")</f>
        <v>56</v>
      </c>
      <c r="P18" s="34">
        <f>SUMIFS(Table3[Total Cycle Time],Table3[Ref],Table2[[#This Row],[Ref]])</f>
        <v>56</v>
      </c>
    </row>
    <row r="19" spans="1:16" hidden="1" x14ac:dyDescent="0.25">
      <c r="A19" s="39" t="str">
        <f>IF(Table2[[#This Row],[Date Received]]="","",_xlfn.CONCAT(Table2[[#This Row],[Counterparty]]," - ",Table2[[#This Row],[Contract Name]]))</f>
        <v>Signal Pet X Ray - Services Agreement</v>
      </c>
      <c r="B19" s="33">
        <v>44641</v>
      </c>
      <c r="C19" s="32" t="s">
        <v>11</v>
      </c>
      <c r="D19" s="32" t="s">
        <v>219</v>
      </c>
      <c r="E19" s="32"/>
      <c r="F19" s="32" t="s">
        <v>20</v>
      </c>
      <c r="G19" s="32" t="s">
        <v>14</v>
      </c>
      <c r="H19" s="32" t="s">
        <v>17</v>
      </c>
      <c r="I19" s="32" t="s">
        <v>32</v>
      </c>
      <c r="J19" s="32" t="s">
        <v>31</v>
      </c>
      <c r="K19" s="32" t="s">
        <v>2</v>
      </c>
      <c r="L19" s="32" t="s">
        <v>169</v>
      </c>
      <c r="M19" s="32" t="str">
        <f>IF(Table2[[#This Row],[Stage]]="Closed","Closed","Open")</f>
        <v>Closed</v>
      </c>
      <c r="N19" s="32"/>
      <c r="O19" s="32">
        <f ca="1">SUMIFS(Table3[Days with], Table3[Ref], Table2[[#This Row],[Ref]],Table3[Who With],"Legal")</f>
        <v>11</v>
      </c>
      <c r="P19" s="34">
        <f>SUMIFS(Table3[Total Cycle Time],Table3[Ref],Table2[[#This Row],[Ref]])</f>
        <v>11</v>
      </c>
    </row>
    <row r="20" spans="1:16" hidden="1" x14ac:dyDescent="0.25">
      <c r="A20" s="39" t="str">
        <f>IF(Table2[[#This Row],[Date Received]]="","",_xlfn.CONCAT(Table2[[#This Row],[Counterparty]]," - ",Table2[[#This Row],[Contract Name]]))</f>
        <v>ALP - Data Processing Agreement</v>
      </c>
      <c r="B20" s="33">
        <v>44641</v>
      </c>
      <c r="C20" s="32" t="s">
        <v>11</v>
      </c>
      <c r="D20" s="32" t="s">
        <v>267</v>
      </c>
      <c r="E20" s="32"/>
      <c r="F20" s="32" t="s">
        <v>232</v>
      </c>
      <c r="G20" s="32" t="s">
        <v>233</v>
      </c>
      <c r="H20" s="32" t="s">
        <v>17</v>
      </c>
      <c r="I20" s="32" t="s">
        <v>209</v>
      </c>
      <c r="J20" s="32"/>
      <c r="K20" s="32" t="s">
        <v>199</v>
      </c>
      <c r="L20" s="32" t="s">
        <v>169</v>
      </c>
      <c r="M20" s="32" t="str">
        <f>IF(Table2[[#This Row],[Stage]]="Closed","Closed","Open")</f>
        <v>Closed</v>
      </c>
      <c r="N20" s="32"/>
      <c r="O20" s="32">
        <f ca="1">SUMIFS(Table3[Days with], Table3[Ref], Table2[[#This Row],[Ref]],Table3[Who With],"Legal")</f>
        <v>67</v>
      </c>
      <c r="P20" s="34">
        <f>SUMIFS(Table3[Total Cycle Time],Table3[Ref],Table2[[#This Row],[Ref]])</f>
        <v>67</v>
      </c>
    </row>
    <row r="21" spans="1:16" hidden="1" x14ac:dyDescent="0.25">
      <c r="A21" s="39" t="str">
        <f>IF(Table2[[#This Row],[Date Received]]="","",_xlfn.CONCAT(Table2[[#This Row],[Counterparty]]," - ",Table2[[#This Row],[Contract Name]]))</f>
        <v>Grant Thornton - Engagement Letter</v>
      </c>
      <c r="B21" s="33">
        <v>44643</v>
      </c>
      <c r="C21" s="32" t="s">
        <v>1080</v>
      </c>
      <c r="D21" s="32" t="s">
        <v>218</v>
      </c>
      <c r="E21" s="32"/>
      <c r="F21" s="32" t="s">
        <v>20</v>
      </c>
      <c r="G21" s="32" t="s">
        <v>27</v>
      </c>
      <c r="H21" s="32" t="s">
        <v>17</v>
      </c>
      <c r="I21" s="32" t="s">
        <v>198</v>
      </c>
      <c r="J21" s="32" t="s">
        <v>28</v>
      </c>
      <c r="K21" s="32" t="s">
        <v>199</v>
      </c>
      <c r="L21" s="32" t="s">
        <v>169</v>
      </c>
      <c r="M21" s="32" t="str">
        <f>IF(Table2[[#This Row],[Stage]]="Closed","Closed","Open")</f>
        <v>Closed</v>
      </c>
      <c r="N21" s="32"/>
      <c r="O21" s="32">
        <f ca="1">SUMIFS(Table3[Days with], Table3[Ref], Table2[[#This Row],[Ref]],Table3[Who With],"Legal")</f>
        <v>8</v>
      </c>
      <c r="P21" s="34">
        <f>SUMIFS(Table3[Total Cycle Time],Table3[Ref],Table2[[#This Row],[Ref]])</f>
        <v>8</v>
      </c>
    </row>
    <row r="22" spans="1:16" hidden="1" x14ac:dyDescent="0.25">
      <c r="A22" s="39" t="str">
        <f>IF(Table2[[#This Row],[Date Received]]="","",_xlfn.CONCAT(Table2[[#This Row],[Counterparty]]," - ",Table2[[#This Row],[Contract Name]]))</f>
        <v>KPMG - Secondment Letter</v>
      </c>
      <c r="B22" s="33">
        <v>44645</v>
      </c>
      <c r="C22" s="32" t="s">
        <v>1078</v>
      </c>
      <c r="D22" s="32" t="s">
        <v>197</v>
      </c>
      <c r="E22" s="32"/>
      <c r="F22" s="32" t="s">
        <v>20</v>
      </c>
      <c r="G22" s="32" t="s">
        <v>27</v>
      </c>
      <c r="H22" s="32" t="s">
        <v>17</v>
      </c>
      <c r="I22" s="32" t="s">
        <v>226</v>
      </c>
      <c r="J22" s="32" t="s">
        <v>28</v>
      </c>
      <c r="K22" s="32" t="s">
        <v>199</v>
      </c>
      <c r="L22" s="32" t="s">
        <v>169</v>
      </c>
      <c r="M22" s="32" t="str">
        <f>IF(Table2[[#This Row],[Stage]]="Closed","Closed","Open")</f>
        <v>Closed</v>
      </c>
      <c r="N22" s="32"/>
      <c r="O22" s="32">
        <f ca="1">SUMIFS(Table3[Days with], Table3[Ref], Table2[[#This Row],[Ref]],Table3[Who With],"Legal")</f>
        <v>30</v>
      </c>
      <c r="P22" s="34">
        <f>SUMIFS(Table3[Total Cycle Time],Table3[Ref],Table2[[#This Row],[Ref]])</f>
        <v>30</v>
      </c>
    </row>
    <row r="23" spans="1:16" hidden="1" x14ac:dyDescent="0.25">
      <c r="A23" s="39" t="str">
        <f>IF(Table2[[#This Row],[Date Received]]="","",_xlfn.CONCAT(Table2[[#This Row],[Counterparty]]," - ",Table2[[#This Row],[Contract Name]]))</f>
        <v>Inrehearsal - License Agreement</v>
      </c>
      <c r="B23" s="33">
        <v>44649</v>
      </c>
      <c r="C23" s="32" t="s">
        <v>11</v>
      </c>
      <c r="D23" s="32" t="s">
        <v>227</v>
      </c>
      <c r="E23" s="32"/>
      <c r="F23" s="32" t="s">
        <v>20</v>
      </c>
      <c r="G23" s="32" t="s">
        <v>30</v>
      </c>
      <c r="H23" s="32" t="s">
        <v>17</v>
      </c>
      <c r="I23" s="32" t="s">
        <v>228</v>
      </c>
      <c r="J23" s="32" t="s">
        <v>229</v>
      </c>
      <c r="K23" s="32" t="s">
        <v>20</v>
      </c>
      <c r="L23" s="32" t="s">
        <v>169</v>
      </c>
      <c r="M23" s="32" t="str">
        <f>IF(Table2[[#This Row],[Stage]]="Closed","Closed","Open")</f>
        <v>Closed</v>
      </c>
      <c r="N23" s="32" t="s">
        <v>230</v>
      </c>
      <c r="O23" s="32">
        <f ca="1">SUMIFS(Table3[Days with], Table3[Ref], Table2[[#This Row],[Ref]],Table3[Who With],"Legal")</f>
        <v>30</v>
      </c>
      <c r="P23" s="34">
        <f>SUMIFS(Table3[Total Cycle Time],Table3[Ref],Table2[[#This Row],[Ref]])</f>
        <v>30</v>
      </c>
    </row>
    <row r="24" spans="1:16" hidden="1" x14ac:dyDescent="0.25">
      <c r="A24" s="39" t="str">
        <f>IF(Table2[[#This Row],[Date Received]]="","",_xlfn.CONCAT(Table2[[#This Row],[Counterparty]]," - ",Table2[[#This Row],[Contract Name]]))</f>
        <v>Vet Expo - Sponsorship Agreement</v>
      </c>
      <c r="B24" s="33">
        <v>44650</v>
      </c>
      <c r="C24" s="32" t="s">
        <v>11</v>
      </c>
      <c r="D24" s="32" t="s">
        <v>231</v>
      </c>
      <c r="E24" s="32"/>
      <c r="F24" s="32" t="s">
        <v>232</v>
      </c>
      <c r="G24" s="32" t="s">
        <v>233</v>
      </c>
      <c r="H24" s="32" t="s">
        <v>17</v>
      </c>
      <c r="I24" s="32" t="s">
        <v>234</v>
      </c>
      <c r="J24" s="32" t="s">
        <v>208</v>
      </c>
      <c r="K24" s="32" t="s">
        <v>2</v>
      </c>
      <c r="L24" s="32" t="s">
        <v>169</v>
      </c>
      <c r="M24" s="32" t="str">
        <f>IF(Table2[[#This Row],[Stage]]="Closed","Closed","Open")</f>
        <v>Closed</v>
      </c>
      <c r="N24" s="32" t="s">
        <v>235</v>
      </c>
      <c r="O24" s="32">
        <f ca="1">SUMIFS(Table3[Days with], Table3[Ref], Table2[[#This Row],[Ref]],Table3[Who With],"Legal")</f>
        <v>30</v>
      </c>
      <c r="P24" s="34">
        <f>SUMIFS(Table3[Total Cycle Time],Table3[Ref],Table2[[#This Row],[Ref]])</f>
        <v>30</v>
      </c>
    </row>
    <row r="25" spans="1:16" hidden="1" x14ac:dyDescent="0.25">
      <c r="A25" s="39" t="str">
        <f>IF(Table2[[#This Row],[Date Received]]="","",_xlfn.CONCAT(Table2[[#This Row],[Counterparty]]," - ",Table2[[#This Row],[Contract Name]]))</f>
        <v>4Com - Novation of Rental Agreement</v>
      </c>
      <c r="B25" s="33">
        <v>44652</v>
      </c>
      <c r="C25" s="32" t="s">
        <v>11</v>
      </c>
      <c r="D25" s="32" t="s">
        <v>236</v>
      </c>
      <c r="E25" s="32" t="s">
        <v>237</v>
      </c>
      <c r="F25" s="32" t="s">
        <v>16</v>
      </c>
      <c r="G25" s="32" t="s">
        <v>29</v>
      </c>
      <c r="H25" s="32" t="s">
        <v>17</v>
      </c>
      <c r="I25" s="32" t="s">
        <v>238</v>
      </c>
      <c r="J25" s="32" t="s">
        <v>205</v>
      </c>
      <c r="K25" s="32" t="s">
        <v>8</v>
      </c>
      <c r="L25" s="32" t="s">
        <v>169</v>
      </c>
      <c r="M25" s="32" t="str">
        <f>IF(Table2[[#This Row],[Stage]]="Closed","Closed","Open")</f>
        <v>Closed</v>
      </c>
      <c r="N25" s="32" t="s">
        <v>239</v>
      </c>
      <c r="O25" s="32">
        <f ca="1">SUMIFS(Table3[Days with], Table3[Ref], Table2[[#This Row],[Ref]],Table3[Who With],"Legal")</f>
        <v>30</v>
      </c>
      <c r="P25" s="34">
        <f>SUMIFS(Table3[Total Cycle Time],Table3[Ref],Table2[[#This Row],[Ref]])</f>
        <v>30</v>
      </c>
    </row>
    <row r="26" spans="1:16" hidden="1" x14ac:dyDescent="0.25">
      <c r="A26" s="39" t="str">
        <f>IF(Table2[[#This Row],[Date Received]]="","",_xlfn.CONCAT(Table2[[#This Row],[Counterparty]]," - ",Table2[[#This Row],[Contract Name]]))</f>
        <v>Grenke - Hire Agreement 1</v>
      </c>
      <c r="B26" s="33">
        <v>44652</v>
      </c>
      <c r="C26" s="32" t="s">
        <v>11</v>
      </c>
      <c r="D26" s="32" t="s">
        <v>240</v>
      </c>
      <c r="E26" s="32" t="s">
        <v>241</v>
      </c>
      <c r="F26" s="32" t="s">
        <v>16</v>
      </c>
      <c r="G26" s="32" t="s">
        <v>29</v>
      </c>
      <c r="H26" s="32" t="s">
        <v>17</v>
      </c>
      <c r="I26" s="32" t="s">
        <v>1464</v>
      </c>
      <c r="J26" s="32" t="s">
        <v>205</v>
      </c>
      <c r="K26" s="32" t="s">
        <v>8</v>
      </c>
      <c r="L26" s="32" t="s">
        <v>169</v>
      </c>
      <c r="M26" s="32" t="str">
        <f>IF(Table2[[#This Row],[Stage]]="Closed","Closed","Open")</f>
        <v>Closed</v>
      </c>
      <c r="N26" s="32" t="s">
        <v>239</v>
      </c>
      <c r="O26" s="32">
        <f ca="1">SUMIFS(Table3[Days with], Table3[Ref], Table2[[#This Row],[Ref]],Table3[Who With],"Legal")</f>
        <v>30</v>
      </c>
      <c r="P26" s="34">
        <f>SUMIFS(Table3[Total Cycle Time],Table3[Ref],Table2[[#This Row],[Ref]])</f>
        <v>30</v>
      </c>
    </row>
    <row r="27" spans="1:16" hidden="1" x14ac:dyDescent="0.25">
      <c r="A27" s="39" t="str">
        <f>IF(Table2[[#This Row],[Date Received]]="","",_xlfn.CONCAT(Table2[[#This Row],[Counterparty]]," - ",Table2[[#This Row],[Contract Name]]))</f>
        <v>Civvals - Engagement Letter</v>
      </c>
      <c r="B27" s="33">
        <v>44655</v>
      </c>
      <c r="C27" s="32" t="s">
        <v>11</v>
      </c>
      <c r="D27" s="32" t="s">
        <v>220</v>
      </c>
      <c r="E27" s="32"/>
      <c r="F27" s="32" t="s">
        <v>20</v>
      </c>
      <c r="G27" s="32" t="s">
        <v>27</v>
      </c>
      <c r="H27" s="32" t="s">
        <v>17</v>
      </c>
      <c r="I27" s="32" t="s">
        <v>198</v>
      </c>
      <c r="J27" s="32" t="s">
        <v>28</v>
      </c>
      <c r="K27" s="32" t="s">
        <v>199</v>
      </c>
      <c r="L27" s="32" t="s">
        <v>169</v>
      </c>
      <c r="M27" s="32" t="str">
        <f>IF(Table2[[#This Row],[Stage]]="Closed","Closed","Open")</f>
        <v>Closed</v>
      </c>
      <c r="N27" s="32"/>
      <c r="O27" s="32">
        <f ca="1">SUMIFS(Table3[Days with], Table3[Ref], Table2[[#This Row],[Ref]],Table3[Who With],"Legal")</f>
        <v>1080</v>
      </c>
      <c r="P27" s="34">
        <f>SUMIFS(Table3[Total Cycle Time],Table3[Ref],Table2[[#This Row],[Ref]])</f>
        <v>0</v>
      </c>
    </row>
    <row r="28" spans="1:16" hidden="1" x14ac:dyDescent="0.25">
      <c r="A28" s="39" t="str">
        <f>IF(Table2[[#This Row],[Date Received]]="","",_xlfn.CONCAT(Table2[[#This Row],[Counterparty]]," - ",Table2[[#This Row],[Contract Name]]))</f>
        <v>PWC - Engagement Letters x 3</v>
      </c>
      <c r="B28" s="33">
        <v>44656</v>
      </c>
      <c r="C28" s="32" t="s">
        <v>11</v>
      </c>
      <c r="D28" s="32" t="s">
        <v>221</v>
      </c>
      <c r="E28" s="32"/>
      <c r="F28" s="32" t="s">
        <v>20</v>
      </c>
      <c r="G28" s="32" t="s">
        <v>27</v>
      </c>
      <c r="H28" s="32" t="s">
        <v>17</v>
      </c>
      <c r="I28" s="32" t="s">
        <v>222</v>
      </c>
      <c r="J28" s="32" t="s">
        <v>28</v>
      </c>
      <c r="K28" s="32" t="s">
        <v>199</v>
      </c>
      <c r="L28" s="32" t="s">
        <v>169</v>
      </c>
      <c r="M28" s="32" t="str">
        <f>IF(Table2[[#This Row],[Stage]]="Closed","Closed","Open")</f>
        <v>Closed</v>
      </c>
      <c r="N28" s="32"/>
      <c r="O28" s="32">
        <f ca="1">SUMIFS(Table3[Days with], Table3[Ref], Table2[[#This Row],[Ref]],Table3[Who With],"Legal")</f>
        <v>1</v>
      </c>
      <c r="P28" s="34">
        <f>SUMIFS(Table3[Total Cycle Time],Table3[Ref],Table2[[#This Row],[Ref]])</f>
        <v>1</v>
      </c>
    </row>
    <row r="29" spans="1:16" hidden="1" x14ac:dyDescent="0.25">
      <c r="A29" s="39" t="str">
        <f>IF(Table2[[#This Row],[Date Received]]="","",_xlfn.CONCAT(Table2[[#This Row],[Counterparty]]," - ",Table2[[#This Row],[Contract Name]]))</f>
        <v>Copthorne Vets - Referral Agreement</v>
      </c>
      <c r="B29" s="33">
        <v>44659</v>
      </c>
      <c r="C29" s="32" t="s">
        <v>11</v>
      </c>
      <c r="D29" s="32" t="s">
        <v>247</v>
      </c>
      <c r="E29" s="32" t="s">
        <v>248</v>
      </c>
      <c r="F29" s="32" t="s">
        <v>16</v>
      </c>
      <c r="G29" s="32" t="s">
        <v>3</v>
      </c>
      <c r="H29" s="32" t="s">
        <v>249</v>
      </c>
      <c r="I29" s="32" t="s">
        <v>250</v>
      </c>
      <c r="J29" s="32" t="s">
        <v>251</v>
      </c>
      <c r="K29" s="32" t="s">
        <v>8</v>
      </c>
      <c r="L29" s="32" t="s">
        <v>169</v>
      </c>
      <c r="M29" s="32" t="str">
        <f>IF(Table2[[#This Row],[Stage]]="Closed","Closed","Open")</f>
        <v>Closed</v>
      </c>
      <c r="N29" s="32" t="s">
        <v>206</v>
      </c>
      <c r="O29" s="32">
        <f ca="1">SUMIFS(Table3[Days with], Table3[Ref], Table2[[#This Row],[Ref]],Table3[Who With],"Legal")</f>
        <v>30</v>
      </c>
      <c r="P29" s="34">
        <f>SUMIFS(Table3[Total Cycle Time],Table3[Ref],Table2[[#This Row],[Ref]])</f>
        <v>30</v>
      </c>
    </row>
    <row r="30" spans="1:16" hidden="1" x14ac:dyDescent="0.25">
      <c r="A30" s="39" t="str">
        <f>IF(Table2[[#This Row],[Date Received]]="","",_xlfn.CONCAT(Table2[[#This Row],[Counterparty]]," - ",Table2[[#This Row],[Contract Name]]))</f>
        <v>Vets Now - License Agreement</v>
      </c>
      <c r="B30" s="33">
        <v>44660</v>
      </c>
      <c r="C30" s="32" t="s">
        <v>11</v>
      </c>
      <c r="D30" s="32" t="s">
        <v>252</v>
      </c>
      <c r="E30" s="32" t="s">
        <v>253</v>
      </c>
      <c r="F30" s="32" t="s">
        <v>16</v>
      </c>
      <c r="G30" s="32" t="s">
        <v>36</v>
      </c>
      <c r="H30" s="32" t="s">
        <v>249</v>
      </c>
      <c r="I30" s="32" t="s">
        <v>228</v>
      </c>
      <c r="J30" s="32" t="s">
        <v>254</v>
      </c>
      <c r="K30" s="32" t="s">
        <v>2</v>
      </c>
      <c r="L30" s="32" t="s">
        <v>169</v>
      </c>
      <c r="M30" s="32" t="str">
        <f>IF(Table2[[#This Row],[Stage]]="Closed","Closed","Open")</f>
        <v>Closed</v>
      </c>
      <c r="N30" s="32" t="s">
        <v>255</v>
      </c>
      <c r="O30" s="32">
        <f ca="1">SUMIFS(Table3[Days with], Table3[Ref], Table2[[#This Row],[Ref]],Table3[Who With],"Legal")</f>
        <v>30</v>
      </c>
      <c r="P30" s="34">
        <f>SUMIFS(Table3[Total Cycle Time],Table3[Ref],Table2[[#This Row],[Ref]])</f>
        <v>30</v>
      </c>
    </row>
    <row r="31" spans="1:16" hidden="1" x14ac:dyDescent="0.25">
      <c r="A31" s="39" t="str">
        <f>IF(Table2[[#This Row],[Date Received]]="","",_xlfn.CONCAT(Table2[[#This Row],[Counterparty]]," - ",Table2[[#This Row],[Contract Name]]))</f>
        <v>Grenke - Hire Agreement 2</v>
      </c>
      <c r="B31" s="33">
        <v>44662</v>
      </c>
      <c r="C31" s="32" t="s">
        <v>11</v>
      </c>
      <c r="D31" s="32" t="s">
        <v>240</v>
      </c>
      <c r="E31" s="32" t="s">
        <v>256</v>
      </c>
      <c r="F31" s="32" t="s">
        <v>16</v>
      </c>
      <c r="G31" s="32" t="s">
        <v>29</v>
      </c>
      <c r="H31" s="32" t="s">
        <v>17</v>
      </c>
      <c r="I31" s="32" t="s">
        <v>1465</v>
      </c>
      <c r="J31" s="32" t="s">
        <v>205</v>
      </c>
      <c r="K31" s="32" t="s">
        <v>8</v>
      </c>
      <c r="L31" s="32" t="s">
        <v>169</v>
      </c>
      <c r="M31" s="32" t="str">
        <f>IF(Table2[[#This Row],[Stage]]="Closed","Closed","Open")</f>
        <v>Closed</v>
      </c>
      <c r="N31" s="32" t="s">
        <v>257</v>
      </c>
      <c r="O31" s="32">
        <f ca="1">SUMIFS(Table3[Days with], Table3[Ref], Table2[[#This Row],[Ref]],Table3[Who With],"Legal")</f>
        <v>30</v>
      </c>
      <c r="P31" s="34">
        <f>SUMIFS(Table3[Total Cycle Time],Table3[Ref],Table2[[#This Row],[Ref]])</f>
        <v>30</v>
      </c>
    </row>
    <row r="32" spans="1:16" hidden="1" x14ac:dyDescent="0.25">
      <c r="A32" s="39" t="str">
        <f>IF(Table2[[#This Row],[Date Received]]="","",_xlfn.CONCAT(Table2[[#This Row],[Counterparty]]," - ",Table2[[#This Row],[Contract Name]]))</f>
        <v>Grenke - Hire Agreement 3</v>
      </c>
      <c r="B32" s="33">
        <v>44662</v>
      </c>
      <c r="C32" s="32" t="s">
        <v>11</v>
      </c>
      <c r="D32" s="32" t="s">
        <v>240</v>
      </c>
      <c r="E32" s="32" t="s">
        <v>258</v>
      </c>
      <c r="F32" s="32" t="s">
        <v>16</v>
      </c>
      <c r="G32" s="32" t="s">
        <v>29</v>
      </c>
      <c r="H32" s="32" t="s">
        <v>17</v>
      </c>
      <c r="I32" s="32" t="s">
        <v>1466</v>
      </c>
      <c r="J32" s="32" t="s">
        <v>205</v>
      </c>
      <c r="K32" s="32" t="s">
        <v>8</v>
      </c>
      <c r="L32" s="32" t="s">
        <v>169</v>
      </c>
      <c r="M32" s="32" t="str">
        <f>IF(Table2[[#This Row],[Stage]]="Closed","Closed","Open")</f>
        <v>Closed</v>
      </c>
      <c r="N32" s="32" t="s">
        <v>257</v>
      </c>
      <c r="O32" s="32">
        <f ca="1">SUMIFS(Table3[Days with], Table3[Ref], Table2[[#This Row],[Ref]],Table3[Who With],"Legal")</f>
        <v>30</v>
      </c>
      <c r="P32" s="34">
        <f>SUMIFS(Table3[Total Cycle Time],Table3[Ref],Table2[[#This Row],[Ref]])</f>
        <v>30</v>
      </c>
    </row>
    <row r="33" spans="1:16" hidden="1" x14ac:dyDescent="0.25">
      <c r="A33" s="39" t="str">
        <f>IF(Table2[[#This Row],[Date Received]]="","",_xlfn.CONCAT(Table2[[#This Row],[Counterparty]]," - ",Table2[[#This Row],[Contract Name]]))</f>
        <v>Grenke - Hire Agreement 4</v>
      </c>
      <c r="B33" s="33">
        <v>44665</v>
      </c>
      <c r="C33" s="32" t="s">
        <v>11</v>
      </c>
      <c r="D33" s="32" t="s">
        <v>240</v>
      </c>
      <c r="E33" s="32" t="s">
        <v>237</v>
      </c>
      <c r="F33" s="32" t="s">
        <v>16</v>
      </c>
      <c r="G33" s="32" t="s">
        <v>29</v>
      </c>
      <c r="H33" s="32" t="s">
        <v>17</v>
      </c>
      <c r="I33" s="32" t="s">
        <v>1467</v>
      </c>
      <c r="J33" s="32" t="s">
        <v>205</v>
      </c>
      <c r="K33" s="32" t="s">
        <v>8</v>
      </c>
      <c r="L33" s="32" t="s">
        <v>169</v>
      </c>
      <c r="M33" s="32" t="str">
        <f>IF(Table2[[#This Row],[Stage]]="Closed","Closed","Open")</f>
        <v>Closed</v>
      </c>
      <c r="N33" s="32" t="s">
        <v>262</v>
      </c>
      <c r="O33" s="32">
        <f ca="1">SUMIFS(Table3[Days with], Table3[Ref], Table2[[#This Row],[Ref]],Table3[Who With],"Legal")</f>
        <v>30</v>
      </c>
      <c r="P33" s="34">
        <f>SUMIFS(Table3[Total Cycle Time],Table3[Ref],Table2[[#This Row],[Ref]])</f>
        <v>30</v>
      </c>
    </row>
    <row r="34" spans="1:16" hidden="1" x14ac:dyDescent="0.25">
      <c r="A34" s="39" t="str">
        <f>IF(Table2[[#This Row],[Date Received]]="","",_xlfn.CONCAT(Table2[[#This Row],[Counterparty]]," - ",Table2[[#This Row],[Contract Name]]))</f>
        <v>ezofficesystems - Consent Agreement</v>
      </c>
      <c r="B34" s="33">
        <v>44670</v>
      </c>
      <c r="C34" s="32" t="s">
        <v>11</v>
      </c>
      <c r="D34" s="32" t="s">
        <v>202</v>
      </c>
      <c r="E34" s="32" t="s">
        <v>273</v>
      </c>
      <c r="F34" s="32" t="s">
        <v>232</v>
      </c>
      <c r="G34" s="32" t="s">
        <v>29</v>
      </c>
      <c r="H34" s="32" t="s">
        <v>17</v>
      </c>
      <c r="I34" s="32" t="s">
        <v>223</v>
      </c>
      <c r="J34" s="32" t="s">
        <v>205</v>
      </c>
      <c r="K34" s="32" t="s">
        <v>2</v>
      </c>
      <c r="L34" s="32" t="s">
        <v>169</v>
      </c>
      <c r="M34" s="32" t="str">
        <f>IF(Table2[[#This Row],[Stage]]="Closed","Closed","Open")</f>
        <v>Closed</v>
      </c>
      <c r="N34" s="32"/>
      <c r="O34" s="32">
        <f ca="1">SUMIFS(Table3[Days with], Table3[Ref], Table2[[#This Row],[Ref]],Table3[Who With],"Legal")</f>
        <v>49</v>
      </c>
      <c r="P34" s="34">
        <f>SUMIFS(Table3[Total Cycle Time],Table3[Ref],Table2[[#This Row],[Ref]])</f>
        <v>49</v>
      </c>
    </row>
    <row r="35" spans="1:16" hidden="1" x14ac:dyDescent="0.25">
      <c r="A35" s="39" t="str">
        <f>IF(Table2[[#This Row],[Date Received]]="","",_xlfn.CONCAT(Table2[[#This Row],[Counterparty]]," - ",Table2[[#This Row],[Contract Name]]))</f>
        <v>ezofficesystems - Software License and Support Agreement</v>
      </c>
      <c r="B35" s="33">
        <v>44670</v>
      </c>
      <c r="C35" s="32" t="s">
        <v>11</v>
      </c>
      <c r="D35" s="32" t="s">
        <v>202</v>
      </c>
      <c r="E35" s="32" t="s">
        <v>273</v>
      </c>
      <c r="F35" s="32" t="s">
        <v>232</v>
      </c>
      <c r="G35" s="32" t="s">
        <v>29</v>
      </c>
      <c r="H35" s="32" t="s">
        <v>17</v>
      </c>
      <c r="I35" s="32" t="s">
        <v>204</v>
      </c>
      <c r="J35" s="32" t="s">
        <v>205</v>
      </c>
      <c r="K35" s="32" t="s">
        <v>2</v>
      </c>
      <c r="L35" s="32" t="s">
        <v>169</v>
      </c>
      <c r="M35" s="32" t="str">
        <f>IF(Table2[[#This Row],[Stage]]="Closed","Closed","Open")</f>
        <v>Closed</v>
      </c>
      <c r="N35" s="32"/>
      <c r="O35" s="32">
        <f ca="1">SUMIFS(Table3[Days with], Table3[Ref], Table2[[#This Row],[Ref]],Table3[Who With],"Legal")</f>
        <v>48</v>
      </c>
      <c r="P35" s="34">
        <f>SUMIFS(Table3[Total Cycle Time],Table3[Ref],Table2[[#This Row],[Ref]])</f>
        <v>48</v>
      </c>
    </row>
    <row r="36" spans="1:16" hidden="1" x14ac:dyDescent="0.25">
      <c r="A36" s="39" t="str">
        <f>IF(Table2[[#This Row],[Date Received]]="","",_xlfn.CONCAT(Table2[[#This Row],[Counterparty]]," - ",Table2[[#This Row],[Contract Name]]))</f>
        <v>ezofficesystems - Termination Letter</v>
      </c>
      <c r="B36" s="33">
        <v>44670</v>
      </c>
      <c r="C36" s="32" t="s">
        <v>11</v>
      </c>
      <c r="D36" s="32" t="s">
        <v>202</v>
      </c>
      <c r="E36" s="32" t="s">
        <v>273</v>
      </c>
      <c r="F36" s="32" t="s">
        <v>232</v>
      </c>
      <c r="G36" s="32" t="s">
        <v>29</v>
      </c>
      <c r="H36" s="32" t="s">
        <v>17</v>
      </c>
      <c r="I36" s="32" t="s">
        <v>224</v>
      </c>
      <c r="J36" s="32" t="s">
        <v>205</v>
      </c>
      <c r="K36" s="32" t="s">
        <v>2</v>
      </c>
      <c r="L36" s="32" t="s">
        <v>169</v>
      </c>
      <c r="M36" s="32" t="str">
        <f>IF(Table2[[#This Row],[Stage]]="Closed","Closed","Open")</f>
        <v>Closed</v>
      </c>
      <c r="N36" s="32"/>
      <c r="O36" s="32">
        <f ca="1">SUMIFS(Table3[Days with], Table3[Ref], Table2[[#This Row],[Ref]],Table3[Who With],"Legal")</f>
        <v>50</v>
      </c>
      <c r="P36" s="34">
        <f>SUMIFS(Table3[Total Cycle Time],Table3[Ref],Table2[[#This Row],[Ref]])</f>
        <v>50</v>
      </c>
    </row>
    <row r="37" spans="1:16" hidden="1" x14ac:dyDescent="0.25">
      <c r="A37" s="41" t="str">
        <f>IF(Table2[[#This Row],[Date Received]]="","",_xlfn.CONCAT(Table2[[#This Row],[Counterparty]]," - ",Table2[[#This Row],[Contract Name]]))</f>
        <v>Vets4Pets East Sheen - OOH Agreement</v>
      </c>
      <c r="B37" s="37">
        <v>44687</v>
      </c>
      <c r="C37" s="36" t="s">
        <v>11</v>
      </c>
      <c r="D37" s="36" t="s">
        <v>274</v>
      </c>
      <c r="E37" s="36" t="s">
        <v>275</v>
      </c>
      <c r="F37" s="36" t="s">
        <v>232</v>
      </c>
      <c r="G37" s="36" t="s">
        <v>36</v>
      </c>
      <c r="H37" s="36" t="s">
        <v>249</v>
      </c>
      <c r="I37" s="36" t="s">
        <v>276</v>
      </c>
      <c r="J37" s="36" t="s">
        <v>39</v>
      </c>
      <c r="K37" s="36" t="s">
        <v>232</v>
      </c>
      <c r="L37" s="32" t="s">
        <v>169</v>
      </c>
      <c r="M37" s="36" t="str">
        <f>IF(Table2[[#This Row],[Stage]]="Closed","Closed","Open")</f>
        <v>Closed</v>
      </c>
      <c r="N37" s="36"/>
      <c r="O37" s="36">
        <f ca="1">SUMIFS(Table3[Days with], Table3[Ref], Table2[[#This Row],[Ref]],Table3[Who With],"Legal")</f>
        <v>33</v>
      </c>
      <c r="P37" s="38">
        <f>SUMIFS(Table3[Total Cycle Time],Table3[Ref],Table2[[#This Row],[Ref]])</f>
        <v>33</v>
      </c>
    </row>
    <row r="38" spans="1:16" hidden="1" x14ac:dyDescent="0.25">
      <c r="A38" s="39" t="str">
        <f>IF(Table2[[#This Row],[Date Received]]="","",_xlfn.CONCAT(Table2[[#This Row],[Counterparty]]," - ",Table2[[#This Row],[Contract Name]]))</f>
        <v>CVS - OOH Agreement</v>
      </c>
      <c r="B38" s="33">
        <v>44690</v>
      </c>
      <c r="C38" s="32" t="s">
        <v>11</v>
      </c>
      <c r="D38" s="32" t="s">
        <v>277</v>
      </c>
      <c r="E38" s="32" t="s">
        <v>278</v>
      </c>
      <c r="F38" s="32" t="s">
        <v>232</v>
      </c>
      <c r="G38" s="32" t="s">
        <v>36</v>
      </c>
      <c r="H38" s="32" t="s">
        <v>17</v>
      </c>
      <c r="I38" s="32" t="s">
        <v>276</v>
      </c>
      <c r="J38" s="32" t="s">
        <v>279</v>
      </c>
      <c r="K38" s="32" t="s">
        <v>20</v>
      </c>
      <c r="L38" s="32" t="s">
        <v>169</v>
      </c>
      <c r="M38" s="32" t="str">
        <f>IF(Table2[[#This Row],[Stage]]="Closed","Closed","Open")</f>
        <v>Closed</v>
      </c>
      <c r="N38" s="32"/>
      <c r="O38" s="32">
        <f ca="1">SUMIFS(Table3[Days with], Table3[Ref], Table2[[#This Row],[Ref]],Table3[Who With],"Legal")</f>
        <v>32</v>
      </c>
      <c r="P38" s="34">
        <f>SUMIFS(Table3[Total Cycle Time],Table3[Ref],Table2[[#This Row],[Ref]])</f>
        <v>32</v>
      </c>
    </row>
    <row r="39" spans="1:16" hidden="1" x14ac:dyDescent="0.25">
      <c r="A39" s="39" t="str">
        <f>IF(Table2[[#This Row],[Date Received]]="","",_xlfn.CONCAT(Table2[[#This Row],[Counterparty]]," - ",Table2[[#This Row],[Contract Name]]))</f>
        <v>Improve - NDA</v>
      </c>
      <c r="B39" s="33">
        <v>44690</v>
      </c>
      <c r="C39" s="32" t="s">
        <v>11</v>
      </c>
      <c r="D39" s="32" t="s">
        <v>280</v>
      </c>
      <c r="E39" s="32"/>
      <c r="F39" s="32" t="s">
        <v>20</v>
      </c>
      <c r="G39" s="32" t="s">
        <v>14</v>
      </c>
      <c r="H39" s="32"/>
      <c r="I39" s="32" t="s">
        <v>264</v>
      </c>
      <c r="J39" s="32" t="s">
        <v>31</v>
      </c>
      <c r="K39" s="32"/>
      <c r="L39" s="32" t="s">
        <v>169</v>
      </c>
      <c r="M39" s="32" t="str">
        <f>IF(Table2[[#This Row],[Stage]]="Closed","Closed","Open")</f>
        <v>Closed</v>
      </c>
      <c r="N39" s="32"/>
      <c r="O39" s="32">
        <f ca="1">SUMIFS(Table3[Days with], Table3[Ref], Table2[[#This Row],[Ref]],Table3[Who With],"Legal")</f>
        <v>32</v>
      </c>
      <c r="P39" s="34">
        <f>SUMIFS(Table3[Total Cycle Time],Table3[Ref],Table2[[#This Row],[Ref]])</f>
        <v>32</v>
      </c>
    </row>
    <row r="40" spans="1:16" hidden="1" x14ac:dyDescent="0.25">
      <c r="A40" s="39" t="str">
        <f>IF(Table2[[#This Row],[Date Received]]="","",_xlfn.CONCAT(Table2[[#This Row],[Counterparty]]," - ",Table2[[#This Row],[Contract Name]]))</f>
        <v>Supreme Animal Foods - Referral Agreement</v>
      </c>
      <c r="B40" s="33">
        <v>44690</v>
      </c>
      <c r="C40" s="32" t="s">
        <v>11</v>
      </c>
      <c r="D40" s="32" t="s">
        <v>359</v>
      </c>
      <c r="E40" s="32" t="s">
        <v>360</v>
      </c>
      <c r="F40" s="32" t="s">
        <v>20</v>
      </c>
      <c r="G40" s="32" t="s">
        <v>36</v>
      </c>
      <c r="H40" s="32" t="s">
        <v>249</v>
      </c>
      <c r="I40" s="32" t="s">
        <v>250</v>
      </c>
      <c r="J40" s="32" t="s">
        <v>361</v>
      </c>
      <c r="K40" s="32" t="s">
        <v>20</v>
      </c>
      <c r="L40" s="32" t="s">
        <v>169</v>
      </c>
      <c r="M40" s="32" t="str">
        <f>IF(Table2[[#This Row],[Stage]]="Closed","Closed","Open")</f>
        <v>Closed</v>
      </c>
      <c r="N40" s="32" t="s">
        <v>362</v>
      </c>
      <c r="O40" s="32">
        <f ca="1">SUMIFS(Table3[Days with], Table3[Ref], Table2[[#This Row],[Ref]],Table3[Who With],"Legal")</f>
        <v>126</v>
      </c>
      <c r="P40" s="34">
        <f>SUMIFS(Table3[Total Cycle Time],Table3[Ref],Table2[[#This Row],[Ref]])</f>
        <v>126</v>
      </c>
    </row>
    <row r="41" spans="1:16" hidden="1" x14ac:dyDescent="0.25">
      <c r="A41" s="39" t="str">
        <f>IF(Table2[[#This Row],[Date Received]]="","",_xlfn.CONCAT(Table2[[#This Row],[Counterparty]]," - ",Table2[[#This Row],[Contract Name]]))</f>
        <v>RSPCA - Services Agreement</v>
      </c>
      <c r="B41" s="33">
        <v>44693</v>
      </c>
      <c r="C41" s="32" t="s">
        <v>11</v>
      </c>
      <c r="D41" s="32" t="s">
        <v>45</v>
      </c>
      <c r="E41" s="32" t="s">
        <v>305</v>
      </c>
      <c r="F41" s="32" t="s">
        <v>20</v>
      </c>
      <c r="G41" s="32" t="s">
        <v>36</v>
      </c>
      <c r="H41" s="32" t="s">
        <v>249</v>
      </c>
      <c r="I41" s="32" t="s">
        <v>32</v>
      </c>
      <c r="J41" s="32" t="s">
        <v>306</v>
      </c>
      <c r="K41" s="32" t="s">
        <v>20</v>
      </c>
      <c r="L41" s="32" t="s">
        <v>169</v>
      </c>
      <c r="M41" s="32" t="str">
        <f>IF(Table2[[#This Row],[Stage]]="Closed","Closed","Open")</f>
        <v>Closed</v>
      </c>
      <c r="N41" s="32" t="s">
        <v>362</v>
      </c>
      <c r="O41" s="32">
        <f ca="1">SUMIFS(Table3[Days with], Table3[Ref], Table2[[#This Row],[Ref]],Table3[Who With],"Legal")</f>
        <v>123</v>
      </c>
      <c r="P41" s="34">
        <f>SUMIFS(Table3[Total Cycle Time],Table3[Ref],Table2[[#This Row],[Ref]])</f>
        <v>123</v>
      </c>
    </row>
    <row r="42" spans="1:16" hidden="1" x14ac:dyDescent="0.25">
      <c r="A42" s="39" t="str">
        <f>IF(Table2[[#This Row],[Date Received]]="","",_xlfn.CONCAT(Table2[[#This Row],[Counterparty]]," - ",Table2[[#This Row],[Contract Name]]))</f>
        <v>Simon Jersey - NDA</v>
      </c>
      <c r="B42" s="33">
        <v>44694</v>
      </c>
      <c r="C42" s="32" t="s">
        <v>11</v>
      </c>
      <c r="D42" s="32" t="s">
        <v>281</v>
      </c>
      <c r="E42" s="32"/>
      <c r="F42" s="32" t="s">
        <v>20</v>
      </c>
      <c r="G42" s="32" t="s">
        <v>36</v>
      </c>
      <c r="H42" s="32" t="s">
        <v>17</v>
      </c>
      <c r="I42" s="32" t="s">
        <v>264</v>
      </c>
      <c r="J42" s="32" t="s">
        <v>216</v>
      </c>
      <c r="K42" s="32"/>
      <c r="L42" s="32" t="s">
        <v>169</v>
      </c>
      <c r="M42" s="32" t="str">
        <f>IF(Table2[[#This Row],[Stage]]="Closed","Closed","Open")</f>
        <v>Closed</v>
      </c>
      <c r="N42" s="32"/>
      <c r="O42" s="32">
        <f ca="1">SUMIFS(Table3[Days with], Table3[Ref], Table2[[#This Row],[Ref]],Table3[Who With],"Legal")</f>
        <v>28</v>
      </c>
      <c r="P42" s="34">
        <f>SUMIFS(Table3[Total Cycle Time],Table3[Ref],Table2[[#This Row],[Ref]])</f>
        <v>28</v>
      </c>
    </row>
    <row r="43" spans="1:16" hidden="1" x14ac:dyDescent="0.25">
      <c r="A43" s="39" t="str">
        <f>IF(Table2[[#This Row],[Date Received]]="","",_xlfn.CONCAT(Table2[[#This Row],[Counterparty]]," - ",Table2[[#This Row],[Contract Name]]))</f>
        <v>Aldwych - Engagement letter: CMA</v>
      </c>
      <c r="B43" s="33">
        <v>44698</v>
      </c>
      <c r="C43" s="32" t="s">
        <v>11</v>
      </c>
      <c r="D43" s="32" t="s">
        <v>265</v>
      </c>
      <c r="E43" s="32"/>
      <c r="F43" s="32" t="s">
        <v>20</v>
      </c>
      <c r="G43" s="32" t="s">
        <v>36</v>
      </c>
      <c r="H43" s="32" t="s">
        <v>17</v>
      </c>
      <c r="I43" s="32" t="s">
        <v>266</v>
      </c>
      <c r="J43" s="32" t="s">
        <v>20</v>
      </c>
      <c r="K43" s="32"/>
      <c r="L43" s="32" t="s">
        <v>169</v>
      </c>
      <c r="M43" s="32" t="str">
        <f>IF(Table2[[#This Row],[Stage]]="Closed","Closed","Open")</f>
        <v>Closed</v>
      </c>
      <c r="N43" s="32"/>
      <c r="O43" s="32">
        <f ca="1">SUMIFS(Table3[Days with], Table3[Ref], Table2[[#This Row],[Ref]],Table3[Who With],"Legal")</f>
        <v>9</v>
      </c>
      <c r="P43" s="34">
        <f>SUMIFS(Table3[Total Cycle Time],Table3[Ref],Table2[[#This Row],[Ref]])</f>
        <v>9</v>
      </c>
    </row>
    <row r="44" spans="1:16" hidden="1" x14ac:dyDescent="0.25">
      <c r="A44" s="39" t="str">
        <f>IF(Table2[[#This Row],[Date Received]]="","",_xlfn.CONCAT(Table2[[#This Row],[Counterparty]]," - ",Table2[[#This Row],[Contract Name]]))</f>
        <v>F Lex - Recruitment Agreement</v>
      </c>
      <c r="B44" s="33">
        <v>44698</v>
      </c>
      <c r="C44" s="32" t="s">
        <v>11</v>
      </c>
      <c r="D44" s="32" t="s">
        <v>271</v>
      </c>
      <c r="E44" s="32"/>
      <c r="F44" s="32" t="s">
        <v>20</v>
      </c>
      <c r="G44" s="32" t="s">
        <v>4</v>
      </c>
      <c r="H44" s="32" t="s">
        <v>17</v>
      </c>
      <c r="I44" s="32" t="s">
        <v>272</v>
      </c>
      <c r="J44" s="32" t="s">
        <v>20</v>
      </c>
      <c r="K44" s="32"/>
      <c r="L44" s="32" t="s">
        <v>169</v>
      </c>
      <c r="M44" s="32" t="str">
        <f>IF(Table2[[#This Row],[Stage]]="Closed","Closed","Open")</f>
        <v>Closed</v>
      </c>
      <c r="N44" s="32"/>
      <c r="O44" s="32">
        <f ca="1">SUMIFS(Table3[Days with], Table3[Ref], Table2[[#This Row],[Ref]],Table3[Who With],"Legal")</f>
        <v>14</v>
      </c>
      <c r="P44" s="34">
        <f>SUMIFS(Table3[Total Cycle Time],Table3[Ref],Table2[[#This Row],[Ref]])</f>
        <v>14</v>
      </c>
    </row>
    <row r="45" spans="1:16" hidden="1" x14ac:dyDescent="0.25">
      <c r="A45" s="39" t="str">
        <f>IF(Table2[[#This Row],[Date Received]]="","",_xlfn.CONCAT(Table2[[#This Row],[Counterparty]]," - ",Table2[[#This Row],[Contract Name]]))</f>
        <v>Hazlewoods - Engagement Letter: Artemis DD</v>
      </c>
      <c r="B45" s="33">
        <v>44701</v>
      </c>
      <c r="C45" s="32" t="s">
        <v>11</v>
      </c>
      <c r="D45" s="32" t="s">
        <v>263</v>
      </c>
      <c r="E45" s="32"/>
      <c r="F45" s="32" t="s">
        <v>20</v>
      </c>
      <c r="G45" s="32" t="s">
        <v>27</v>
      </c>
      <c r="H45" s="32" t="s">
        <v>17</v>
      </c>
      <c r="I45" s="32" t="s">
        <v>269</v>
      </c>
      <c r="J45" s="32" t="s">
        <v>270</v>
      </c>
      <c r="K45" s="32"/>
      <c r="L45" s="32" t="s">
        <v>169</v>
      </c>
      <c r="M45" s="32" t="str">
        <f>IF(Table2[[#This Row],[Stage]]="Closed","Closed","Open")</f>
        <v>Closed</v>
      </c>
      <c r="N45" s="32"/>
      <c r="O45" s="32">
        <f ca="1">SUMIFS(Table3[Days with], Table3[Ref], Table2[[#This Row],[Ref]],Table3[Who With],"Legal")</f>
        <v>8</v>
      </c>
      <c r="P45" s="34">
        <f>SUMIFS(Table3[Total Cycle Time],Table3[Ref],Table2[[#This Row],[Ref]])</f>
        <v>8</v>
      </c>
    </row>
    <row r="46" spans="1:16" hidden="1" x14ac:dyDescent="0.25">
      <c r="A46" s="39" t="str">
        <f>IF(Table2[[#This Row],[Date Received]]="","",_xlfn.CONCAT(Table2[[#This Row],[Counterparty]]," - ",Table2[[#This Row],[Contract Name]]))</f>
        <v>BNP Leasing  - Novation Agreement 1</v>
      </c>
      <c r="B46" s="33">
        <v>44706</v>
      </c>
      <c r="C46" s="32" t="s">
        <v>11</v>
      </c>
      <c r="D46" s="32" t="s">
        <v>292</v>
      </c>
      <c r="E46" s="32" t="s">
        <v>364</v>
      </c>
      <c r="F46" s="32" t="s">
        <v>20</v>
      </c>
      <c r="G46" s="32" t="s">
        <v>29</v>
      </c>
      <c r="H46" s="32" t="s">
        <v>17</v>
      </c>
      <c r="I46" s="32" t="s">
        <v>1468</v>
      </c>
      <c r="J46" s="32" t="s">
        <v>335</v>
      </c>
      <c r="K46" s="32" t="s">
        <v>20</v>
      </c>
      <c r="L46" s="32" t="s">
        <v>169</v>
      </c>
      <c r="M46" s="32" t="str">
        <f>IF(Table2[[#This Row],[Stage]]="Closed","Closed","Open")</f>
        <v>Closed</v>
      </c>
      <c r="N46" s="32" t="s">
        <v>362</v>
      </c>
      <c r="O46" s="32">
        <f ca="1">SUMIFS(Table3[Days with], Table3[Ref], Table2[[#This Row],[Ref]],Table3[Who With],"Legal")</f>
        <v>110</v>
      </c>
      <c r="P46" s="34">
        <f>SUMIFS(Table3[Total Cycle Time],Table3[Ref],Table2[[#This Row],[Ref]])</f>
        <v>110</v>
      </c>
    </row>
    <row r="47" spans="1:16" hidden="1" x14ac:dyDescent="0.25">
      <c r="A47" s="39" t="str">
        <f>IF(Table2[[#This Row],[Date Received]]="","",_xlfn.CONCAT(Table2[[#This Row],[Counterparty]]," - ",Table2[[#This Row],[Contract Name]]))</f>
        <v>Hazlewoods - NDA</v>
      </c>
      <c r="B47" s="33">
        <v>44706</v>
      </c>
      <c r="C47" s="32" t="s">
        <v>11</v>
      </c>
      <c r="D47" s="32" t="s">
        <v>263</v>
      </c>
      <c r="E47" s="32"/>
      <c r="F47" s="32" t="s">
        <v>20</v>
      </c>
      <c r="G47" s="32" t="s">
        <v>37</v>
      </c>
      <c r="H47" s="32"/>
      <c r="I47" s="32" t="s">
        <v>264</v>
      </c>
      <c r="J47" s="32" t="s">
        <v>38</v>
      </c>
      <c r="K47" s="32"/>
      <c r="L47" s="32" t="s">
        <v>169</v>
      </c>
      <c r="M47" s="32" t="str">
        <f>IF(Table2[[#This Row],[Stage]]="Closed","Closed","Open")</f>
        <v>Closed</v>
      </c>
      <c r="N47" s="32"/>
      <c r="O47" s="32">
        <f ca="1">SUMIFS(Table3[Days with], Table3[Ref], Table2[[#This Row],[Ref]],Table3[Who With],"Legal")</f>
        <v>1029</v>
      </c>
      <c r="P47" s="34">
        <f>SUMIFS(Table3[Total Cycle Time],Table3[Ref],Table2[[#This Row],[Ref]])</f>
        <v>0</v>
      </c>
    </row>
    <row r="48" spans="1:16" hidden="1" x14ac:dyDescent="0.25">
      <c r="A48" s="39" t="str">
        <f>IF(Table2[[#This Row],[Date Received]]="","",_xlfn.CONCAT(Table2[[#This Row],[Counterparty]]," - ",Table2[[#This Row],[Contract Name]]))</f>
        <v>Gallagher - NDA</v>
      </c>
      <c r="B48" s="33">
        <v>44706</v>
      </c>
      <c r="C48" s="32" t="s">
        <v>11</v>
      </c>
      <c r="D48" s="32" t="s">
        <v>268</v>
      </c>
      <c r="E48" s="32"/>
      <c r="F48" s="32" t="s">
        <v>20</v>
      </c>
      <c r="G48" s="32" t="s">
        <v>4</v>
      </c>
      <c r="H48" s="32"/>
      <c r="I48" s="32" t="s">
        <v>264</v>
      </c>
      <c r="J48" s="32" t="s">
        <v>20</v>
      </c>
      <c r="K48" s="32"/>
      <c r="L48" s="32" t="s">
        <v>169</v>
      </c>
      <c r="M48" s="32" t="str">
        <f>IF(Table2[[#This Row],[Stage]]="Closed","Closed","Open")</f>
        <v>Closed</v>
      </c>
      <c r="N48" s="32"/>
      <c r="O48" s="32">
        <f ca="1">SUMIFS(Table3[Days with], Table3[Ref], Table2[[#This Row],[Ref]],Table3[Who With],"Legal")</f>
        <v>2</v>
      </c>
      <c r="P48" s="34">
        <f>SUMIFS(Table3[Total Cycle Time],Table3[Ref],Table2[[#This Row],[Ref]])</f>
        <v>2</v>
      </c>
    </row>
    <row r="49" spans="1:16" hidden="1" x14ac:dyDescent="0.25">
      <c r="A49" s="39" t="str">
        <f>IF(Table2[[#This Row],[Date Received]]="","",_xlfn.CONCAT(Table2[[#This Row],[Counterparty]]," - ",Table2[[#This Row],[Contract Name]]))</f>
        <v>Tower Leasing Limited - Novation Agreement</v>
      </c>
      <c r="B49" s="33">
        <v>44706</v>
      </c>
      <c r="C49" s="32" t="s">
        <v>11</v>
      </c>
      <c r="D49" s="32" t="s">
        <v>363</v>
      </c>
      <c r="E49" s="32" t="s">
        <v>293</v>
      </c>
      <c r="F49" s="32" t="s">
        <v>20</v>
      </c>
      <c r="G49" s="32" t="s">
        <v>29</v>
      </c>
      <c r="H49" s="32" t="s">
        <v>17</v>
      </c>
      <c r="I49" s="32" t="s">
        <v>33</v>
      </c>
      <c r="J49" s="32" t="s">
        <v>335</v>
      </c>
      <c r="K49" s="32" t="s">
        <v>20</v>
      </c>
      <c r="L49" s="32" t="s">
        <v>169</v>
      </c>
      <c r="M49" s="32" t="str">
        <f>IF(Table2[[#This Row],[Stage]]="Closed","Closed","Open")</f>
        <v>Closed</v>
      </c>
      <c r="N49" s="32" t="s">
        <v>362</v>
      </c>
      <c r="O49" s="32">
        <f ca="1">SUMIFS(Table3[Days with], Table3[Ref], Table2[[#This Row],[Ref]],Table3[Who With],"Legal")</f>
        <v>110</v>
      </c>
      <c r="P49" s="34">
        <f>SUMIFS(Table3[Total Cycle Time],Table3[Ref],Table2[[#This Row],[Ref]])</f>
        <v>110</v>
      </c>
    </row>
    <row r="50" spans="1:16" hidden="1" x14ac:dyDescent="0.25">
      <c r="A50" s="39" t="str">
        <f>IF(Table2[[#This Row],[Date Received]]="","",_xlfn.CONCAT(Table2[[#This Row],[Counterparty]]," - ",Table2[[#This Row],[Contract Name]]))</f>
        <v>BNP Leasing  - Novation Agreement</v>
      </c>
      <c r="B50" s="33">
        <v>44708</v>
      </c>
      <c r="C50" s="32" t="s">
        <v>11</v>
      </c>
      <c r="D50" s="32" t="s">
        <v>292</v>
      </c>
      <c r="E50" s="32" t="s">
        <v>293</v>
      </c>
      <c r="F50" s="32" t="s">
        <v>20</v>
      </c>
      <c r="G50" s="32" t="s">
        <v>29</v>
      </c>
      <c r="H50" s="32" t="s">
        <v>17</v>
      </c>
      <c r="I50" s="32" t="s">
        <v>33</v>
      </c>
      <c r="J50" s="32" t="s">
        <v>294</v>
      </c>
      <c r="K50" s="32" t="s">
        <v>20</v>
      </c>
      <c r="L50" s="32" t="s">
        <v>169</v>
      </c>
      <c r="M50" s="32" t="str">
        <f>IF(Table2[[#This Row],[Stage]]="Closed","Closed","Open")</f>
        <v>Closed</v>
      </c>
      <c r="N50" s="32"/>
      <c r="O50" s="32">
        <f ca="1">SUMIFS(Table3[Days with], Table3[Ref], Table2[[#This Row],[Ref]],Table3[Who With],"Legal")</f>
        <v>39</v>
      </c>
      <c r="P50" s="34">
        <f>SUMIFS(Table3[Total Cycle Time],Table3[Ref],Table2[[#This Row],[Ref]])</f>
        <v>39</v>
      </c>
    </row>
    <row r="51" spans="1:16" hidden="1" x14ac:dyDescent="0.25">
      <c r="A51" s="39" t="str">
        <f>IF(Table2[[#This Row],[Date Received]]="","",_xlfn.CONCAT(Table2[[#This Row],[Counterparty]]," - ",Table2[[#This Row],[Contract Name]]))</f>
        <v>BNP Leasing (4Com) - Novation Agreement</v>
      </c>
      <c r="B51" s="33">
        <v>44711</v>
      </c>
      <c r="C51" s="32" t="s">
        <v>11</v>
      </c>
      <c r="D51" s="32" t="s">
        <v>341</v>
      </c>
      <c r="E51" s="32" t="s">
        <v>296</v>
      </c>
      <c r="F51" s="32" t="s">
        <v>20</v>
      </c>
      <c r="G51" s="32" t="s">
        <v>29</v>
      </c>
      <c r="H51" s="32" t="s">
        <v>17</v>
      </c>
      <c r="I51" s="32" t="s">
        <v>33</v>
      </c>
      <c r="J51" s="32" t="s">
        <v>42</v>
      </c>
      <c r="K51" s="32" t="s">
        <v>20</v>
      </c>
      <c r="L51" s="32" t="s">
        <v>169</v>
      </c>
      <c r="M51" s="32" t="str">
        <f>IF(Table2[[#This Row],[Stage]]="Closed","Closed","Open")</f>
        <v>Closed</v>
      </c>
      <c r="N51" s="32"/>
      <c r="O51" s="32">
        <f ca="1">SUMIFS(Table3[Days with], Table3[Ref], Table2[[#This Row],[Ref]],Table3[Who With],"Legal")</f>
        <v>95</v>
      </c>
      <c r="P51" s="34">
        <f>SUMIFS(Table3[Total Cycle Time],Table3[Ref],Table2[[#This Row],[Ref]])</f>
        <v>95</v>
      </c>
    </row>
    <row r="52" spans="1:16" hidden="1" x14ac:dyDescent="0.25">
      <c r="A52" s="39" t="str">
        <f>IF(Table2[[#This Row],[Date Received]]="","",_xlfn.CONCAT(Table2[[#This Row],[Counterparty]]," - ",Table2[[#This Row],[Contract Name]]))</f>
        <v>Vets Now - OOH Agreement 1</v>
      </c>
      <c r="B52" s="33">
        <v>44711</v>
      </c>
      <c r="C52" s="32" t="s">
        <v>11</v>
      </c>
      <c r="D52" s="32" t="s">
        <v>252</v>
      </c>
      <c r="E52" s="32" t="s">
        <v>40</v>
      </c>
      <c r="F52" s="32" t="s">
        <v>20</v>
      </c>
      <c r="G52" s="32" t="s">
        <v>36</v>
      </c>
      <c r="H52" s="32" t="s">
        <v>17</v>
      </c>
      <c r="I52" s="32" t="s">
        <v>1473</v>
      </c>
      <c r="J52" s="32" t="s">
        <v>282</v>
      </c>
      <c r="K52" s="32" t="s">
        <v>20</v>
      </c>
      <c r="L52" s="32" t="s">
        <v>169</v>
      </c>
      <c r="M52" s="32" t="str">
        <f>IF(Table2[[#This Row],[Stage]]="Closed","Closed","Open")</f>
        <v>Closed</v>
      </c>
      <c r="N52" s="32"/>
      <c r="O52" s="32">
        <f ca="1">SUMIFS(Table3[Days with], Table3[Ref], Table2[[#This Row],[Ref]],Table3[Who With],"Legal")</f>
        <v>14</v>
      </c>
      <c r="P52" s="34">
        <f>SUMIFS(Table3[Total Cycle Time],Table3[Ref],Table2[[#This Row],[Ref]])</f>
        <v>14</v>
      </c>
    </row>
    <row r="53" spans="1:16" hidden="1" x14ac:dyDescent="0.25">
      <c r="A53" s="39" t="str">
        <f>IF(Table2[[#This Row],[Date Received]]="","",_xlfn.CONCAT(Table2[[#This Row],[Counterparty]]," - ",Table2[[#This Row],[Contract Name]]))</f>
        <v>Vets Now - OOH Agreement 2</v>
      </c>
      <c r="B53" s="33">
        <v>44711</v>
      </c>
      <c r="C53" s="32" t="s">
        <v>11</v>
      </c>
      <c r="D53" s="32" t="s">
        <v>252</v>
      </c>
      <c r="E53" s="32" t="s">
        <v>283</v>
      </c>
      <c r="F53" s="32" t="s">
        <v>20</v>
      </c>
      <c r="G53" s="32" t="s">
        <v>36</v>
      </c>
      <c r="H53" s="32" t="s">
        <v>17</v>
      </c>
      <c r="I53" s="32" t="s">
        <v>1474</v>
      </c>
      <c r="J53" s="32" t="s">
        <v>282</v>
      </c>
      <c r="K53" s="32" t="s">
        <v>20</v>
      </c>
      <c r="L53" s="32" t="s">
        <v>169</v>
      </c>
      <c r="M53" s="32" t="str">
        <f>IF(Table2[[#This Row],[Stage]]="Closed","Closed","Open")</f>
        <v>Closed</v>
      </c>
      <c r="N53" s="32"/>
      <c r="O53" s="32">
        <f ca="1">SUMIFS(Table3[Days with], Table3[Ref], Table2[[#This Row],[Ref]],Table3[Who With],"Legal")</f>
        <v>14</v>
      </c>
      <c r="P53" s="34">
        <f>SUMIFS(Table3[Total Cycle Time],Table3[Ref],Table2[[#This Row],[Ref]])</f>
        <v>14</v>
      </c>
    </row>
    <row r="54" spans="1:16" hidden="1" x14ac:dyDescent="0.25">
      <c r="A54" s="39" t="str">
        <f>IF(Table2[[#This Row],[Date Received]]="","",_xlfn.CONCAT(Table2[[#This Row],[Counterparty]]," - ",Table2[[#This Row],[Contract Name]]))</f>
        <v>VPIS - Services Agreement</v>
      </c>
      <c r="B54" s="33">
        <v>44718</v>
      </c>
      <c r="C54" s="32" t="s">
        <v>11</v>
      </c>
      <c r="D54" s="32" t="s">
        <v>43</v>
      </c>
      <c r="E54" s="32"/>
      <c r="F54" s="32" t="s">
        <v>20</v>
      </c>
      <c r="G54" s="32" t="s">
        <v>14</v>
      </c>
      <c r="H54" s="32"/>
      <c r="I54" s="32" t="s">
        <v>32</v>
      </c>
      <c r="J54" s="32" t="s">
        <v>31</v>
      </c>
      <c r="K54" s="32" t="s">
        <v>20</v>
      </c>
      <c r="L54" s="32" t="s">
        <v>169</v>
      </c>
      <c r="M54" s="32" t="str">
        <f>IF(Table2[[#This Row],[Stage]]="Closed","Closed","Open")</f>
        <v>Closed</v>
      </c>
      <c r="N54" s="32"/>
      <c r="O54" s="32">
        <f ca="1">SUMIFS(Table3[Days with], Table3[Ref], Table2[[#This Row],[Ref]],Table3[Who With],"Legal")</f>
        <v>49</v>
      </c>
      <c r="P54" s="34">
        <f>SUMIFS(Table3[Total Cycle Time],Table3[Ref],Table2[[#This Row],[Ref]])</f>
        <v>49</v>
      </c>
    </row>
    <row r="55" spans="1:16" hidden="1" x14ac:dyDescent="0.25">
      <c r="A55" s="39" t="str">
        <f>IF(Table2[[#This Row],[Date Received]]="","",_xlfn.CONCAT(Table2[[#This Row],[Counterparty]]," - ",Table2[[#This Row],[Contract Name]]))</f>
        <v xml:space="preserve">MSD  - Pharma Supply Agreement </v>
      </c>
      <c r="B55" s="33">
        <v>44720</v>
      </c>
      <c r="C55" s="32" t="s">
        <v>11</v>
      </c>
      <c r="D55" s="32" t="s">
        <v>298</v>
      </c>
      <c r="E55" s="32"/>
      <c r="F55" s="32" t="s">
        <v>299</v>
      </c>
      <c r="G55" s="32" t="s">
        <v>14</v>
      </c>
      <c r="H55" s="32"/>
      <c r="I55" s="32" t="s">
        <v>300</v>
      </c>
      <c r="J55" s="32" t="s">
        <v>31</v>
      </c>
      <c r="K55" s="32" t="s">
        <v>31</v>
      </c>
      <c r="L55" s="32" t="s">
        <v>169</v>
      </c>
      <c r="M55" s="32" t="str">
        <f>IF(Table2[[#This Row],[Stage]]="Closed","Closed","Open")</f>
        <v>Closed</v>
      </c>
      <c r="N55" s="32" t="s">
        <v>301</v>
      </c>
      <c r="O55" s="32">
        <f ca="1">SUMIFS(Table3[Days with], Table3[Ref], Table2[[#This Row],[Ref]],Table3[Who With],"Legal")</f>
        <v>30</v>
      </c>
      <c r="P55" s="34">
        <f>SUMIFS(Table3[Total Cycle Time],Table3[Ref],Table2[[#This Row],[Ref]])</f>
        <v>30</v>
      </c>
    </row>
    <row r="56" spans="1:16" hidden="1" x14ac:dyDescent="0.25">
      <c r="A56" s="39" t="str">
        <f>IF(Table2[[#This Row],[Date Received]]="","",_xlfn.CONCAT(Table2[[#This Row],[Counterparty]]," - ",Table2[[#This Row],[Contract Name]]))</f>
        <v xml:space="preserve">Royal Canin  - Supply Agreement </v>
      </c>
      <c r="B56" s="33">
        <v>44720</v>
      </c>
      <c r="C56" s="32" t="s">
        <v>11</v>
      </c>
      <c r="D56" s="32" t="s">
        <v>365</v>
      </c>
      <c r="E56" s="32"/>
      <c r="F56" s="32" t="s">
        <v>20</v>
      </c>
      <c r="G56" s="32" t="s">
        <v>14</v>
      </c>
      <c r="H56" s="32"/>
      <c r="I56" s="32" t="s">
        <v>366</v>
      </c>
      <c r="J56" s="32" t="s">
        <v>31</v>
      </c>
      <c r="K56" s="32" t="s">
        <v>20</v>
      </c>
      <c r="L56" s="32" t="s">
        <v>169</v>
      </c>
      <c r="M56" s="32" t="str">
        <f>IF(Table2[[#This Row],[Stage]]="Closed","Closed","Open")</f>
        <v>Closed</v>
      </c>
      <c r="N56" s="32" t="s">
        <v>362</v>
      </c>
      <c r="O56" s="32">
        <f ca="1">SUMIFS(Table3[Days with], Table3[Ref], Table2[[#This Row],[Ref]],Table3[Who With],"Legal")</f>
        <v>96</v>
      </c>
      <c r="P56" s="34">
        <f>SUMIFS(Table3[Total Cycle Time],Table3[Ref],Table2[[#This Row],[Ref]])</f>
        <v>96</v>
      </c>
    </row>
    <row r="57" spans="1:16" hidden="1" x14ac:dyDescent="0.25">
      <c r="A57" s="39" t="str">
        <f>IF(Table2[[#This Row],[Date Received]]="","",_xlfn.CONCAT(Table2[[#This Row],[Counterparty]]," - ",Table2[[#This Row],[Contract Name]]))</f>
        <v>Hills  - Supply Agreement</v>
      </c>
      <c r="B57" s="33">
        <v>44720</v>
      </c>
      <c r="C57" s="32" t="s">
        <v>11</v>
      </c>
      <c r="D57" s="32" t="s">
        <v>374</v>
      </c>
      <c r="E57" s="32"/>
      <c r="F57" s="32" t="s">
        <v>299</v>
      </c>
      <c r="G57" s="32" t="s">
        <v>14</v>
      </c>
      <c r="H57" s="32"/>
      <c r="I57" s="32" t="s">
        <v>46</v>
      </c>
      <c r="J57" s="32" t="s">
        <v>31</v>
      </c>
      <c r="K57" s="32" t="s">
        <v>31</v>
      </c>
      <c r="L57" s="32" t="s">
        <v>169</v>
      </c>
      <c r="M57" s="32" t="str">
        <f>IF(Table2[[#This Row],[Stage]]="Closed","Closed","Open")</f>
        <v>Closed</v>
      </c>
      <c r="N57" s="32"/>
      <c r="O57" s="32">
        <f ca="1">SUMIFS(Table3[Days with], Table3[Ref], Table2[[#This Row],[Ref]],Table3[Who With],"Legal")</f>
        <v>98</v>
      </c>
      <c r="P57" s="34">
        <f>SUMIFS(Table3[Total Cycle Time],Table3[Ref],Table2[[#This Row],[Ref]])</f>
        <v>98</v>
      </c>
    </row>
    <row r="58" spans="1:16" hidden="1" x14ac:dyDescent="0.25">
      <c r="A58" s="39" t="str">
        <f>IF(Table2[[#This Row],[Date Received]]="","",_xlfn.CONCAT(Table2[[#This Row],[Counterparty]]," - ",Table2[[#This Row],[Contract Name]]))</f>
        <v>Elanco - Pharma Supply Rebate Agreement</v>
      </c>
      <c r="B58" s="33">
        <v>44720</v>
      </c>
      <c r="C58" s="32" t="s">
        <v>11</v>
      </c>
      <c r="D58" s="32" t="s">
        <v>375</v>
      </c>
      <c r="E58" s="32"/>
      <c r="F58" s="32" t="s">
        <v>299</v>
      </c>
      <c r="G58" s="32" t="s">
        <v>14</v>
      </c>
      <c r="H58" s="32"/>
      <c r="I58" s="32" t="s">
        <v>376</v>
      </c>
      <c r="J58" s="32" t="s">
        <v>31</v>
      </c>
      <c r="K58" s="32" t="s">
        <v>31</v>
      </c>
      <c r="L58" s="32" t="s">
        <v>169</v>
      </c>
      <c r="M58" s="32" t="str">
        <f>IF(Table2[[#This Row],[Stage]]="Closed","Closed","Open")</f>
        <v>Closed</v>
      </c>
      <c r="N58" s="32" t="s">
        <v>377</v>
      </c>
      <c r="O58" s="32">
        <f ca="1">SUMIFS(Table3[Days with], Table3[Ref], Table2[[#This Row],[Ref]],Table3[Who With],"Legal")</f>
        <v>98</v>
      </c>
      <c r="P58" s="34">
        <f>SUMIFS(Table3[Total Cycle Time],Table3[Ref],Table2[[#This Row],[Ref]])</f>
        <v>98</v>
      </c>
    </row>
    <row r="59" spans="1:16" hidden="1" x14ac:dyDescent="0.25">
      <c r="A59" s="39" t="str">
        <f>IF(Table2[[#This Row],[Date Received]]="","",_xlfn.CONCAT(Table2[[#This Row],[Counterparty]]," - ",Table2[[#This Row],[Contract Name]]))</f>
        <v>Filter Digital - Website Support Agreement</v>
      </c>
      <c r="B59" s="33">
        <v>44726</v>
      </c>
      <c r="C59" s="32" t="s">
        <v>11</v>
      </c>
      <c r="D59" s="32" t="s">
        <v>536</v>
      </c>
      <c r="E59" s="32"/>
      <c r="F59" s="32" t="s">
        <v>12</v>
      </c>
      <c r="G59" s="32" t="s">
        <v>233</v>
      </c>
      <c r="H59" s="32" t="s">
        <v>17</v>
      </c>
      <c r="I59" s="32" t="s">
        <v>537</v>
      </c>
      <c r="J59" s="32" t="s">
        <v>53</v>
      </c>
      <c r="K59" s="32" t="s">
        <v>53</v>
      </c>
      <c r="L59" s="32" t="s">
        <v>169</v>
      </c>
      <c r="M59" s="32" t="str">
        <f>IF(Table2[[#This Row],[Stage]]="Closed","Closed","Open")</f>
        <v>Closed</v>
      </c>
      <c r="N59" s="32" t="s">
        <v>453</v>
      </c>
      <c r="O59" s="32">
        <f ca="1">SUMIFS(Table3[Days with], Table3[Ref], Table2[[#This Row],[Ref]],Table3[Who With],"Legal")</f>
        <v>234</v>
      </c>
      <c r="P59" s="34">
        <f>SUMIFS(Table3[Total Cycle Time],Table3[Ref],Table2[[#This Row],[Ref]])</f>
        <v>234</v>
      </c>
    </row>
    <row r="60" spans="1:16" hidden="1" x14ac:dyDescent="0.25">
      <c r="A60" s="39" t="str">
        <f>IF(Table2[[#This Row],[Date Received]]="","",_xlfn.CONCAT(Table2[[#This Row],[Counterparty]]," - ",Table2[[#This Row],[Contract Name]]))</f>
        <v>Joncon Ltd - the 'consultancy agreement'/Variation</v>
      </c>
      <c r="B60" s="33">
        <v>44728</v>
      </c>
      <c r="C60" s="32" t="s">
        <v>11</v>
      </c>
      <c r="D60" s="32" t="s">
        <v>284</v>
      </c>
      <c r="E60" s="32"/>
      <c r="F60" s="32" t="s">
        <v>20</v>
      </c>
      <c r="G60" s="32" t="s">
        <v>34</v>
      </c>
      <c r="H60" s="32" t="s">
        <v>17</v>
      </c>
      <c r="I60" s="32" t="s">
        <v>285</v>
      </c>
      <c r="J60" s="32" t="s">
        <v>35</v>
      </c>
      <c r="K60" s="32" t="s">
        <v>20</v>
      </c>
      <c r="L60" s="32" t="s">
        <v>169</v>
      </c>
      <c r="M60" s="32" t="str">
        <f>IF(Table2[[#This Row],[Stage]]="Closed","Closed","Open")</f>
        <v>Closed</v>
      </c>
      <c r="N60" s="32"/>
      <c r="O60" s="32">
        <f ca="1">SUMIFS(Table3[Days with], Table3[Ref], Table2[[#This Row],[Ref]],Table3[Who With],"Legal")</f>
        <v>4</v>
      </c>
      <c r="P60" s="34">
        <f>SUMIFS(Table3[Total Cycle Time],Table3[Ref],Table2[[#This Row],[Ref]])</f>
        <v>4</v>
      </c>
    </row>
    <row r="61" spans="1:16" hidden="1" x14ac:dyDescent="0.25">
      <c r="A61" s="39" t="str">
        <f>IF(Table2[[#This Row],[Date Received]]="","",_xlfn.CONCAT(Table2[[#This Row],[Counterparty]]," - ",Table2[[#This Row],[Contract Name]]))</f>
        <v>Wear refferals Ltd - OOH Agreement</v>
      </c>
      <c r="B61" s="33">
        <v>44729</v>
      </c>
      <c r="C61" s="32" t="s">
        <v>11</v>
      </c>
      <c r="D61" s="32" t="s">
        <v>304</v>
      </c>
      <c r="E61" s="32" t="s">
        <v>305</v>
      </c>
      <c r="F61" s="32" t="s">
        <v>20</v>
      </c>
      <c r="G61" s="32" t="s">
        <v>36</v>
      </c>
      <c r="H61" s="32" t="s">
        <v>17</v>
      </c>
      <c r="I61" s="32" t="s">
        <v>276</v>
      </c>
      <c r="J61" s="32" t="s">
        <v>306</v>
      </c>
      <c r="K61" s="32" t="s">
        <v>20</v>
      </c>
      <c r="L61" s="32" t="s">
        <v>169</v>
      </c>
      <c r="M61" s="32" t="str">
        <f>IF(Table2[[#This Row],[Stage]]="Closed","Closed","Open")</f>
        <v>Closed</v>
      </c>
      <c r="N61" s="32"/>
      <c r="O61" s="32">
        <f ca="1">SUMIFS(Table3[Days with], Table3[Ref], Table2[[#This Row],[Ref]],Table3[Who With],"Legal")</f>
        <v>30</v>
      </c>
      <c r="P61" s="34">
        <f>SUMIFS(Table3[Total Cycle Time],Table3[Ref],Table2[[#This Row],[Ref]])</f>
        <v>30</v>
      </c>
    </row>
    <row r="62" spans="1:16" hidden="1" x14ac:dyDescent="0.25">
      <c r="A62" s="39" t="str">
        <f>IF(Table2[[#This Row],[Date Received]]="","",_xlfn.CONCAT(Table2[[#This Row],[Counterparty]]," - ",Table2[[#This Row],[Contract Name]]))</f>
        <v>Zen - Novation Agreement</v>
      </c>
      <c r="B62" s="33">
        <v>44729</v>
      </c>
      <c r="C62" s="32" t="s">
        <v>1083</v>
      </c>
      <c r="D62" s="32" t="s">
        <v>367</v>
      </c>
      <c r="E62" s="32" t="s">
        <v>368</v>
      </c>
      <c r="F62" s="32" t="s">
        <v>20</v>
      </c>
      <c r="G62" s="32" t="s">
        <v>29</v>
      </c>
      <c r="H62" s="32" t="s">
        <v>17</v>
      </c>
      <c r="I62" s="32" t="s">
        <v>33</v>
      </c>
      <c r="J62" s="32" t="s">
        <v>337</v>
      </c>
      <c r="K62" s="32" t="s">
        <v>20</v>
      </c>
      <c r="L62" s="32" t="s">
        <v>169</v>
      </c>
      <c r="M62" s="32" t="str">
        <f>IF(Table2[[#This Row],[Stage]]="Closed","Closed","Open")</f>
        <v>Closed</v>
      </c>
      <c r="N62" s="32" t="s">
        <v>362</v>
      </c>
      <c r="O62" s="32">
        <f ca="1">SUMIFS(Table3[Days with], Table3[Ref], Table2[[#This Row],[Ref]],Table3[Who With],"Legal")</f>
        <v>87</v>
      </c>
      <c r="P62" s="34">
        <f>SUMIFS(Table3[Total Cycle Time],Table3[Ref],Table2[[#This Row],[Ref]])</f>
        <v>87</v>
      </c>
    </row>
    <row r="63" spans="1:16" hidden="1" x14ac:dyDescent="0.25">
      <c r="A63" s="39" t="str">
        <f>IF(Table2[[#This Row],[Date Received]]="","",_xlfn.CONCAT(Table2[[#This Row],[Counterparty]]," - ",Table2[[#This Row],[Contract Name]]))</f>
        <v>Pee Gee Ltd - Hire Agreement (washing machine) 1</v>
      </c>
      <c r="B63" s="33">
        <v>44729</v>
      </c>
      <c r="C63" s="32" t="s">
        <v>11</v>
      </c>
      <c r="D63" s="32" t="s">
        <v>295</v>
      </c>
      <c r="E63" s="32" t="s">
        <v>296</v>
      </c>
      <c r="F63" s="32" t="s">
        <v>287</v>
      </c>
      <c r="G63" s="32" t="s">
        <v>29</v>
      </c>
      <c r="H63" s="32" t="s">
        <v>17</v>
      </c>
      <c r="I63" s="32" t="s">
        <v>1484</v>
      </c>
      <c r="J63" s="32" t="s">
        <v>42</v>
      </c>
      <c r="K63" s="32" t="s">
        <v>287</v>
      </c>
      <c r="L63" s="32" t="s">
        <v>169</v>
      </c>
      <c r="M63" s="32" t="str">
        <f>IF(Table2[[#This Row],[Stage]]="Closed","Closed","Open")</f>
        <v>Closed</v>
      </c>
      <c r="N63" s="32"/>
      <c r="O63" s="32">
        <f ca="1">SUMIFS(Table3[Days with], Table3[Ref], Table2[[#This Row],[Ref]],Table3[Who With],"Legal")</f>
        <v>18</v>
      </c>
      <c r="P63" s="34">
        <f>SUMIFS(Table3[Total Cycle Time],Table3[Ref],Table2[[#This Row],[Ref]])</f>
        <v>18</v>
      </c>
    </row>
    <row r="64" spans="1:16" hidden="1" x14ac:dyDescent="0.25">
      <c r="A64" s="39" t="str">
        <f>IF(Table2[[#This Row],[Date Received]]="","",_xlfn.CONCAT(Table2[[#This Row],[Counterparty]]," - ",Table2[[#This Row],[Contract Name]]))</f>
        <v>Pee Gee Ltd - Termination Letter 1</v>
      </c>
      <c r="B64" s="33">
        <v>44729</v>
      </c>
      <c r="C64" s="32" t="s">
        <v>1082</v>
      </c>
      <c r="D64" s="32" t="s">
        <v>295</v>
      </c>
      <c r="E64" s="32" t="s">
        <v>296</v>
      </c>
      <c r="F64" s="32" t="s">
        <v>16</v>
      </c>
      <c r="G64" s="32" t="s">
        <v>29</v>
      </c>
      <c r="H64" s="32" t="s">
        <v>17</v>
      </c>
      <c r="I64" s="32" t="s">
        <v>1485</v>
      </c>
      <c r="J64" s="32" t="s">
        <v>42</v>
      </c>
      <c r="K64" s="32" t="s">
        <v>20</v>
      </c>
      <c r="L64" s="32" t="s">
        <v>169</v>
      </c>
      <c r="M64" s="32" t="str">
        <f>IF(Table2[[#This Row],[Stage]]="Closed","Closed","Open")</f>
        <v>Closed</v>
      </c>
      <c r="N64" s="32" t="s">
        <v>307</v>
      </c>
      <c r="O64" s="32">
        <f ca="1">SUMIFS(Table3[Days with], Table3[Ref], Table2[[#This Row],[Ref]],Table3[Who With],"Legal")</f>
        <v>1006</v>
      </c>
      <c r="P64" s="34">
        <f>SUMIFS(Table3[Total Cycle Time],Table3[Ref],Table2[[#This Row],[Ref]])</f>
        <v>0</v>
      </c>
    </row>
    <row r="65" spans="1:16" hidden="1" x14ac:dyDescent="0.25">
      <c r="A65" s="39" t="str">
        <f>IF(Table2[[#This Row],[Date Received]]="","",_xlfn.CONCAT(Table2[[#This Row],[Counterparty]]," - ",Table2[[#This Row],[Contract Name]]))</f>
        <v>Hive Digital Media LTD - Consultancy Agreement</v>
      </c>
      <c r="B65" s="33">
        <v>44733</v>
      </c>
      <c r="C65" s="32" t="s">
        <v>11</v>
      </c>
      <c r="D65" s="32" t="s">
        <v>286</v>
      </c>
      <c r="E65" s="32"/>
      <c r="F65" s="32" t="s">
        <v>20</v>
      </c>
      <c r="G65" s="32" t="s">
        <v>34</v>
      </c>
      <c r="H65" s="32" t="s">
        <v>17</v>
      </c>
      <c r="I65" s="32" t="s">
        <v>41</v>
      </c>
      <c r="J65" s="32" t="s">
        <v>35</v>
      </c>
      <c r="K65" s="32" t="s">
        <v>287</v>
      </c>
      <c r="L65" s="32" t="s">
        <v>169</v>
      </c>
      <c r="M65" s="32" t="str">
        <f>IF(Table2[[#This Row],[Stage]]="Closed","Closed","Open")</f>
        <v>Closed</v>
      </c>
      <c r="N65" s="32"/>
      <c r="O65" s="32">
        <f ca="1">SUMIFS(Table3[Days with], Table3[Ref], Table2[[#This Row],[Ref]],Table3[Who With],"Legal")</f>
        <v>1002</v>
      </c>
      <c r="P65" s="34">
        <f>SUMIFS(Table3[Total Cycle Time],Table3[Ref],Table2[[#This Row],[Ref]])</f>
        <v>0</v>
      </c>
    </row>
    <row r="66" spans="1:16" hidden="1" x14ac:dyDescent="0.25">
      <c r="A66" s="39" t="str">
        <f>IF(Table2[[#This Row],[Date Received]]="","",_xlfn.CONCAT(Table2[[#This Row],[Counterparty]]," - ",Table2[[#This Row],[Contract Name]]))</f>
        <v>Connectr - SaaS</v>
      </c>
      <c r="B66" s="33">
        <v>44739</v>
      </c>
      <c r="C66" s="32" t="s">
        <v>11</v>
      </c>
      <c r="D66" s="32" t="s">
        <v>311</v>
      </c>
      <c r="E66" s="32"/>
      <c r="F66" s="32" t="s">
        <v>20</v>
      </c>
      <c r="G66" s="32" t="s">
        <v>30</v>
      </c>
      <c r="H66" s="32" t="s">
        <v>17</v>
      </c>
      <c r="I66" s="32" t="s">
        <v>312</v>
      </c>
      <c r="J66" s="32" t="s">
        <v>313</v>
      </c>
      <c r="K66" s="32" t="s">
        <v>314</v>
      </c>
      <c r="L66" s="32" t="s">
        <v>169</v>
      </c>
      <c r="M66" s="32" t="str">
        <f>IF(Table2[[#This Row],[Stage]]="Closed","Closed","Open")</f>
        <v>Closed</v>
      </c>
      <c r="N66" s="32"/>
      <c r="O66" s="32">
        <f ca="1">SUMIFS(Table3[Days with], Table3[Ref], Table2[[#This Row],[Ref]],Table3[Who With],"Legal")</f>
        <v>30</v>
      </c>
      <c r="P66" s="34">
        <f>SUMIFS(Table3[Total Cycle Time],Table3[Ref],Table2[[#This Row],[Ref]])</f>
        <v>30</v>
      </c>
    </row>
    <row r="67" spans="1:16" hidden="1" x14ac:dyDescent="0.25">
      <c r="A67" s="39" t="str">
        <f>IF(Table2[[#This Row],[Date Received]]="","",_xlfn.CONCAT(Table2[[#This Row],[Counterparty]]," - ",Table2[[#This Row],[Contract Name]]))</f>
        <v>Adaptix  - X Ray Loan Agreement</v>
      </c>
      <c r="B67" s="33">
        <v>44740</v>
      </c>
      <c r="C67" s="32" t="s">
        <v>11</v>
      </c>
      <c r="D67" s="32" t="s">
        <v>44</v>
      </c>
      <c r="E67" s="32" t="s">
        <v>349</v>
      </c>
      <c r="F67" s="32" t="s">
        <v>20</v>
      </c>
      <c r="G67" s="32" t="s">
        <v>36</v>
      </c>
      <c r="H67" s="32" t="s">
        <v>17</v>
      </c>
      <c r="I67" s="32" t="s">
        <v>350</v>
      </c>
      <c r="J67" s="32" t="s">
        <v>282</v>
      </c>
      <c r="K67" s="32" t="s">
        <v>351</v>
      </c>
      <c r="L67" s="32" t="s">
        <v>169</v>
      </c>
      <c r="M67" s="32" t="str">
        <f>IF(Table2[[#This Row],[Stage]]="Closed","Closed","Open")</f>
        <v>Closed</v>
      </c>
      <c r="N67" s="32" t="s">
        <v>352</v>
      </c>
      <c r="O67" s="32">
        <f ca="1">SUMIFS(Table3[Days with], Table3[Ref], Table2[[#This Row],[Ref]],Table3[Who With],"Legal")</f>
        <v>71</v>
      </c>
      <c r="P67" s="34">
        <f>SUMIFS(Table3[Total Cycle Time],Table3[Ref],Table2[[#This Row],[Ref]])</f>
        <v>71</v>
      </c>
    </row>
    <row r="68" spans="1:16" hidden="1" x14ac:dyDescent="0.25">
      <c r="A68" s="39" t="str">
        <f>IF(Table2[[#This Row],[Date Received]]="","",_xlfn.CONCAT(Table2[[#This Row],[Counterparty]]," - ",Table2[[#This Row],[Contract Name]]))</f>
        <v>Bee Safe - Supply Agreement</v>
      </c>
      <c r="B68" s="33">
        <v>44740</v>
      </c>
      <c r="C68" s="32" t="s">
        <v>11</v>
      </c>
      <c r="D68" s="32" t="s">
        <v>369</v>
      </c>
      <c r="E68" s="32"/>
      <c r="F68" s="32" t="s">
        <v>20</v>
      </c>
      <c r="G68" s="32" t="s">
        <v>316</v>
      </c>
      <c r="H68" s="32" t="s">
        <v>17</v>
      </c>
      <c r="I68" s="32" t="s">
        <v>46</v>
      </c>
      <c r="J68" s="32" t="s">
        <v>318</v>
      </c>
      <c r="K68" s="32" t="s">
        <v>351</v>
      </c>
      <c r="L68" s="32" t="s">
        <v>169</v>
      </c>
      <c r="M68" s="32" t="str">
        <f>IF(Table2[[#This Row],[Stage]]="Closed","Closed","Open")</f>
        <v>Closed</v>
      </c>
      <c r="N68" s="32" t="s">
        <v>362</v>
      </c>
      <c r="O68" s="32">
        <f ca="1">SUMIFS(Table3[Days with], Table3[Ref], Table2[[#This Row],[Ref]],Table3[Who With],"Legal")</f>
        <v>76</v>
      </c>
      <c r="P68" s="34">
        <f>SUMIFS(Table3[Total Cycle Time],Table3[Ref],Table2[[#This Row],[Ref]])</f>
        <v>76</v>
      </c>
    </row>
    <row r="69" spans="1:16" hidden="1" x14ac:dyDescent="0.25">
      <c r="A69" s="39" t="str">
        <f>IF(Table2[[#This Row],[Date Received]]="","",_xlfn.CONCAT(Table2[[#This Row],[Counterparty]]," - ",Table2[[#This Row],[Contract Name]]))</f>
        <v>ISVPS - NDA</v>
      </c>
      <c r="B69" s="33">
        <v>44746</v>
      </c>
      <c r="C69" s="32" t="s">
        <v>11</v>
      </c>
      <c r="D69" s="32" t="s">
        <v>288</v>
      </c>
      <c r="E69" s="32"/>
      <c r="F69" s="32" t="s">
        <v>287</v>
      </c>
      <c r="G69" s="32" t="s">
        <v>289</v>
      </c>
      <c r="H69" s="32" t="s">
        <v>17</v>
      </c>
      <c r="I69" s="32" t="s">
        <v>264</v>
      </c>
      <c r="J69" s="32" t="s">
        <v>290</v>
      </c>
      <c r="K69" s="32" t="s">
        <v>291</v>
      </c>
      <c r="L69" s="32" t="s">
        <v>169</v>
      </c>
      <c r="M69" s="32" t="str">
        <f>IF(Table2[[#This Row],[Stage]]="Closed","Closed","Open")</f>
        <v>Closed</v>
      </c>
      <c r="N69" s="32"/>
      <c r="O69" s="32">
        <f ca="1">SUMIFS(Table3[Days with], Table3[Ref], Table2[[#This Row],[Ref]],Table3[Who With],"Legal")</f>
        <v>989</v>
      </c>
      <c r="P69" s="34">
        <f>SUMIFS(Table3[Total Cycle Time],Table3[Ref],Table2[[#This Row],[Ref]])</f>
        <v>0</v>
      </c>
    </row>
    <row r="70" spans="1:16" hidden="1" x14ac:dyDescent="0.25">
      <c r="A70" s="39" t="str">
        <f>IF(Table2[[#This Row],[Date Received]]="","",_xlfn.CONCAT(Table2[[#This Row],[Counterparty]]," - ",Table2[[#This Row],[Contract Name]]))</f>
        <v>Red Cross - Training Services Agreement</v>
      </c>
      <c r="B70" s="33">
        <v>44746</v>
      </c>
      <c r="C70" s="32" t="s">
        <v>11</v>
      </c>
      <c r="D70" s="32" t="s">
        <v>315</v>
      </c>
      <c r="E70" s="32"/>
      <c r="F70" s="32" t="s">
        <v>20</v>
      </c>
      <c r="G70" s="32" t="s">
        <v>316</v>
      </c>
      <c r="H70" s="32" t="s">
        <v>17</v>
      </c>
      <c r="I70" s="32" t="s">
        <v>317</v>
      </c>
      <c r="J70" s="32" t="s">
        <v>318</v>
      </c>
      <c r="K70" s="32" t="s">
        <v>20</v>
      </c>
      <c r="L70" s="32" t="s">
        <v>169</v>
      </c>
      <c r="M70" s="32" t="str">
        <f>IF(Table2[[#This Row],[Stage]]="Closed","Closed","Open")</f>
        <v>Closed</v>
      </c>
      <c r="N70" s="32"/>
      <c r="O70" s="32">
        <f ca="1">SUMIFS(Table3[Days with], Table3[Ref], Table2[[#This Row],[Ref]],Table3[Who With],"Legal")</f>
        <v>36</v>
      </c>
      <c r="P70" s="34">
        <f>SUMIFS(Table3[Total Cycle Time],Table3[Ref],Table2[[#This Row],[Ref]])</f>
        <v>36</v>
      </c>
    </row>
    <row r="71" spans="1:16" hidden="1" x14ac:dyDescent="0.25">
      <c r="A71" s="39" t="str">
        <f>IF(Table2[[#This Row],[Date Received]]="","",_xlfn.CONCAT(Table2[[#This Row],[Counterparty]]," - ",Table2[[#This Row],[Contract Name]]))</f>
        <v>Turner Duckworth - Naming Services Agreement</v>
      </c>
      <c r="B71" s="33">
        <v>44747</v>
      </c>
      <c r="C71" s="32" t="s">
        <v>11</v>
      </c>
      <c r="D71" s="32" t="s">
        <v>370</v>
      </c>
      <c r="E71" s="32"/>
      <c r="F71" s="32" t="s">
        <v>20</v>
      </c>
      <c r="G71" s="32" t="s">
        <v>233</v>
      </c>
      <c r="H71" s="32" t="s">
        <v>17</v>
      </c>
      <c r="I71" s="32" t="s">
        <v>371</v>
      </c>
      <c r="J71" s="32" t="s">
        <v>47</v>
      </c>
      <c r="K71" s="32" t="s">
        <v>351</v>
      </c>
      <c r="L71" s="32" t="s">
        <v>169</v>
      </c>
      <c r="M71" s="32" t="str">
        <f>IF(Table2[[#This Row],[Stage]]="Closed","Closed","Open")</f>
        <v>Closed</v>
      </c>
      <c r="N71" s="32" t="s">
        <v>362</v>
      </c>
      <c r="O71" s="32">
        <f ca="1">SUMIFS(Table3[Days with], Table3[Ref], Table2[[#This Row],[Ref]],Table3[Who With],"Legal")</f>
        <v>69</v>
      </c>
      <c r="P71" s="34">
        <f>SUMIFS(Table3[Total Cycle Time],Table3[Ref],Table2[[#This Row],[Ref]])</f>
        <v>69</v>
      </c>
    </row>
    <row r="72" spans="1:16" hidden="1" x14ac:dyDescent="0.25">
      <c r="A72" s="39" t="str">
        <f>IF(Table2[[#This Row],[Date Received]]="","",_xlfn.CONCAT(Table2[[#This Row],[Counterparty]]," - ",Table2[[#This Row],[Contract Name]]))</f>
        <v>Simon Jersey - Minimum Order Agreement</v>
      </c>
      <c r="B72" s="33">
        <v>44747</v>
      </c>
      <c r="C72" s="32" t="s">
        <v>11</v>
      </c>
      <c r="D72" s="32" t="s">
        <v>281</v>
      </c>
      <c r="E72" s="32"/>
      <c r="F72" s="32" t="s">
        <v>20</v>
      </c>
      <c r="G72" s="32" t="s">
        <v>14</v>
      </c>
      <c r="H72" s="32" t="s">
        <v>17</v>
      </c>
      <c r="I72" s="32" t="s">
        <v>391</v>
      </c>
      <c r="J72" s="32" t="s">
        <v>31</v>
      </c>
      <c r="K72" s="32" t="s">
        <v>31</v>
      </c>
      <c r="L72" s="32" t="s">
        <v>169</v>
      </c>
      <c r="M72" s="32" t="str">
        <f>IF(Table2[[#This Row],[Stage]]="Closed","Closed","Open")</f>
        <v>Closed</v>
      </c>
      <c r="N72" s="32" t="s">
        <v>392</v>
      </c>
      <c r="O72" s="32">
        <f ca="1">SUMIFS(Table3[Days with], Table3[Ref], Table2[[#This Row],[Ref]],Table3[Who With],"Legal")</f>
        <v>119</v>
      </c>
      <c r="P72" s="34">
        <f>SUMIFS(Table3[Total Cycle Time],Table3[Ref],Table2[[#This Row],[Ref]])</f>
        <v>119</v>
      </c>
    </row>
    <row r="73" spans="1:16" hidden="1" x14ac:dyDescent="0.25">
      <c r="A73" s="39" t="str">
        <f>IF(Table2[[#This Row],[Date Received]]="","",_xlfn.CONCAT(Table2[[#This Row],[Counterparty]]," - ",Table2[[#This Row],[Contract Name]]))</f>
        <v>Vets4Pets Shrewsbury - OOH Agreement</v>
      </c>
      <c r="B73" s="33">
        <v>44750</v>
      </c>
      <c r="C73" s="32" t="s">
        <v>11</v>
      </c>
      <c r="D73" s="32" t="s">
        <v>347</v>
      </c>
      <c r="E73" s="32" t="s">
        <v>248</v>
      </c>
      <c r="F73" s="32" t="s">
        <v>20</v>
      </c>
      <c r="G73" s="32" t="s">
        <v>3</v>
      </c>
      <c r="H73" s="32" t="s">
        <v>249</v>
      </c>
      <c r="I73" s="32" t="s">
        <v>276</v>
      </c>
      <c r="J73" s="32" t="s">
        <v>251</v>
      </c>
      <c r="K73" s="32" t="s">
        <v>348</v>
      </c>
      <c r="L73" s="32" t="s">
        <v>169</v>
      </c>
      <c r="M73" s="32" t="str">
        <f>IF(Table2[[#This Row],[Stage]]="Closed","Closed","Open")</f>
        <v>Closed</v>
      </c>
      <c r="N73" s="32"/>
      <c r="O73" s="32">
        <f ca="1">SUMIFS(Table3[Days with], Table3[Ref], Table2[[#This Row],[Ref]],Table3[Who With],"Legal")</f>
        <v>59</v>
      </c>
      <c r="P73" s="34">
        <f>SUMIFS(Table3[Total Cycle Time],Table3[Ref],Table2[[#This Row],[Ref]])</f>
        <v>59</v>
      </c>
    </row>
    <row r="74" spans="1:16" hidden="1" x14ac:dyDescent="0.25">
      <c r="A74" s="39" t="str">
        <f>IF(Table2[[#This Row],[Date Received]]="","",_xlfn.CONCAT(Table2[[#This Row],[Counterparty]]," - ",Table2[[#This Row],[Contract Name]]))</f>
        <v>Pee Gee Ltd - Hire Agreement (washing machine)</v>
      </c>
      <c r="B74" s="33">
        <v>44754</v>
      </c>
      <c r="C74" s="32" t="s">
        <v>11</v>
      </c>
      <c r="D74" s="32" t="s">
        <v>295</v>
      </c>
      <c r="E74" s="32" t="s">
        <v>302</v>
      </c>
      <c r="F74" s="32" t="s">
        <v>287</v>
      </c>
      <c r="G74" s="32" t="s">
        <v>29</v>
      </c>
      <c r="H74" s="32" t="s">
        <v>17</v>
      </c>
      <c r="I74" s="32" t="s">
        <v>297</v>
      </c>
      <c r="J74" s="32" t="s">
        <v>42</v>
      </c>
      <c r="K74" s="32" t="s">
        <v>287</v>
      </c>
      <c r="L74" s="32" t="s">
        <v>169</v>
      </c>
      <c r="M74" s="32" t="str">
        <f>IF(Table2[[#This Row],[Stage]]="Closed","Closed","Open")</f>
        <v>Closed</v>
      </c>
      <c r="N74" s="32"/>
      <c r="O74" s="32">
        <f ca="1">SUMIFS(Table3[Days with], Table3[Ref], Table2[[#This Row],[Ref]],Table3[Who With],"Legal")</f>
        <v>981</v>
      </c>
      <c r="P74" s="34">
        <f>SUMIFS(Table3[Total Cycle Time],Table3[Ref],Table2[[#This Row],[Ref]])</f>
        <v>0</v>
      </c>
    </row>
    <row r="75" spans="1:16" hidden="1" x14ac:dyDescent="0.25">
      <c r="A75" s="39" t="str">
        <f>IF(Table2[[#This Row],[Date Received]]="","",_xlfn.CONCAT(Table2[[#This Row],[Counterparty]]," - ",Table2[[#This Row],[Contract Name]]))</f>
        <v>Pee Gee Ltd - Termination Letter</v>
      </c>
      <c r="B75" s="33">
        <v>44754</v>
      </c>
      <c r="C75" s="32" t="s">
        <v>1081</v>
      </c>
      <c r="D75" s="32" t="s">
        <v>295</v>
      </c>
      <c r="E75" s="32" t="s">
        <v>302</v>
      </c>
      <c r="F75" s="32" t="s">
        <v>287</v>
      </c>
      <c r="G75" s="32" t="s">
        <v>29</v>
      </c>
      <c r="H75" s="32" t="s">
        <v>17</v>
      </c>
      <c r="I75" s="32" t="s">
        <v>224</v>
      </c>
      <c r="J75" s="32" t="s">
        <v>42</v>
      </c>
      <c r="K75" s="32" t="s">
        <v>287</v>
      </c>
      <c r="L75" s="32" t="s">
        <v>169</v>
      </c>
      <c r="M75" s="32" t="str">
        <f>IF(Table2[[#This Row],[Stage]]="Closed","Closed","Open")</f>
        <v>Closed</v>
      </c>
      <c r="N75" s="32"/>
      <c r="O75" s="32">
        <f ca="1">SUMIFS(Table3[Days with], Table3[Ref], Table2[[#This Row],[Ref]],Table3[Who With],"Legal")</f>
        <v>0</v>
      </c>
      <c r="P75" s="34">
        <f>SUMIFS(Table3[Total Cycle Time],Table3[Ref],Table2[[#This Row],[Ref]])</f>
        <v>3</v>
      </c>
    </row>
    <row r="76" spans="1:16" hidden="1" x14ac:dyDescent="0.25">
      <c r="A76" s="39" t="str">
        <f>IF(Table2[[#This Row],[Date Received]]="","",_xlfn.CONCAT(Table2[[#This Row],[Counterparty]]," - ",Table2[[#This Row],[Contract Name]]))</f>
        <v>RSA  - NDA</v>
      </c>
      <c r="B76" s="33">
        <v>44757</v>
      </c>
      <c r="C76" s="32" t="s">
        <v>11</v>
      </c>
      <c r="D76" s="32" t="s">
        <v>303</v>
      </c>
      <c r="E76" s="32"/>
      <c r="F76" s="32" t="s">
        <v>287</v>
      </c>
      <c r="G76" s="32" t="s">
        <v>4</v>
      </c>
      <c r="H76" s="32" t="s">
        <v>17</v>
      </c>
      <c r="I76" s="32" t="s">
        <v>264</v>
      </c>
      <c r="J76" s="32"/>
      <c r="K76" s="32"/>
      <c r="L76" s="32" t="s">
        <v>169</v>
      </c>
      <c r="M76" s="32" t="str">
        <f>IF(Table2[[#This Row],[Stage]]="Closed","Closed","Open")</f>
        <v>Closed</v>
      </c>
      <c r="N76" s="32"/>
      <c r="O76" s="32">
        <f ca="1">SUMIFS(Table3[Days with], Table3[Ref], Table2[[#This Row],[Ref]],Table3[Who With],"Legal")</f>
        <v>978</v>
      </c>
      <c r="P76" s="34">
        <f>SUMIFS(Table3[Total Cycle Time],Table3[Ref],Table2[[#This Row],[Ref]])</f>
        <v>0</v>
      </c>
    </row>
    <row r="77" spans="1:16" hidden="1" x14ac:dyDescent="0.25">
      <c r="A77" s="39" t="str">
        <f>IF(Table2[[#This Row],[Date Received]]="","",_xlfn.CONCAT(Table2[[#This Row],[Counterparty]]," - ",Table2[[#This Row],[Contract Name]]))</f>
        <v>GoCardless - NDA</v>
      </c>
      <c r="B77" s="33">
        <v>44760</v>
      </c>
      <c r="C77" s="32" t="s">
        <v>11</v>
      </c>
      <c r="D77" s="32" t="s">
        <v>319</v>
      </c>
      <c r="E77" s="32"/>
      <c r="F77" s="32" t="s">
        <v>16</v>
      </c>
      <c r="G77" s="32" t="s">
        <v>309</v>
      </c>
      <c r="H77" s="32" t="s">
        <v>17</v>
      </c>
      <c r="I77" s="32" t="s">
        <v>264</v>
      </c>
      <c r="J77" s="32" t="s">
        <v>310</v>
      </c>
      <c r="K77" s="32" t="s">
        <v>310</v>
      </c>
      <c r="L77" s="32" t="s">
        <v>169</v>
      </c>
      <c r="M77" s="32" t="str">
        <f>IF(Table2[[#This Row],[Stage]]="Closed","Closed","Open")</f>
        <v>Closed</v>
      </c>
      <c r="N77" s="32" t="s">
        <v>255</v>
      </c>
      <c r="O77" s="32">
        <f ca="1">SUMIFS(Table3[Days with], Table3[Ref], Table2[[#This Row],[Ref]],Table3[Who With],"Legal")</f>
        <v>30</v>
      </c>
      <c r="P77" s="34">
        <f>SUMIFS(Table3[Total Cycle Time],Table3[Ref],Table2[[#This Row],[Ref]])</f>
        <v>30</v>
      </c>
    </row>
    <row r="78" spans="1:16" hidden="1" x14ac:dyDescent="0.25">
      <c r="A78" s="39" t="str">
        <f>IF(Table2[[#This Row],[Date Received]]="","",_xlfn.CONCAT(Table2[[#This Row],[Counterparty]]," - ",Table2[[#This Row],[Contract Name]]))</f>
        <v>Be-Safe Technologies - Terms &amp; Conditions</v>
      </c>
      <c r="B78" s="33">
        <v>44760</v>
      </c>
      <c r="C78" s="32" t="s">
        <v>11</v>
      </c>
      <c r="D78" s="32" t="s">
        <v>642</v>
      </c>
      <c r="E78" s="32"/>
      <c r="F78" s="32" t="s">
        <v>12</v>
      </c>
      <c r="G78" s="32" t="s">
        <v>34</v>
      </c>
      <c r="H78" s="32" t="s">
        <v>17</v>
      </c>
      <c r="I78" s="32" t="s">
        <v>607</v>
      </c>
      <c r="J78" s="32" t="s">
        <v>318</v>
      </c>
      <c r="K78" s="32"/>
      <c r="L78" s="32" t="s">
        <v>169</v>
      </c>
      <c r="M78" s="32" t="str">
        <f>IF(Table2[[#This Row],[Stage]]="Closed","Closed","Open")</f>
        <v>Closed</v>
      </c>
      <c r="N78" s="32" t="s">
        <v>639</v>
      </c>
      <c r="O78" s="32">
        <f ca="1">SUMIFS(Table3[Days with], Table3[Ref], Table2[[#This Row],[Ref]],Table3[Who With],"Legal")</f>
        <v>235</v>
      </c>
      <c r="P78" s="34">
        <f>SUMIFS(Table3[Total Cycle Time],Table3[Ref],Table2[[#This Row],[Ref]])</f>
        <v>235</v>
      </c>
    </row>
    <row r="79" spans="1:16" hidden="1" x14ac:dyDescent="0.25">
      <c r="A79" s="39" t="str">
        <f>IF(Table2[[#This Row],[Date Received]]="","",_xlfn.CONCAT(Table2[[#This Row],[Counterparty]]," - ",Table2[[#This Row],[Contract Name]]))</f>
        <v>Indigo Lighthouse GA - NDA</v>
      </c>
      <c r="B79" s="33">
        <v>44762</v>
      </c>
      <c r="C79" s="32" t="s">
        <v>11</v>
      </c>
      <c r="D79" s="32" t="s">
        <v>308</v>
      </c>
      <c r="E79" s="32"/>
      <c r="F79" s="32" t="s">
        <v>287</v>
      </c>
      <c r="G79" s="32" t="s">
        <v>309</v>
      </c>
      <c r="H79" s="32" t="s">
        <v>17</v>
      </c>
      <c r="I79" s="32" t="s">
        <v>264</v>
      </c>
      <c r="J79" s="32" t="s">
        <v>310</v>
      </c>
      <c r="K79" s="32" t="s">
        <v>310</v>
      </c>
      <c r="L79" s="32" t="s">
        <v>169</v>
      </c>
      <c r="M79" s="32" t="str">
        <f>IF(Table2[[#This Row],[Stage]]="Closed","Closed","Open")</f>
        <v>Closed</v>
      </c>
      <c r="N79" s="32"/>
      <c r="O79" s="32">
        <f ca="1">SUMIFS(Table3[Days with], Table3[Ref], Table2[[#This Row],[Ref]],Table3[Who With],"Legal")</f>
        <v>973</v>
      </c>
      <c r="P79" s="34">
        <f>SUMIFS(Table3[Total Cycle Time],Table3[Ref],Table2[[#This Row],[Ref]])</f>
        <v>0</v>
      </c>
    </row>
    <row r="80" spans="1:16" hidden="1" x14ac:dyDescent="0.25">
      <c r="A80" s="39" t="str">
        <f>IF(Table2[[#This Row],[Date Received]]="","",_xlfn.CONCAT(Table2[[#This Row],[Counterparty]]," - ",Table2[[#This Row],[Contract Name]]))</f>
        <v>TVM - Rebate Agreement</v>
      </c>
      <c r="B80" s="33">
        <v>44769</v>
      </c>
      <c r="C80" s="32" t="s">
        <v>11</v>
      </c>
      <c r="D80" s="32" t="s">
        <v>372</v>
      </c>
      <c r="E80" s="32"/>
      <c r="F80" s="32" t="s">
        <v>20</v>
      </c>
      <c r="G80" s="32" t="s">
        <v>14</v>
      </c>
      <c r="H80" s="32" t="s">
        <v>17</v>
      </c>
      <c r="I80" s="32" t="s">
        <v>48</v>
      </c>
      <c r="J80" s="32" t="s">
        <v>31</v>
      </c>
      <c r="K80" s="32" t="s">
        <v>31</v>
      </c>
      <c r="L80" s="32" t="s">
        <v>169</v>
      </c>
      <c r="M80" s="32" t="str">
        <f>IF(Table2[[#This Row],[Stage]]="Closed","Closed","Open")</f>
        <v>Closed</v>
      </c>
      <c r="N80" s="32" t="s">
        <v>373</v>
      </c>
      <c r="O80" s="32">
        <f ca="1">SUMIFS(Table3[Days with], Table3[Ref], Table2[[#This Row],[Ref]],Table3[Who With],"Legal")</f>
        <v>47</v>
      </c>
      <c r="P80" s="34">
        <f>SUMIFS(Table3[Total Cycle Time],Table3[Ref],Table2[[#This Row],[Ref]])</f>
        <v>47</v>
      </c>
    </row>
    <row r="81" spans="1:16" hidden="1" x14ac:dyDescent="0.25">
      <c r="A81" s="39" t="str">
        <f>IF(Table2[[#This Row],[Date Received]]="","",_xlfn.CONCAT(Table2[[#This Row],[Counterparty]]," - ",Table2[[#This Row],[Contract Name]]))</f>
        <v>Virbac - Rebate Agreement</v>
      </c>
      <c r="B81" s="33">
        <v>44769</v>
      </c>
      <c r="C81" s="32" t="s">
        <v>11</v>
      </c>
      <c r="D81" s="32" t="s">
        <v>378</v>
      </c>
      <c r="E81" s="32"/>
      <c r="F81" s="32" t="s">
        <v>299</v>
      </c>
      <c r="G81" s="32" t="s">
        <v>14</v>
      </c>
      <c r="H81" s="32" t="s">
        <v>17</v>
      </c>
      <c r="I81" s="32" t="s">
        <v>48</v>
      </c>
      <c r="J81" s="32" t="s">
        <v>31</v>
      </c>
      <c r="K81" s="32" t="s">
        <v>31</v>
      </c>
      <c r="L81" s="32" t="s">
        <v>169</v>
      </c>
      <c r="M81" s="32" t="str">
        <f>IF(Table2[[#This Row],[Stage]]="Closed","Closed","Open")</f>
        <v>Closed</v>
      </c>
      <c r="N81" s="32"/>
      <c r="O81" s="32">
        <f ca="1">SUMIFS(Table3[Days with], Table3[Ref], Table2[[#This Row],[Ref]],Table3[Who With],"Legal")</f>
        <v>49</v>
      </c>
      <c r="P81" s="34">
        <f>SUMIFS(Table3[Total Cycle Time],Table3[Ref],Table2[[#This Row],[Ref]])</f>
        <v>49</v>
      </c>
    </row>
    <row r="82" spans="1:16" hidden="1" x14ac:dyDescent="0.25">
      <c r="A82" s="39" t="str">
        <f>IF(Table2[[#This Row],[Date Received]]="","",_xlfn.CONCAT(Table2[[#This Row],[Counterparty]]," - ",Table2[[#This Row],[Contract Name]]))</f>
        <v>Nextmune - Rebate Agreement</v>
      </c>
      <c r="B82" s="33">
        <v>44769</v>
      </c>
      <c r="C82" s="32" t="s">
        <v>11</v>
      </c>
      <c r="D82" s="32" t="s">
        <v>527</v>
      </c>
      <c r="E82" s="32"/>
      <c r="F82" s="32" t="s">
        <v>12</v>
      </c>
      <c r="G82" s="32" t="s">
        <v>14</v>
      </c>
      <c r="H82" s="32" t="s">
        <v>17</v>
      </c>
      <c r="I82" s="32" t="s">
        <v>48</v>
      </c>
      <c r="J82" s="32" t="s">
        <v>31</v>
      </c>
      <c r="K82" s="32" t="s">
        <v>31</v>
      </c>
      <c r="L82" s="32" t="s">
        <v>169</v>
      </c>
      <c r="M82" s="32" t="str">
        <f>IF(Table2[[#This Row],[Stage]]="Closed","Closed","Open")</f>
        <v>Closed</v>
      </c>
      <c r="N82" s="32" t="s">
        <v>528</v>
      </c>
      <c r="O82" s="32">
        <f ca="1">SUMIFS(Table3[Days with], Table3[Ref], Table2[[#This Row],[Ref]],Table3[Who With],"Legal")</f>
        <v>184</v>
      </c>
      <c r="P82" s="34">
        <f>SUMIFS(Table3[Total Cycle Time],Table3[Ref],Table2[[#This Row],[Ref]])</f>
        <v>184</v>
      </c>
    </row>
    <row r="83" spans="1:16" hidden="1" x14ac:dyDescent="0.25">
      <c r="A83" s="39" t="str">
        <f>IF(Table2[[#This Row],[Date Received]]="","",_xlfn.CONCAT(Table2[[#This Row],[Counterparty]]," - ",Table2[[#This Row],[Contract Name]]))</f>
        <v>BSI - ISO Assessment Services</v>
      </c>
      <c r="B83" s="33">
        <v>44769</v>
      </c>
      <c r="C83" s="32" t="s">
        <v>11</v>
      </c>
      <c r="D83" s="32" t="s">
        <v>637</v>
      </c>
      <c r="E83" s="32"/>
      <c r="F83" s="32" t="s">
        <v>12</v>
      </c>
      <c r="G83" s="32" t="s">
        <v>316</v>
      </c>
      <c r="H83" s="32" t="s">
        <v>17</v>
      </c>
      <c r="I83" s="32" t="s">
        <v>638</v>
      </c>
      <c r="J83" s="32" t="s">
        <v>318</v>
      </c>
      <c r="K83" s="32" t="s">
        <v>318</v>
      </c>
      <c r="L83" s="32" t="s">
        <v>169</v>
      </c>
      <c r="M83" s="32" t="str">
        <f>IF(Table2[[#This Row],[Stage]]="Closed","Closed","Open")</f>
        <v>Closed</v>
      </c>
      <c r="N83" s="32" t="s">
        <v>639</v>
      </c>
      <c r="O83" s="32">
        <f ca="1">SUMIFS(Table3[Days with], Table3[Ref], Table2[[#This Row],[Ref]],Table3[Who With],"Legal")</f>
        <v>224</v>
      </c>
      <c r="P83" s="34">
        <f>SUMIFS(Table3[Total Cycle Time],Table3[Ref],Table2[[#This Row],[Ref]])</f>
        <v>224</v>
      </c>
    </row>
    <row r="84" spans="1:16" hidden="1" x14ac:dyDescent="0.25">
      <c r="A84" s="39" t="str">
        <f>IF(Table2[[#This Row],[Date Received]]="","",_xlfn.CONCAT(Table2[[#This Row],[Counterparty]]," - ",Table2[[#This Row],[Contract Name]]))</f>
        <v>Air Liquide - Supply Agreement</v>
      </c>
      <c r="B84" s="33">
        <v>44769</v>
      </c>
      <c r="C84" s="32" t="s">
        <v>11</v>
      </c>
      <c r="D84" s="32" t="s">
        <v>899</v>
      </c>
      <c r="E84" s="32"/>
      <c r="F84" s="32" t="s">
        <v>12</v>
      </c>
      <c r="G84" s="32" t="s">
        <v>14</v>
      </c>
      <c r="H84" s="32" t="s">
        <v>17</v>
      </c>
      <c r="I84" s="32" t="s">
        <v>46</v>
      </c>
      <c r="J84" s="32" t="s">
        <v>31</v>
      </c>
      <c r="K84" s="32" t="s">
        <v>31</v>
      </c>
      <c r="L84" s="32" t="s">
        <v>169</v>
      </c>
      <c r="M84" s="32" t="str">
        <f>IF(Table2[[#This Row],[Stage]]="Closed","Closed","Open")</f>
        <v>Closed</v>
      </c>
      <c r="N84" s="32" t="s">
        <v>412</v>
      </c>
      <c r="O84" s="32">
        <f ca="1">SUMIFS(Table3[Days with], Table3[Ref], Table2[[#This Row],[Ref]],Table3[Who With],"Legal")</f>
        <v>477</v>
      </c>
      <c r="P84" s="34">
        <f>SUMIFS(Table3[Total Cycle Time],Table3[Ref],Table2[[#This Row],[Ref]])</f>
        <v>477</v>
      </c>
    </row>
    <row r="85" spans="1:16" hidden="1" x14ac:dyDescent="0.25">
      <c r="A85" s="39" t="str">
        <f>IF(Table2[[#This Row],[Date Received]]="","",_xlfn.CONCAT(Table2[[#This Row],[Counterparty]]," - ",Table2[[#This Row],[Contract Name]]))</f>
        <v>Lintbells - Rebate Agreement 1</v>
      </c>
      <c r="B85" s="33">
        <v>44769</v>
      </c>
      <c r="C85" s="32" t="s">
        <v>11</v>
      </c>
      <c r="D85" s="32" t="s">
        <v>56</v>
      </c>
      <c r="E85" s="32"/>
      <c r="F85" s="32" t="s">
        <v>12</v>
      </c>
      <c r="G85" s="32" t="s">
        <v>14</v>
      </c>
      <c r="H85" s="32" t="s">
        <v>17</v>
      </c>
      <c r="I85" s="32" t="s">
        <v>1478</v>
      </c>
      <c r="J85" s="32" t="s">
        <v>31</v>
      </c>
      <c r="K85" s="32" t="s">
        <v>31</v>
      </c>
      <c r="L85" s="32" t="s">
        <v>169</v>
      </c>
      <c r="M85" s="32" t="str">
        <f>IF(Table2[[#This Row],[Stage]]="Closed","Closed","Open")</f>
        <v>Closed</v>
      </c>
      <c r="N85" s="32" t="s">
        <v>453</v>
      </c>
      <c r="O85" s="32">
        <f ca="1">SUMIFS(Table3[Days with], Table3[Ref], Table2[[#This Row],[Ref]],Table3[Who With],"Legal")</f>
        <v>218</v>
      </c>
      <c r="P85" s="34">
        <f>SUMIFS(Table3[Total Cycle Time],Table3[Ref],Table2[[#This Row],[Ref]])</f>
        <v>218</v>
      </c>
    </row>
    <row r="86" spans="1:16" hidden="1" x14ac:dyDescent="0.25">
      <c r="A86" s="39" t="str">
        <f>IF(Table2[[#This Row],[Date Received]]="","",_xlfn.CONCAT(Table2[[#This Row],[Counterparty]]," - ",Table2[[#This Row],[Contract Name]]))</f>
        <v>Vetoquinol  - Rebate Agreement 1</v>
      </c>
      <c r="B86" s="33">
        <v>44769</v>
      </c>
      <c r="C86" s="32" t="s">
        <v>11</v>
      </c>
      <c r="D86" s="32" t="s">
        <v>57</v>
      </c>
      <c r="E86" s="32"/>
      <c r="F86" s="32" t="s">
        <v>12</v>
      </c>
      <c r="G86" s="32" t="s">
        <v>14</v>
      </c>
      <c r="H86" s="32" t="s">
        <v>17</v>
      </c>
      <c r="I86" s="32" t="s">
        <v>1478</v>
      </c>
      <c r="J86" s="32" t="s">
        <v>31</v>
      </c>
      <c r="K86" s="32" t="s">
        <v>8</v>
      </c>
      <c r="L86" s="32" t="s">
        <v>23</v>
      </c>
      <c r="M86" s="32" t="str">
        <f>IF(Table2[[#This Row],[Stage]]="Closed","Closed","Open")</f>
        <v>Open</v>
      </c>
      <c r="N86" s="32" t="s">
        <v>1564</v>
      </c>
      <c r="O86" s="32">
        <f ca="1">SUMIFS(Table3[Days with], Table3[Ref], Table2[[#This Row],[Ref]],Table3[Who With],"Legal")</f>
        <v>225</v>
      </c>
      <c r="P86" s="34">
        <f>SUMIFS(Table3[Total Cycle Time],Table3[Ref],Table2[[#This Row],[Ref]])</f>
        <v>225</v>
      </c>
    </row>
    <row r="87" spans="1:16" hidden="1" x14ac:dyDescent="0.25">
      <c r="A87" s="39" t="str">
        <f>IF(Table2[[#This Row],[Date Received]]="","",_xlfn.CONCAT(Table2[[#This Row],[Counterparty]]," - ",Table2[[#This Row],[Contract Name]]))</f>
        <v>IDEXX - IDEX 360 Agreement 1</v>
      </c>
      <c r="B87" s="33">
        <v>44770</v>
      </c>
      <c r="C87" s="32" t="s">
        <v>11</v>
      </c>
      <c r="D87" s="32" t="s">
        <v>225</v>
      </c>
      <c r="E87" s="32" t="s">
        <v>324</v>
      </c>
      <c r="F87" s="32" t="s">
        <v>16</v>
      </c>
      <c r="G87" s="32" t="s">
        <v>29</v>
      </c>
      <c r="H87" s="32" t="s">
        <v>17</v>
      </c>
      <c r="I87" s="32" t="s">
        <v>1471</v>
      </c>
      <c r="J87" s="32" t="s">
        <v>31</v>
      </c>
      <c r="K87" s="32" t="s">
        <v>31</v>
      </c>
      <c r="L87" s="32" t="s">
        <v>169</v>
      </c>
      <c r="M87" s="32" t="str">
        <f>IF(Table2[[#This Row],[Stage]]="Closed","Closed","Open")</f>
        <v>Closed</v>
      </c>
      <c r="N87" s="32" t="s">
        <v>255</v>
      </c>
      <c r="O87" s="32">
        <f ca="1">SUMIFS(Table3[Days with], Table3[Ref], Table2[[#This Row],[Ref]],Table3[Who With],"Legal")</f>
        <v>30</v>
      </c>
      <c r="P87" s="34">
        <f>SUMIFS(Table3[Total Cycle Time],Table3[Ref],Table2[[#This Row],[Ref]])</f>
        <v>30</v>
      </c>
    </row>
    <row r="88" spans="1:16" hidden="1" x14ac:dyDescent="0.25">
      <c r="A88" s="39" t="str">
        <f>IF(Table2[[#This Row],[Date Received]]="","",_xlfn.CONCAT(Table2[[#This Row],[Counterparty]]," - ",Table2[[#This Row],[Contract Name]]))</f>
        <v xml:space="preserve">IDEXX - IDEX 360 Agreement </v>
      </c>
      <c r="B88" s="33">
        <v>44770</v>
      </c>
      <c r="C88" s="32" t="s">
        <v>11</v>
      </c>
      <c r="D88" s="32" t="s">
        <v>225</v>
      </c>
      <c r="E88" s="32" t="s">
        <v>326</v>
      </c>
      <c r="F88" s="32" t="s">
        <v>16</v>
      </c>
      <c r="G88" s="32" t="s">
        <v>29</v>
      </c>
      <c r="H88" s="32" t="s">
        <v>17</v>
      </c>
      <c r="I88" s="32" t="s">
        <v>325</v>
      </c>
      <c r="J88" s="32" t="s">
        <v>31</v>
      </c>
      <c r="K88" s="32" t="s">
        <v>31</v>
      </c>
      <c r="L88" s="32" t="s">
        <v>169</v>
      </c>
      <c r="M88" s="32" t="str">
        <f>IF(Table2[[#This Row],[Stage]]="Closed","Closed","Open")</f>
        <v>Closed</v>
      </c>
      <c r="N88" s="32" t="s">
        <v>255</v>
      </c>
      <c r="O88" s="32">
        <f ca="1">SUMIFS(Table3[Days with], Table3[Ref], Table2[[#This Row],[Ref]],Table3[Who With],"Legal")</f>
        <v>30</v>
      </c>
      <c r="P88" s="34">
        <f>SUMIFS(Table3[Total Cycle Time],Table3[Ref],Table2[[#This Row],[Ref]])</f>
        <v>30</v>
      </c>
    </row>
    <row r="89" spans="1:16" hidden="1" x14ac:dyDescent="0.25">
      <c r="A89" s="39" t="str">
        <f>IF(Table2[[#This Row],[Date Received]]="","",_xlfn.CONCAT(Table2[[#This Row],[Counterparty]]," - ",Table2[[#This Row],[Contract Name]]))</f>
        <v>IDEXX - Novation Letter 1</v>
      </c>
      <c r="B89" s="33">
        <v>44770</v>
      </c>
      <c r="C89" s="32" t="s">
        <v>11</v>
      </c>
      <c r="D89" s="32" t="s">
        <v>225</v>
      </c>
      <c r="E89" s="32" t="s">
        <v>324</v>
      </c>
      <c r="F89" s="32" t="s">
        <v>16</v>
      </c>
      <c r="G89" s="32" t="s">
        <v>29</v>
      </c>
      <c r="H89" s="32" t="s">
        <v>17</v>
      </c>
      <c r="I89" s="32" t="s">
        <v>1472</v>
      </c>
      <c r="J89" s="32" t="s">
        <v>31</v>
      </c>
      <c r="K89" s="32" t="s">
        <v>31</v>
      </c>
      <c r="L89" s="32" t="s">
        <v>169</v>
      </c>
      <c r="M89" s="32" t="str">
        <f>IF(Table2[[#This Row],[Stage]]="Closed","Closed","Open")</f>
        <v>Closed</v>
      </c>
      <c r="N89" s="32" t="s">
        <v>255</v>
      </c>
      <c r="O89" s="32">
        <f ca="1">SUMIFS(Table3[Days with], Table3[Ref], Table2[[#This Row],[Ref]],Table3[Who With],"Legal")</f>
        <v>30</v>
      </c>
      <c r="P89" s="34">
        <f>SUMIFS(Table3[Total Cycle Time],Table3[Ref],Table2[[#This Row],[Ref]])</f>
        <v>30</v>
      </c>
    </row>
    <row r="90" spans="1:16" hidden="1" x14ac:dyDescent="0.25">
      <c r="A90" s="39" t="str">
        <f>IF(Table2[[#This Row],[Date Received]]="","",_xlfn.CONCAT(Table2[[#This Row],[Counterparty]]," - ",Table2[[#This Row],[Contract Name]]))</f>
        <v>IDEXX - Novation Letter</v>
      </c>
      <c r="B90" s="33">
        <v>44770</v>
      </c>
      <c r="C90" s="32" t="s">
        <v>11</v>
      </c>
      <c r="D90" s="32" t="s">
        <v>225</v>
      </c>
      <c r="E90" s="32" t="s">
        <v>326</v>
      </c>
      <c r="F90" s="32" t="s">
        <v>16</v>
      </c>
      <c r="G90" s="32" t="s">
        <v>29</v>
      </c>
      <c r="H90" s="32" t="s">
        <v>17</v>
      </c>
      <c r="I90" s="32" t="s">
        <v>327</v>
      </c>
      <c r="J90" s="32" t="s">
        <v>31</v>
      </c>
      <c r="K90" s="32" t="s">
        <v>31</v>
      </c>
      <c r="L90" s="32" t="s">
        <v>169</v>
      </c>
      <c r="M90" s="32" t="str">
        <f>IF(Table2[[#This Row],[Stage]]="Closed","Closed","Open")</f>
        <v>Closed</v>
      </c>
      <c r="N90" s="32" t="s">
        <v>255</v>
      </c>
      <c r="O90" s="32">
        <f ca="1">SUMIFS(Table3[Days with], Table3[Ref], Table2[[#This Row],[Ref]],Table3[Who With],"Legal")</f>
        <v>30</v>
      </c>
      <c r="P90" s="34">
        <f>SUMIFS(Table3[Total Cycle Time],Table3[Ref],Table2[[#This Row],[Ref]])</f>
        <v>30</v>
      </c>
    </row>
    <row r="91" spans="1:16" hidden="1" x14ac:dyDescent="0.25">
      <c r="A91" s="39" t="str">
        <f>IF(Table2[[#This Row],[Date Received]]="","",_xlfn.CONCAT(Table2[[#This Row],[Counterparty]]," - ",Table2[[#This Row],[Contract Name]]))</f>
        <v>Abzorb - Service Agreement</v>
      </c>
      <c r="B91" s="33">
        <v>44770</v>
      </c>
      <c r="C91" s="32" t="s">
        <v>11</v>
      </c>
      <c r="D91" s="32" t="s">
        <v>321</v>
      </c>
      <c r="E91" s="32" t="s">
        <v>322</v>
      </c>
      <c r="F91" s="32" t="s">
        <v>16</v>
      </c>
      <c r="G91" s="32" t="s">
        <v>29</v>
      </c>
      <c r="H91" s="32" t="s">
        <v>17</v>
      </c>
      <c r="I91" s="32" t="s">
        <v>201</v>
      </c>
      <c r="J91" s="32" t="s">
        <v>323</v>
      </c>
      <c r="K91" s="32" t="s">
        <v>287</v>
      </c>
      <c r="L91" s="32" t="s">
        <v>169</v>
      </c>
      <c r="M91" s="32" t="str">
        <f>IF(Table2[[#This Row],[Stage]]="Closed","Closed","Open")</f>
        <v>Closed</v>
      </c>
      <c r="N91" s="32" t="s">
        <v>255</v>
      </c>
      <c r="O91" s="32">
        <f ca="1">SUMIFS(Table3[Days with], Table3[Ref], Table2[[#This Row],[Ref]],Table3[Who With],"Legal")</f>
        <v>30</v>
      </c>
      <c r="P91" s="34">
        <f>SUMIFS(Table3[Total Cycle Time],Table3[Ref],Table2[[#This Row],[Ref]])</f>
        <v>30</v>
      </c>
    </row>
    <row r="92" spans="1:16" hidden="1" x14ac:dyDescent="0.25">
      <c r="A92" s="39" t="str">
        <f>IF(Table2[[#This Row],[Date Received]]="","",_xlfn.CONCAT(Table2[[#This Row],[Counterparty]]," - ",Table2[[#This Row],[Contract Name]]))</f>
        <v>Nottingham Student Union - Sponsorship Agreement</v>
      </c>
      <c r="B92" s="33">
        <v>44770</v>
      </c>
      <c r="C92" s="32" t="s">
        <v>11</v>
      </c>
      <c r="D92" s="32" t="s">
        <v>328</v>
      </c>
      <c r="E92" s="32"/>
      <c r="F92" s="32" t="s">
        <v>16</v>
      </c>
      <c r="G92" s="32" t="s">
        <v>289</v>
      </c>
      <c r="H92" s="32" t="s">
        <v>17</v>
      </c>
      <c r="I92" s="32" t="s">
        <v>234</v>
      </c>
      <c r="J92" s="32" t="s">
        <v>290</v>
      </c>
      <c r="K92" s="32" t="s">
        <v>291</v>
      </c>
      <c r="L92" s="32" t="s">
        <v>169</v>
      </c>
      <c r="M92" s="32" t="str">
        <f>IF(Table2[[#This Row],[Stage]]="Closed","Closed","Open")</f>
        <v>Closed</v>
      </c>
      <c r="N92" s="32" t="s">
        <v>255</v>
      </c>
      <c r="O92" s="32">
        <f ca="1">SUMIFS(Table3[Days with], Table3[Ref], Table2[[#This Row],[Ref]],Table3[Who With],"Legal")</f>
        <v>30</v>
      </c>
      <c r="P92" s="34">
        <f>SUMIFS(Table3[Total Cycle Time],Table3[Ref],Table2[[#This Row],[Ref]])</f>
        <v>30</v>
      </c>
    </row>
    <row r="93" spans="1:16" hidden="1" x14ac:dyDescent="0.25">
      <c r="A93" s="39" t="str">
        <f>IF(Table2[[#This Row],[Date Received]]="","",_xlfn.CONCAT(Table2[[#This Row],[Counterparty]]," - ",Table2[[#This Row],[Contract Name]]))</f>
        <v>Boxclever - Rental Agreement</v>
      </c>
      <c r="B93" s="33">
        <v>44774</v>
      </c>
      <c r="C93" s="32" t="s">
        <v>11</v>
      </c>
      <c r="D93" s="32" t="s">
        <v>329</v>
      </c>
      <c r="E93" s="32" t="s">
        <v>330</v>
      </c>
      <c r="F93" s="32" t="s">
        <v>16</v>
      </c>
      <c r="G93" s="32" t="s">
        <v>29</v>
      </c>
      <c r="H93" s="32" t="s">
        <v>17</v>
      </c>
      <c r="I93" s="32" t="s">
        <v>331</v>
      </c>
      <c r="J93" s="32" t="s">
        <v>332</v>
      </c>
      <c r="K93" s="32" t="s">
        <v>332</v>
      </c>
      <c r="L93" s="32" t="s">
        <v>169</v>
      </c>
      <c r="M93" s="32" t="str">
        <f>IF(Table2[[#This Row],[Stage]]="Closed","Closed","Open")</f>
        <v>Closed</v>
      </c>
      <c r="N93" s="32" t="s">
        <v>255</v>
      </c>
      <c r="O93" s="32">
        <f ca="1">SUMIFS(Table3[Days with], Table3[Ref], Table2[[#This Row],[Ref]],Table3[Who With],"Legal")</f>
        <v>30</v>
      </c>
      <c r="P93" s="34">
        <f>SUMIFS(Table3[Total Cycle Time],Table3[Ref],Table2[[#This Row],[Ref]])</f>
        <v>30</v>
      </c>
    </row>
    <row r="94" spans="1:16" hidden="1" x14ac:dyDescent="0.25">
      <c r="A94" s="39" t="str">
        <f>IF(Table2[[#This Row],[Date Received]]="","",_xlfn.CONCAT(Table2[[#This Row],[Counterparty]]," - ",Table2[[#This Row],[Contract Name]]))</f>
        <v>Boxclever - Termination Letter</v>
      </c>
      <c r="B94" s="33">
        <v>44774</v>
      </c>
      <c r="C94" s="32" t="s">
        <v>11</v>
      </c>
      <c r="D94" s="32" t="s">
        <v>329</v>
      </c>
      <c r="E94" s="32" t="s">
        <v>330</v>
      </c>
      <c r="F94" s="32" t="s">
        <v>16</v>
      </c>
      <c r="G94" s="32" t="s">
        <v>29</v>
      </c>
      <c r="H94" s="32" t="s">
        <v>15</v>
      </c>
      <c r="I94" s="32" t="s">
        <v>224</v>
      </c>
      <c r="J94" s="32" t="s">
        <v>332</v>
      </c>
      <c r="K94" s="32" t="s">
        <v>332</v>
      </c>
      <c r="L94" s="32" t="s">
        <v>169</v>
      </c>
      <c r="M94" s="32" t="str">
        <f>IF(Table2[[#This Row],[Stage]]="Closed","Closed","Open")</f>
        <v>Closed</v>
      </c>
      <c r="N94" s="32" t="s">
        <v>255</v>
      </c>
      <c r="O94" s="32">
        <f ca="1">SUMIFS(Table3[Days with], Table3[Ref], Table2[[#This Row],[Ref]],Table3[Who With],"Legal")</f>
        <v>30</v>
      </c>
      <c r="P94" s="34">
        <f>SUMIFS(Table3[Total Cycle Time],Table3[Ref],Table2[[#This Row],[Ref]])</f>
        <v>30</v>
      </c>
    </row>
    <row r="95" spans="1:16" hidden="1" x14ac:dyDescent="0.25">
      <c r="A95" s="39" t="str">
        <f>IF(Table2[[#This Row],[Date Received]]="","",_xlfn.CONCAT(Table2[[#This Row],[Counterparty]]," - ",Table2[[#This Row],[Contract Name]]))</f>
        <v>JLA - Hire Agreement</v>
      </c>
      <c r="B95" s="33">
        <v>44774</v>
      </c>
      <c r="C95" s="32" t="s">
        <v>11</v>
      </c>
      <c r="D95" s="32" t="s">
        <v>333</v>
      </c>
      <c r="E95" s="32" t="s">
        <v>322</v>
      </c>
      <c r="F95" s="32" t="s">
        <v>16</v>
      </c>
      <c r="G95" s="32" t="s">
        <v>29</v>
      </c>
      <c r="H95" s="32" t="s">
        <v>17</v>
      </c>
      <c r="I95" s="32" t="s">
        <v>334</v>
      </c>
      <c r="J95" s="32" t="s">
        <v>335</v>
      </c>
      <c r="K95" s="32" t="s">
        <v>335</v>
      </c>
      <c r="L95" s="32" t="s">
        <v>169</v>
      </c>
      <c r="M95" s="32" t="str">
        <f>IF(Table2[[#This Row],[Stage]]="Closed","Closed","Open")</f>
        <v>Closed</v>
      </c>
      <c r="N95" s="32" t="s">
        <v>255</v>
      </c>
      <c r="O95" s="32">
        <f ca="1">SUMIFS(Table3[Days with], Table3[Ref], Table2[[#This Row],[Ref]],Table3[Who With],"Legal")</f>
        <v>30</v>
      </c>
      <c r="P95" s="34">
        <f>SUMIFS(Table3[Total Cycle Time],Table3[Ref],Table2[[#This Row],[Ref]])</f>
        <v>30</v>
      </c>
    </row>
    <row r="96" spans="1:16" hidden="1" x14ac:dyDescent="0.25">
      <c r="A96" s="39" t="str">
        <f>IF(Table2[[#This Row],[Date Received]]="","",_xlfn.CONCAT(Table2[[#This Row],[Counterparty]]," - ",Table2[[#This Row],[Contract Name]]))</f>
        <v>JLA - Termination Letter</v>
      </c>
      <c r="B96" s="33">
        <v>44774</v>
      </c>
      <c r="C96" s="32" t="s">
        <v>11</v>
      </c>
      <c r="D96" s="32" t="s">
        <v>333</v>
      </c>
      <c r="E96" s="32" t="s">
        <v>322</v>
      </c>
      <c r="F96" s="32" t="s">
        <v>16</v>
      </c>
      <c r="G96" s="32" t="s">
        <v>29</v>
      </c>
      <c r="H96" s="32" t="s">
        <v>17</v>
      </c>
      <c r="I96" s="32" t="s">
        <v>224</v>
      </c>
      <c r="J96" s="32" t="s">
        <v>335</v>
      </c>
      <c r="K96" s="32" t="s">
        <v>335</v>
      </c>
      <c r="L96" s="32" t="s">
        <v>169</v>
      </c>
      <c r="M96" s="32" t="str">
        <f>IF(Table2[[#This Row],[Stage]]="Closed","Closed","Open")</f>
        <v>Closed</v>
      </c>
      <c r="N96" s="32" t="s">
        <v>255</v>
      </c>
      <c r="O96" s="32">
        <f ca="1">SUMIFS(Table3[Days with], Table3[Ref], Table2[[#This Row],[Ref]],Table3[Who With],"Legal")</f>
        <v>30</v>
      </c>
      <c r="P96" s="34">
        <f>SUMIFS(Table3[Total Cycle Time],Table3[Ref],Table2[[#This Row],[Ref]])</f>
        <v>30</v>
      </c>
    </row>
    <row r="97" spans="1:16" hidden="1" x14ac:dyDescent="0.25">
      <c r="A97" s="39" t="str">
        <f>IF(Table2[[#This Row],[Date Received]]="","",_xlfn.CONCAT(Table2[[#This Row],[Counterparty]]," - ",Table2[[#This Row],[Contract Name]]))</f>
        <v>PEAC Ltd - Novation Agreement</v>
      </c>
      <c r="B97" s="33">
        <v>44774</v>
      </c>
      <c r="C97" s="32" t="s">
        <v>11</v>
      </c>
      <c r="D97" s="32" t="s">
        <v>336</v>
      </c>
      <c r="E97" s="32" t="s">
        <v>237</v>
      </c>
      <c r="F97" s="32" t="s">
        <v>16</v>
      </c>
      <c r="G97" s="32" t="s">
        <v>29</v>
      </c>
      <c r="H97" s="32" t="s">
        <v>17</v>
      </c>
      <c r="I97" s="32" t="s">
        <v>33</v>
      </c>
      <c r="J97" s="32" t="s">
        <v>337</v>
      </c>
      <c r="K97" s="32" t="s">
        <v>337</v>
      </c>
      <c r="L97" s="32" t="s">
        <v>169</v>
      </c>
      <c r="M97" s="32" t="str">
        <f>IF(Table2[[#This Row],[Stage]]="Closed","Closed","Open")</f>
        <v>Closed</v>
      </c>
      <c r="N97" s="32" t="s">
        <v>255</v>
      </c>
      <c r="O97" s="32">
        <f ca="1">SUMIFS(Table3[Days with], Table3[Ref], Table2[[#This Row],[Ref]],Table3[Who With],"Legal")</f>
        <v>30</v>
      </c>
      <c r="P97" s="34">
        <f>SUMIFS(Table3[Total Cycle Time],Table3[Ref],Table2[[#This Row],[Ref]])</f>
        <v>30</v>
      </c>
    </row>
    <row r="98" spans="1:16" hidden="1" x14ac:dyDescent="0.25">
      <c r="A98" s="39" t="str">
        <f>IF(Table2[[#This Row],[Date Received]]="","",_xlfn.CONCAT(Table2[[#This Row],[Counterparty]]," - ",Table2[[#This Row],[Contract Name]]))</f>
        <v>Redline Tele - Order form 1</v>
      </c>
      <c r="B98" s="33">
        <v>44775</v>
      </c>
      <c r="C98" s="32" t="s">
        <v>11</v>
      </c>
      <c r="D98" s="32" t="s">
        <v>338</v>
      </c>
      <c r="E98" s="32" t="s">
        <v>339</v>
      </c>
      <c r="F98" s="32" t="s">
        <v>16</v>
      </c>
      <c r="G98" s="32" t="s">
        <v>29</v>
      </c>
      <c r="H98" s="32" t="s">
        <v>17</v>
      </c>
      <c r="I98" s="32" t="s">
        <v>1528</v>
      </c>
      <c r="J98" s="32" t="s">
        <v>337</v>
      </c>
      <c r="K98" s="32" t="s">
        <v>287</v>
      </c>
      <c r="L98" s="32" t="s">
        <v>169</v>
      </c>
      <c r="M98" s="32" t="str">
        <f>IF(Table2[[#This Row],[Stage]]="Closed","Closed","Open")</f>
        <v>Closed</v>
      </c>
      <c r="N98" s="32" t="s">
        <v>255</v>
      </c>
      <c r="O98" s="32">
        <f ca="1">SUMIFS(Table3[Days with], Table3[Ref], Table2[[#This Row],[Ref]],Table3[Who With],"Legal")</f>
        <v>30</v>
      </c>
      <c r="P98" s="34">
        <f>SUMIFS(Table3[Total Cycle Time],Table3[Ref],Table2[[#This Row],[Ref]])</f>
        <v>30</v>
      </c>
    </row>
    <row r="99" spans="1:16" hidden="1" x14ac:dyDescent="0.25">
      <c r="A99" s="39" t="str">
        <f>IF(Table2[[#This Row],[Date Received]]="","",_xlfn.CONCAT(Table2[[#This Row],[Counterparty]]," - ",Table2[[#This Row],[Contract Name]]))</f>
        <v>Malthouse Vets - OOH Agreement</v>
      </c>
      <c r="B99" s="33">
        <v>44776</v>
      </c>
      <c r="C99" s="32" t="s">
        <v>11</v>
      </c>
      <c r="D99" s="32" t="s">
        <v>320</v>
      </c>
      <c r="E99" s="32" t="s">
        <v>248</v>
      </c>
      <c r="F99" s="32" t="s">
        <v>20</v>
      </c>
      <c r="G99" s="32" t="s">
        <v>3</v>
      </c>
      <c r="H99" s="32" t="s">
        <v>249</v>
      </c>
      <c r="I99" s="32" t="s">
        <v>276</v>
      </c>
      <c r="J99" s="32" t="s">
        <v>251</v>
      </c>
      <c r="K99" s="32" t="s">
        <v>251</v>
      </c>
      <c r="L99" s="32" t="s">
        <v>169</v>
      </c>
      <c r="M99" s="32" t="str">
        <f>IF(Table2[[#This Row],[Stage]]="Closed","Closed","Open")</f>
        <v>Closed</v>
      </c>
      <c r="N99" s="32"/>
      <c r="O99" s="32">
        <f ca="1">SUMIFS(Table3[Days with], Table3[Ref], Table2[[#This Row],[Ref]],Table3[Who With],"Legal")</f>
        <v>22</v>
      </c>
      <c r="P99" s="34">
        <f>SUMIFS(Table3[Total Cycle Time],Table3[Ref],Table2[[#This Row],[Ref]])</f>
        <v>22</v>
      </c>
    </row>
    <row r="100" spans="1:16" hidden="1" x14ac:dyDescent="0.25">
      <c r="A100" s="39" t="str">
        <f>IF(Table2[[#This Row],[Date Received]]="","",_xlfn.CONCAT(Table2[[#This Row],[Counterparty]]," - ",Table2[[#This Row],[Contract Name]]))</f>
        <v xml:space="preserve">BNP Paribas Leasing Soloutions Limited - Novation agreement </v>
      </c>
      <c r="B100" s="33">
        <v>44776</v>
      </c>
      <c r="C100" s="32" t="s">
        <v>11</v>
      </c>
      <c r="D100" s="32" t="s">
        <v>342</v>
      </c>
      <c r="E100" s="32" t="s">
        <v>296</v>
      </c>
      <c r="F100" s="32" t="s">
        <v>16</v>
      </c>
      <c r="G100" s="32" t="s">
        <v>29</v>
      </c>
      <c r="H100" s="32" t="s">
        <v>17</v>
      </c>
      <c r="I100" s="32" t="s">
        <v>343</v>
      </c>
      <c r="J100" s="32" t="s">
        <v>42</v>
      </c>
      <c r="K100" s="32" t="s">
        <v>287</v>
      </c>
      <c r="L100" s="32" t="s">
        <v>169</v>
      </c>
      <c r="M100" s="32" t="str">
        <f>IF(Table2[[#This Row],[Stage]]="Closed","Closed","Open")</f>
        <v>Closed</v>
      </c>
      <c r="N100" s="32" t="s">
        <v>255</v>
      </c>
      <c r="O100" s="32">
        <f ca="1">SUMIFS(Table3[Days with], Table3[Ref], Table2[[#This Row],[Ref]],Table3[Who With],"Legal")</f>
        <v>30</v>
      </c>
      <c r="P100" s="34">
        <f>SUMIFS(Table3[Total Cycle Time],Table3[Ref],Table2[[#This Row],[Ref]])</f>
        <v>30</v>
      </c>
    </row>
    <row r="101" spans="1:16" hidden="1" x14ac:dyDescent="0.25">
      <c r="A101" s="39" t="str">
        <f>IF(Table2[[#This Row],[Date Received]]="","",_xlfn.CONCAT(Table2[[#This Row],[Counterparty]]," - ",Table2[[#This Row],[Contract Name]]))</f>
        <v>Redline Tele - Order form</v>
      </c>
      <c r="B101" s="33">
        <v>44776</v>
      </c>
      <c r="C101" s="32" t="s">
        <v>11</v>
      </c>
      <c r="D101" s="32" t="s">
        <v>338</v>
      </c>
      <c r="E101" s="32" t="s">
        <v>344</v>
      </c>
      <c r="F101" s="32" t="s">
        <v>16</v>
      </c>
      <c r="G101" s="32" t="s">
        <v>29</v>
      </c>
      <c r="H101" s="32" t="s">
        <v>17</v>
      </c>
      <c r="I101" s="32" t="s">
        <v>340</v>
      </c>
      <c r="J101" s="32" t="s">
        <v>337</v>
      </c>
      <c r="K101" s="32" t="s">
        <v>287</v>
      </c>
      <c r="L101" s="32" t="s">
        <v>169</v>
      </c>
      <c r="M101" s="32" t="str">
        <f>IF(Table2[[#This Row],[Stage]]="Closed","Closed","Open")</f>
        <v>Closed</v>
      </c>
      <c r="N101" s="32" t="s">
        <v>255</v>
      </c>
      <c r="O101" s="32">
        <f ca="1">SUMIFS(Table3[Days with], Table3[Ref], Table2[[#This Row],[Ref]],Table3[Who With],"Legal")</f>
        <v>30</v>
      </c>
      <c r="P101" s="34">
        <f>SUMIFS(Table3[Total Cycle Time],Table3[Ref],Table2[[#This Row],[Ref]])</f>
        <v>30</v>
      </c>
    </row>
    <row r="102" spans="1:16" hidden="1" x14ac:dyDescent="0.25">
      <c r="A102" s="39" t="str">
        <f>IF(Table2[[#This Row],[Date Received]]="","",_xlfn.CONCAT(Table2[[#This Row],[Counterparty]]," - ",Table2[[#This Row],[Contract Name]]))</f>
        <v xml:space="preserve">Quadient - Neofunds Franking Machine Agreement </v>
      </c>
      <c r="B102" s="33">
        <v>44777</v>
      </c>
      <c r="C102" s="32" t="s">
        <v>11</v>
      </c>
      <c r="D102" s="32" t="s">
        <v>345</v>
      </c>
      <c r="E102" s="32" t="s">
        <v>302</v>
      </c>
      <c r="F102" s="32" t="s">
        <v>16</v>
      </c>
      <c r="G102" s="32" t="s">
        <v>29</v>
      </c>
      <c r="H102" s="32" t="s">
        <v>17</v>
      </c>
      <c r="I102" s="32" t="s">
        <v>346</v>
      </c>
      <c r="J102" s="32" t="s">
        <v>332</v>
      </c>
      <c r="K102" s="32" t="s">
        <v>287</v>
      </c>
      <c r="L102" s="32" t="s">
        <v>169</v>
      </c>
      <c r="M102" s="32" t="str">
        <f>IF(Table2[[#This Row],[Stage]]="Closed","Closed","Open")</f>
        <v>Closed</v>
      </c>
      <c r="N102" s="32" t="s">
        <v>255</v>
      </c>
      <c r="O102" s="32">
        <f ca="1">SUMIFS(Table3[Days with], Table3[Ref], Table2[[#This Row],[Ref]],Table3[Who With],"Legal")</f>
        <v>30</v>
      </c>
      <c r="P102" s="34">
        <f>SUMIFS(Table3[Total Cycle Time],Table3[Ref],Table2[[#This Row],[Ref]])</f>
        <v>30</v>
      </c>
    </row>
    <row r="103" spans="1:16" hidden="1" x14ac:dyDescent="0.25">
      <c r="A103" s="39" t="str">
        <f>IF(Table2[[#This Row],[Date Received]]="","",_xlfn.CONCAT(Table2[[#This Row],[Counterparty]]," - ",Table2[[#This Row],[Contract Name]]))</f>
        <v>4Com - Deed of Novation</v>
      </c>
      <c r="B103" s="33">
        <v>44777</v>
      </c>
      <c r="C103" s="32" t="s">
        <v>11</v>
      </c>
      <c r="D103" s="32" t="s">
        <v>236</v>
      </c>
      <c r="E103" s="32" t="s">
        <v>296</v>
      </c>
      <c r="F103" s="32" t="s">
        <v>16</v>
      </c>
      <c r="G103" s="32" t="s">
        <v>29</v>
      </c>
      <c r="H103" s="32" t="s">
        <v>17</v>
      </c>
      <c r="I103" s="32" t="s">
        <v>383</v>
      </c>
      <c r="J103" s="32" t="s">
        <v>337</v>
      </c>
      <c r="K103" s="32" t="s">
        <v>337</v>
      </c>
      <c r="L103" s="32" t="s">
        <v>169</v>
      </c>
      <c r="M103" s="32" t="str">
        <f>IF(Table2[[#This Row],[Stage]]="Closed","Closed","Open")</f>
        <v>Closed</v>
      </c>
      <c r="N103" s="32"/>
      <c r="O103" s="32">
        <f ca="1">SUMIFS(Table3[Days with], Table3[Ref], Table2[[#This Row],[Ref]],Table3[Who With],"Legal")</f>
        <v>68</v>
      </c>
      <c r="P103" s="34">
        <f>SUMIFS(Table3[Total Cycle Time],Table3[Ref],Table2[[#This Row],[Ref]])</f>
        <v>68</v>
      </c>
    </row>
    <row r="104" spans="1:16" hidden="1" x14ac:dyDescent="0.25">
      <c r="A104" s="39" t="str">
        <f>IF(Table2[[#This Row],[Date Received]]="","",_xlfn.CONCAT(Table2[[#This Row],[Counterparty]]," - ",Table2[[#This Row],[Contract Name]]))</f>
        <v>Rapier Communications - Consultancy Agreement</v>
      </c>
      <c r="B104" s="33">
        <v>44781</v>
      </c>
      <c r="C104" s="32" t="s">
        <v>11</v>
      </c>
      <c r="D104" s="32" t="s">
        <v>703</v>
      </c>
      <c r="E104" s="32"/>
      <c r="F104" s="32" t="s">
        <v>12</v>
      </c>
      <c r="G104" s="32" t="s">
        <v>704</v>
      </c>
      <c r="H104" s="32" t="s">
        <v>17</v>
      </c>
      <c r="I104" s="32" t="s">
        <v>41</v>
      </c>
      <c r="J104" s="32" t="s">
        <v>53</v>
      </c>
      <c r="K104" s="32" t="s">
        <v>348</v>
      </c>
      <c r="L104" s="32" t="s">
        <v>169</v>
      </c>
      <c r="M104" s="32" t="str">
        <f>IF(Table2[[#This Row],[Stage]]="Closed","Closed","Open")</f>
        <v>Closed</v>
      </c>
      <c r="N104" s="32" t="s">
        <v>453</v>
      </c>
      <c r="O104" s="32">
        <f ca="1">SUMIFS(Table3[Days with], Table3[Ref], Table2[[#This Row],[Ref]],Table3[Who With],"Legal")</f>
        <v>267</v>
      </c>
      <c r="P104" s="34">
        <f>SUMIFS(Table3[Total Cycle Time],Table3[Ref],Table2[[#This Row],[Ref]])</f>
        <v>267</v>
      </c>
    </row>
    <row r="105" spans="1:16" hidden="1" x14ac:dyDescent="0.25">
      <c r="A105" s="39" t="str">
        <f>IF(Table2[[#This Row],[Date Received]]="","",_xlfn.CONCAT(Table2[[#This Row],[Counterparty]]," - ",Table2[[#This Row],[Contract Name]]))</f>
        <v>Prima Vets - OOH Agreement</v>
      </c>
      <c r="B105" s="33">
        <v>44782</v>
      </c>
      <c r="C105" s="32" t="s">
        <v>11</v>
      </c>
      <c r="D105" s="32" t="s">
        <v>353</v>
      </c>
      <c r="E105" s="32" t="s">
        <v>354</v>
      </c>
      <c r="F105" s="32" t="s">
        <v>299</v>
      </c>
      <c r="G105" s="32" t="s">
        <v>3</v>
      </c>
      <c r="H105" s="32" t="s">
        <v>249</v>
      </c>
      <c r="I105" s="32" t="s">
        <v>276</v>
      </c>
      <c r="J105" s="32" t="s">
        <v>355</v>
      </c>
      <c r="K105" s="32" t="s">
        <v>355</v>
      </c>
      <c r="L105" s="32" t="s">
        <v>169</v>
      </c>
      <c r="M105" s="32" t="str">
        <f>IF(Table2[[#This Row],[Stage]]="Closed","Closed","Open")</f>
        <v>Closed</v>
      </c>
      <c r="N105" s="32" t="s">
        <v>356</v>
      </c>
      <c r="O105" s="32">
        <f ca="1">SUMIFS(Table3[Days with], Table3[Ref], Table2[[#This Row],[Ref]],Table3[Who With],"Legal")</f>
        <v>29</v>
      </c>
      <c r="P105" s="34">
        <f>SUMIFS(Table3[Total Cycle Time],Table3[Ref],Table2[[#This Row],[Ref]])</f>
        <v>29</v>
      </c>
    </row>
    <row r="106" spans="1:16" hidden="1" x14ac:dyDescent="0.25">
      <c r="A106" s="39" t="str">
        <f>IF(Table2[[#This Row],[Date Received]]="","",_xlfn.CONCAT(Table2[[#This Row],[Counterparty]]," - ",Table2[[#This Row],[Contract Name]]))</f>
        <v>Dr Mitev - Deed of Retirement</v>
      </c>
      <c r="B106" s="33">
        <v>44782</v>
      </c>
      <c r="C106" s="32" t="s">
        <v>11</v>
      </c>
      <c r="D106" s="32" t="s">
        <v>423</v>
      </c>
      <c r="E106" s="32" t="s">
        <v>424</v>
      </c>
      <c r="F106" s="32" t="s">
        <v>12</v>
      </c>
      <c r="G106" s="32" t="s">
        <v>3</v>
      </c>
      <c r="H106" s="32" t="s">
        <v>425</v>
      </c>
      <c r="I106" s="32" t="s">
        <v>426</v>
      </c>
      <c r="J106" s="32" t="s">
        <v>427</v>
      </c>
      <c r="K106" s="32" t="s">
        <v>348</v>
      </c>
      <c r="L106" s="32" t="s">
        <v>169</v>
      </c>
      <c r="M106" s="32" t="str">
        <f>IF(Table2[[#This Row],[Stage]]="Closed","Closed","Open")</f>
        <v>Closed</v>
      </c>
      <c r="N106" s="32" t="s">
        <v>428</v>
      </c>
      <c r="O106" s="32">
        <f ca="1">SUMIFS(Table3[Days with], Table3[Ref], Table2[[#This Row],[Ref]],Table3[Who With],"Legal")</f>
        <v>132</v>
      </c>
      <c r="P106" s="34">
        <f>SUMIFS(Table3[Total Cycle Time],Table3[Ref],Table2[[#This Row],[Ref]])</f>
        <v>132</v>
      </c>
    </row>
    <row r="107" spans="1:16" hidden="1" x14ac:dyDescent="0.25">
      <c r="A107" s="39" t="str">
        <f>IF(Table2[[#This Row],[Date Received]]="","",_xlfn.CONCAT(Table2[[#This Row],[Counterparty]]," - ",Table2[[#This Row],[Contract Name]]))</f>
        <v>Dr Farid Rahman - Deed of Adherence to Partnership</v>
      </c>
      <c r="B107" s="33">
        <v>44782</v>
      </c>
      <c r="C107" s="32" t="s">
        <v>11</v>
      </c>
      <c r="D107" s="32" t="s">
        <v>429</v>
      </c>
      <c r="E107" s="32" t="s">
        <v>430</v>
      </c>
      <c r="F107" s="32" t="s">
        <v>12</v>
      </c>
      <c r="G107" s="32" t="s">
        <v>3</v>
      </c>
      <c r="H107" s="32" t="s">
        <v>425</v>
      </c>
      <c r="I107" s="32" t="s">
        <v>431</v>
      </c>
      <c r="J107" s="32" t="s">
        <v>427</v>
      </c>
      <c r="K107" s="32"/>
      <c r="L107" s="32" t="s">
        <v>169</v>
      </c>
      <c r="M107" s="32" t="str">
        <f>IF(Table2[[#This Row],[Stage]]="Closed","Closed","Open")</f>
        <v>Closed</v>
      </c>
      <c r="N107" s="32" t="s">
        <v>432</v>
      </c>
      <c r="O107" s="32">
        <f ca="1">SUMIFS(Table3[Days with], Table3[Ref], Table2[[#This Row],[Ref]],Table3[Who With],"Legal")</f>
        <v>132</v>
      </c>
      <c r="P107" s="34">
        <f>SUMIFS(Table3[Total Cycle Time],Table3[Ref],Table2[[#This Row],[Ref]])</f>
        <v>132</v>
      </c>
    </row>
    <row r="108" spans="1:16" hidden="1" x14ac:dyDescent="0.25">
      <c r="A108" s="39" t="str">
        <f>IF(Table2[[#This Row],[Date Received]]="","",_xlfn.CONCAT(Table2[[#This Row],[Counterparty]]," - ",Table2[[#This Row],[Contract Name]]))</f>
        <v>Marcel Mulholland - BPA</v>
      </c>
      <c r="B108" s="33">
        <v>44782</v>
      </c>
      <c r="C108" s="32" t="s">
        <v>11</v>
      </c>
      <c r="D108" s="32" t="s">
        <v>670</v>
      </c>
      <c r="E108" s="32" t="s">
        <v>671</v>
      </c>
      <c r="F108" s="32" t="s">
        <v>12</v>
      </c>
      <c r="G108" s="32" t="s">
        <v>3</v>
      </c>
      <c r="H108" s="32" t="s">
        <v>425</v>
      </c>
      <c r="I108" s="32" t="s">
        <v>435</v>
      </c>
      <c r="J108" s="32" t="s">
        <v>672</v>
      </c>
      <c r="K108" s="32" t="s">
        <v>672</v>
      </c>
      <c r="L108" s="32" t="s">
        <v>169</v>
      </c>
      <c r="M108" s="32" t="str">
        <f>IF(Table2[[#This Row],[Stage]]="Closed","Closed","Open")</f>
        <v>Closed</v>
      </c>
      <c r="N108" s="32"/>
      <c r="O108" s="32">
        <f ca="1">SUMIFS(Table3[Days with], Table3[Ref], Table2[[#This Row],[Ref]],Table3[Who With],"Legal")</f>
        <v>254</v>
      </c>
      <c r="P108" s="34">
        <f>SUMIFS(Table3[Total Cycle Time],Table3[Ref],Table2[[#This Row],[Ref]])</f>
        <v>254</v>
      </c>
    </row>
    <row r="109" spans="1:16" hidden="1" x14ac:dyDescent="0.25">
      <c r="A109" s="39" t="str">
        <f>IF(Table2[[#This Row],[Date Received]]="","",_xlfn.CONCAT(Table2[[#This Row],[Counterparty]]," - ",Table2[[#This Row],[Contract Name]]))</f>
        <v xml:space="preserve">EY - Letter of Engagement </v>
      </c>
      <c r="B109" s="33">
        <v>44784</v>
      </c>
      <c r="C109" s="32" t="s">
        <v>1080</v>
      </c>
      <c r="D109" s="32" t="s">
        <v>357</v>
      </c>
      <c r="E109" s="32"/>
      <c r="F109" s="32" t="s">
        <v>20</v>
      </c>
      <c r="G109" s="32"/>
      <c r="H109" s="32" t="s">
        <v>17</v>
      </c>
      <c r="I109" s="32" t="s">
        <v>358</v>
      </c>
      <c r="J109" s="32"/>
      <c r="K109" s="32"/>
      <c r="L109" s="32" t="s">
        <v>169</v>
      </c>
      <c r="M109" s="32" t="str">
        <f>IF(Table2[[#This Row],[Stage]]="Closed","Closed","Open")</f>
        <v>Closed</v>
      </c>
      <c r="N109" s="32"/>
      <c r="O109" s="32">
        <f ca="1">SUMIFS(Table3[Days with], Table3[Ref], Table2[[#This Row],[Ref]],Table3[Who With],"Legal")</f>
        <v>30</v>
      </c>
      <c r="P109" s="34">
        <f>SUMIFS(Table3[Total Cycle Time],Table3[Ref],Table2[[#This Row],[Ref]])</f>
        <v>30</v>
      </c>
    </row>
    <row r="110" spans="1:16" hidden="1" x14ac:dyDescent="0.25">
      <c r="A110" s="39" t="str">
        <f>IF(Table2[[#This Row],[Date Received]]="","",_xlfn.CONCAT(Table2[[#This Row],[Counterparty]]," - ",Table2[[#This Row],[Contract Name]]))</f>
        <v>Lois Wilkie - BPA</v>
      </c>
      <c r="B110" s="33">
        <v>44784</v>
      </c>
      <c r="C110" s="32" t="s">
        <v>11</v>
      </c>
      <c r="D110" s="32" t="s">
        <v>433</v>
      </c>
      <c r="E110" s="32" t="s">
        <v>434</v>
      </c>
      <c r="F110" s="32" t="s">
        <v>12</v>
      </c>
      <c r="G110" s="32" t="s">
        <v>3</v>
      </c>
      <c r="H110" s="32" t="s">
        <v>425</v>
      </c>
      <c r="I110" s="32" t="s">
        <v>435</v>
      </c>
      <c r="J110" s="32" t="s">
        <v>427</v>
      </c>
      <c r="K110" s="32" t="s">
        <v>436</v>
      </c>
      <c r="L110" s="32" t="s">
        <v>169</v>
      </c>
      <c r="M110" s="32" t="str">
        <f>IF(Table2[[#This Row],[Stage]]="Closed","Closed","Open")</f>
        <v>Closed</v>
      </c>
      <c r="N110" s="32" t="s">
        <v>437</v>
      </c>
      <c r="O110" s="32">
        <f ca="1">SUMIFS(Table3[Days with], Table3[Ref], Table2[[#This Row],[Ref]],Table3[Who With],"Legal")</f>
        <v>130</v>
      </c>
      <c r="P110" s="34">
        <f>SUMIFS(Table3[Total Cycle Time],Table3[Ref],Table2[[#This Row],[Ref]])</f>
        <v>130</v>
      </c>
    </row>
    <row r="111" spans="1:16" hidden="1" x14ac:dyDescent="0.25">
      <c r="A111" s="39" t="str">
        <f>IF(Table2[[#This Row],[Date Received]]="","",_xlfn.CONCAT(Table2[[#This Row],[Counterparty]]," - ",Table2[[#This Row],[Contract Name]]))</f>
        <v>PTL Voice and Data - Services Agreement</v>
      </c>
      <c r="B111" s="33">
        <v>44788</v>
      </c>
      <c r="C111" s="32" t="s">
        <v>11</v>
      </c>
      <c r="D111" s="32" t="s">
        <v>379</v>
      </c>
      <c r="E111" s="32"/>
      <c r="F111" s="32" t="s">
        <v>299</v>
      </c>
      <c r="G111" s="32" t="s">
        <v>316</v>
      </c>
      <c r="H111" s="32" t="s">
        <v>17</v>
      </c>
      <c r="I111" s="32" t="s">
        <v>32</v>
      </c>
      <c r="J111" s="32" t="s">
        <v>318</v>
      </c>
      <c r="K111" s="32"/>
      <c r="L111" s="32" t="s">
        <v>169</v>
      </c>
      <c r="M111" s="32" t="str">
        <f>IF(Table2[[#This Row],[Stage]]="Closed","Closed","Open")</f>
        <v>Closed</v>
      </c>
      <c r="N111" s="32" t="s">
        <v>380</v>
      </c>
      <c r="O111" s="32">
        <f ca="1">SUMIFS(Table3[Days with], Table3[Ref], Table2[[#This Row],[Ref]],Table3[Who With],"Legal")</f>
        <v>30</v>
      </c>
      <c r="P111" s="34">
        <f>SUMIFS(Table3[Total Cycle Time],Table3[Ref],Table2[[#This Row],[Ref]])</f>
        <v>30</v>
      </c>
    </row>
    <row r="112" spans="1:16" hidden="1" x14ac:dyDescent="0.25">
      <c r="A112" s="39" t="str">
        <f>IF(Table2[[#This Row],[Date Received]]="","",_xlfn.CONCAT(Table2[[#This Row],[Counterparty]]," - ",Table2[[#This Row],[Contract Name]]))</f>
        <v>Alexander Mann Solutions Limited (AMS) - Services Agreement</v>
      </c>
      <c r="B112" s="33">
        <v>44788</v>
      </c>
      <c r="C112" s="32" t="s">
        <v>11</v>
      </c>
      <c r="D112" s="32" t="s">
        <v>381</v>
      </c>
      <c r="E112" s="32"/>
      <c r="F112" s="32" t="s">
        <v>12</v>
      </c>
      <c r="G112" s="32" t="s">
        <v>30</v>
      </c>
      <c r="H112" s="32" t="s">
        <v>17</v>
      </c>
      <c r="I112" s="32" t="s">
        <v>32</v>
      </c>
      <c r="J112" s="32" t="s">
        <v>208</v>
      </c>
      <c r="K112" s="32" t="s">
        <v>348</v>
      </c>
      <c r="L112" s="32" t="s">
        <v>169</v>
      </c>
      <c r="M112" s="32" t="str">
        <f>IF(Table2[[#This Row],[Stage]]="Closed","Closed","Open")</f>
        <v>Closed</v>
      </c>
      <c r="N112" s="32" t="s">
        <v>382</v>
      </c>
      <c r="O112" s="32">
        <f ca="1">SUMIFS(Table3[Days with], Table3[Ref], Table2[[#This Row],[Ref]],Table3[Who With],"Legal")</f>
        <v>30</v>
      </c>
      <c r="P112" s="34">
        <f>SUMIFS(Table3[Total Cycle Time],Table3[Ref],Table2[[#This Row],[Ref]])</f>
        <v>30</v>
      </c>
    </row>
    <row r="113" spans="1:16" hidden="1" x14ac:dyDescent="0.25">
      <c r="A113" s="39" t="str">
        <f>IF(Table2[[#This Row],[Date Received]]="","",_xlfn.CONCAT(Table2[[#This Row],[Counterparty]]," - ",Table2[[#This Row],[Contract Name]]))</f>
        <v>IDEXX - Termination Letter</v>
      </c>
      <c r="B113" s="33">
        <v>44789</v>
      </c>
      <c r="C113" s="32" t="s">
        <v>11</v>
      </c>
      <c r="D113" s="32" t="s">
        <v>225</v>
      </c>
      <c r="E113" s="32" t="s">
        <v>384</v>
      </c>
      <c r="F113" s="32" t="s">
        <v>16</v>
      </c>
      <c r="G113" s="32" t="s">
        <v>29</v>
      </c>
      <c r="H113" s="32" t="s">
        <v>17</v>
      </c>
      <c r="I113" s="32" t="s">
        <v>224</v>
      </c>
      <c r="J113" s="32" t="s">
        <v>31</v>
      </c>
      <c r="K113" s="32" t="s">
        <v>31</v>
      </c>
      <c r="L113" s="32" t="s">
        <v>169</v>
      </c>
      <c r="M113" s="32" t="str">
        <f>IF(Table2[[#This Row],[Stage]]="Closed","Closed","Open")</f>
        <v>Closed</v>
      </c>
      <c r="N113" s="32" t="s">
        <v>255</v>
      </c>
      <c r="O113" s="32">
        <f ca="1">SUMIFS(Table3[Days with], Table3[Ref], Table2[[#This Row],[Ref]],Table3[Who With],"Legal")</f>
        <v>31</v>
      </c>
      <c r="P113" s="34">
        <f>SUMIFS(Table3[Total Cycle Time],Table3[Ref],Table2[[#This Row],[Ref]])</f>
        <v>31</v>
      </c>
    </row>
    <row r="114" spans="1:16" hidden="1" x14ac:dyDescent="0.25">
      <c r="A114" s="39" t="str">
        <f>IF(Table2[[#This Row],[Date Received]]="","",_xlfn.CONCAT(Table2[[#This Row],[Counterparty]]," - ",Table2[[#This Row],[Contract Name]]))</f>
        <v>Siemens Financial Services Limited - Deed of Novation 1</v>
      </c>
      <c r="B114" s="33">
        <v>44813</v>
      </c>
      <c r="C114" s="32" t="s">
        <v>1084</v>
      </c>
      <c r="D114" s="32" t="s">
        <v>49</v>
      </c>
      <c r="E114" s="32" t="s">
        <v>40</v>
      </c>
      <c r="F114" s="32" t="s">
        <v>16</v>
      </c>
      <c r="G114" s="32" t="s">
        <v>29</v>
      </c>
      <c r="H114" s="32" t="s">
        <v>17</v>
      </c>
      <c r="I114" s="32" t="s">
        <v>1486</v>
      </c>
      <c r="J114" s="32" t="s">
        <v>335</v>
      </c>
      <c r="K114" s="32" t="s">
        <v>335</v>
      </c>
      <c r="L114" s="32" t="s">
        <v>169</v>
      </c>
      <c r="M114" s="32" t="str">
        <f>IF(Table2[[#This Row],[Stage]]="Closed","Closed","Open")</f>
        <v>Closed</v>
      </c>
      <c r="N114" s="32" t="s">
        <v>387</v>
      </c>
      <c r="O114" s="32">
        <f ca="1">SUMIFS(Table3[Days with], Table3[Ref], Table2[[#This Row],[Ref]],Table3[Who With],"Legal")</f>
        <v>175</v>
      </c>
      <c r="P114" s="34">
        <f>SUMIFS(Table3[Total Cycle Time],Table3[Ref],Table2[[#This Row],[Ref]])</f>
        <v>175</v>
      </c>
    </row>
    <row r="115" spans="1:16" hidden="1" x14ac:dyDescent="0.25">
      <c r="A115" s="39" t="str">
        <f>IF(Table2[[#This Row],[Date Received]]="","",_xlfn.CONCAT(Table2[[#This Row],[Counterparty]]," - ",Table2[[#This Row],[Contract Name]]))</f>
        <v>Siemens Financial Services Limited - Deed of Novation 2</v>
      </c>
      <c r="B115" s="33">
        <v>44813</v>
      </c>
      <c r="C115" s="32" t="s">
        <v>1084</v>
      </c>
      <c r="D115" s="32" t="s">
        <v>49</v>
      </c>
      <c r="E115" s="32" t="s">
        <v>40</v>
      </c>
      <c r="F115" s="32" t="s">
        <v>16</v>
      </c>
      <c r="G115" s="32" t="s">
        <v>29</v>
      </c>
      <c r="H115" s="32" t="s">
        <v>17</v>
      </c>
      <c r="I115" s="32" t="s">
        <v>1487</v>
      </c>
      <c r="J115" s="32" t="s">
        <v>335</v>
      </c>
      <c r="K115" s="32" t="s">
        <v>335</v>
      </c>
      <c r="L115" s="32" t="s">
        <v>169</v>
      </c>
      <c r="M115" s="32" t="str">
        <f>IF(Table2[[#This Row],[Stage]]="Closed","Closed","Open")</f>
        <v>Closed</v>
      </c>
      <c r="N115" s="32" t="s">
        <v>387</v>
      </c>
      <c r="O115" s="32">
        <f ca="1">SUMIFS(Table3[Days with], Table3[Ref], Table2[[#This Row],[Ref]],Table3[Who With],"Legal")</f>
        <v>175</v>
      </c>
      <c r="P115" s="34">
        <f>SUMIFS(Table3[Total Cycle Time],Table3[Ref],Table2[[#This Row],[Ref]])</f>
        <v>175</v>
      </c>
    </row>
    <row r="116" spans="1:16" hidden="1" x14ac:dyDescent="0.25">
      <c r="A116" s="39" t="str">
        <f>IF(Table2[[#This Row],[Date Received]]="","",_xlfn.CONCAT(Table2[[#This Row],[Counterparty]]," - ",Table2[[#This Row],[Contract Name]]))</f>
        <v xml:space="preserve">Quadient - Novation Agreement </v>
      </c>
      <c r="B116" s="33">
        <v>44816</v>
      </c>
      <c r="C116" s="32" t="s">
        <v>1085</v>
      </c>
      <c r="D116" s="32" t="s">
        <v>345</v>
      </c>
      <c r="E116" s="32" t="s">
        <v>396</v>
      </c>
      <c r="F116" s="32" t="s">
        <v>16</v>
      </c>
      <c r="G116" s="32" t="s">
        <v>29</v>
      </c>
      <c r="H116" s="32" t="s">
        <v>17</v>
      </c>
      <c r="I116" s="32" t="s">
        <v>397</v>
      </c>
      <c r="J116" s="32" t="s">
        <v>332</v>
      </c>
      <c r="K116" s="32" t="s">
        <v>332</v>
      </c>
      <c r="L116" s="32" t="s">
        <v>169</v>
      </c>
      <c r="M116" s="32" t="str">
        <f>IF(Table2[[#This Row],[Stage]]="Closed","Closed","Open")</f>
        <v>Closed</v>
      </c>
      <c r="N116" s="32" t="s">
        <v>398</v>
      </c>
      <c r="O116" s="32">
        <f ca="1">SUMIFS(Table3[Days with], Table3[Ref], Table2[[#This Row],[Ref]],Table3[Who With],"Legal")</f>
        <v>172</v>
      </c>
      <c r="P116" s="34">
        <f>SUMIFS(Table3[Total Cycle Time],Table3[Ref],Table2[[#This Row],[Ref]])</f>
        <v>172</v>
      </c>
    </row>
    <row r="117" spans="1:16" hidden="1" x14ac:dyDescent="0.25">
      <c r="A117" s="39" t="str">
        <f>IF(Table2[[#This Row],[Date Received]]="","",_xlfn.CONCAT(Table2[[#This Row],[Counterparty]]," - ",Table2[[#This Row],[Contract Name]]))</f>
        <v>Solution IP Communications - Service Agreement</v>
      </c>
      <c r="B117" s="33">
        <v>44817</v>
      </c>
      <c r="C117" s="32" t="s">
        <v>11</v>
      </c>
      <c r="D117" s="32" t="s">
        <v>403</v>
      </c>
      <c r="E117" s="32" t="s">
        <v>404</v>
      </c>
      <c r="F117" s="32" t="s">
        <v>16</v>
      </c>
      <c r="G117" s="32" t="s">
        <v>29</v>
      </c>
      <c r="H117" s="32" t="s">
        <v>17</v>
      </c>
      <c r="I117" s="32" t="s">
        <v>201</v>
      </c>
      <c r="J117" s="32" t="s">
        <v>405</v>
      </c>
      <c r="K117" s="32" t="s">
        <v>287</v>
      </c>
      <c r="L117" s="32" t="s">
        <v>169</v>
      </c>
      <c r="M117" s="32" t="str">
        <f>IF(Table2[[#This Row],[Stage]]="Closed","Closed","Open")</f>
        <v>Closed</v>
      </c>
      <c r="N117" s="32" t="s">
        <v>406</v>
      </c>
      <c r="O117" s="32">
        <f ca="1">SUMIFS(Table3[Days with], Table3[Ref], Table2[[#This Row],[Ref]],Table3[Who With],"Legal")</f>
        <v>171</v>
      </c>
      <c r="P117" s="34">
        <f>SUMIFS(Table3[Total Cycle Time],Table3[Ref],Table2[[#This Row],[Ref]])</f>
        <v>171</v>
      </c>
    </row>
    <row r="118" spans="1:16" hidden="1" x14ac:dyDescent="0.25">
      <c r="A118" s="39" t="str">
        <f>IF(Table2[[#This Row],[Date Received]]="","",_xlfn.CONCAT(Table2[[#This Row],[Counterparty]]," - ",Table2[[#This Row],[Contract Name]]))</f>
        <v>Siemens Financial Services Limited - Deed of Novation 3</v>
      </c>
      <c r="B118" s="33">
        <v>44819</v>
      </c>
      <c r="C118" s="32" t="s">
        <v>11</v>
      </c>
      <c r="D118" s="32" t="s">
        <v>49</v>
      </c>
      <c r="E118" s="32" t="s">
        <v>407</v>
      </c>
      <c r="F118" s="32" t="s">
        <v>16</v>
      </c>
      <c r="G118" s="32" t="s">
        <v>29</v>
      </c>
      <c r="H118" s="32" t="s">
        <v>17</v>
      </c>
      <c r="I118" s="32" t="s">
        <v>1488</v>
      </c>
      <c r="J118" s="32" t="s">
        <v>408</v>
      </c>
      <c r="K118" s="32" t="s">
        <v>287</v>
      </c>
      <c r="L118" s="32" t="s">
        <v>169</v>
      </c>
      <c r="M118" s="32" t="str">
        <f>IF(Table2[[#This Row],[Stage]]="Closed","Closed","Open")</f>
        <v>Closed</v>
      </c>
      <c r="N118" s="32" t="s">
        <v>409</v>
      </c>
      <c r="O118" s="32">
        <f ca="1">SUMIFS(Table3[Days with], Table3[Ref], Table2[[#This Row],[Ref]],Table3[Who With],"Legal")</f>
        <v>169</v>
      </c>
      <c r="P118" s="34">
        <f>SUMIFS(Table3[Total Cycle Time],Table3[Ref],Table2[[#This Row],[Ref]])</f>
        <v>169</v>
      </c>
    </row>
    <row r="119" spans="1:16" hidden="1" x14ac:dyDescent="0.25">
      <c r="A119" s="39" t="str">
        <f>IF(Table2[[#This Row],[Date Received]]="","",_xlfn.CONCAT(Table2[[#This Row],[Counterparty]]," - ",Table2[[#This Row],[Contract Name]]))</f>
        <v>Egencia UK Limited - Services Agreement</v>
      </c>
      <c r="B119" s="33">
        <v>44820</v>
      </c>
      <c r="C119" s="32" t="s">
        <v>11</v>
      </c>
      <c r="D119" s="32" t="s">
        <v>438</v>
      </c>
      <c r="E119" s="32"/>
      <c r="F119" s="32" t="s">
        <v>12</v>
      </c>
      <c r="G119" s="32" t="s">
        <v>14</v>
      </c>
      <c r="H119" s="32" t="s">
        <v>17</v>
      </c>
      <c r="I119" s="32" t="s">
        <v>32</v>
      </c>
      <c r="J119" s="32" t="s">
        <v>414</v>
      </c>
      <c r="K119" s="32" t="s">
        <v>414</v>
      </c>
      <c r="L119" s="32" t="s">
        <v>169</v>
      </c>
      <c r="M119" s="32" t="str">
        <f>IF(Table2[[#This Row],[Stage]]="Closed","Closed","Open")</f>
        <v>Closed</v>
      </c>
      <c r="N119" s="32" t="s">
        <v>439</v>
      </c>
      <c r="O119" s="32">
        <f ca="1">SUMIFS(Table3[Days with], Table3[Ref], Table2[[#This Row],[Ref]],Table3[Who With],"Legal")</f>
        <v>94</v>
      </c>
      <c r="P119" s="34">
        <f>SUMIFS(Table3[Total Cycle Time],Table3[Ref],Table2[[#This Row],[Ref]])</f>
        <v>94</v>
      </c>
    </row>
    <row r="120" spans="1:16" hidden="1" x14ac:dyDescent="0.25">
      <c r="A120" s="39" t="str">
        <f>IF(Table2[[#This Row],[Date Received]]="","",_xlfn.CONCAT(Table2[[#This Row],[Counterparty]]," - ",Table2[[#This Row],[Contract Name]]))</f>
        <v>Hastee - Services Agreement</v>
      </c>
      <c r="B120" s="33">
        <v>44824</v>
      </c>
      <c r="C120" s="32" t="s">
        <v>11</v>
      </c>
      <c r="D120" s="32" t="s">
        <v>461</v>
      </c>
      <c r="E120" s="32"/>
      <c r="F120" s="32" t="s">
        <v>12</v>
      </c>
      <c r="G120" s="32" t="s">
        <v>30</v>
      </c>
      <c r="H120" s="32" t="s">
        <v>17</v>
      </c>
      <c r="I120" s="32" t="s">
        <v>32</v>
      </c>
      <c r="J120" s="32" t="s">
        <v>462</v>
      </c>
      <c r="K120" s="32" t="s">
        <v>348</v>
      </c>
      <c r="L120" s="32" t="s">
        <v>169</v>
      </c>
      <c r="M120" s="32" t="str">
        <f>IF(Table2[[#This Row],[Stage]]="Closed","Closed","Open")</f>
        <v>Closed</v>
      </c>
      <c r="N120" s="32" t="s">
        <v>463</v>
      </c>
      <c r="O120" s="32">
        <f ca="1">SUMIFS(Table3[Days with], Table3[Ref], Table2[[#This Row],[Ref]],Table3[Who With],"Legal")</f>
        <v>106</v>
      </c>
      <c r="P120" s="34">
        <f>SUMIFS(Table3[Total Cycle Time],Table3[Ref],Table2[[#This Row],[Ref]])</f>
        <v>106</v>
      </c>
    </row>
    <row r="121" spans="1:16" hidden="1" x14ac:dyDescent="0.25">
      <c r="A121" s="39" t="str">
        <f>IF(Table2[[#This Row],[Date Received]]="","",_xlfn.CONCAT(Table2[[#This Row],[Counterparty]]," - ",Table2[[#This Row],[Contract Name]]))</f>
        <v>Baris Tarcan - Services Agreement</v>
      </c>
      <c r="B121" s="33">
        <v>44826</v>
      </c>
      <c r="C121" s="32" t="s">
        <v>11</v>
      </c>
      <c r="D121" s="32" t="s">
        <v>385</v>
      </c>
      <c r="E121" s="32"/>
      <c r="F121" s="32" t="s">
        <v>12</v>
      </c>
      <c r="G121" s="32" t="s">
        <v>30</v>
      </c>
      <c r="H121" s="32" t="s">
        <v>17</v>
      </c>
      <c r="I121" s="32" t="s">
        <v>32</v>
      </c>
      <c r="J121" s="32" t="s">
        <v>208</v>
      </c>
      <c r="K121" s="32" t="s">
        <v>208</v>
      </c>
      <c r="L121" s="32" t="s">
        <v>169</v>
      </c>
      <c r="M121" s="32" t="str">
        <f>IF(Table2[[#This Row],[Stage]]="Closed","Closed","Open")</f>
        <v>Closed</v>
      </c>
      <c r="N121" s="32" t="s">
        <v>386</v>
      </c>
      <c r="O121" s="32">
        <f ca="1">SUMIFS(Table3[Days with], Table3[Ref], Table2[[#This Row],[Ref]],Table3[Who With],"Legal")</f>
        <v>30</v>
      </c>
      <c r="P121" s="34">
        <f>SUMIFS(Table3[Total Cycle Time],Table3[Ref],Table2[[#This Row],[Ref]])</f>
        <v>30</v>
      </c>
    </row>
    <row r="122" spans="1:16" hidden="1" x14ac:dyDescent="0.25">
      <c r="A122" s="39" t="str">
        <f>IF(Table2[[#This Row],[Date Received]]="","",_xlfn.CONCAT(Table2[[#This Row],[Counterparty]]," - ",Table2[[#This Row],[Contract Name]]))</f>
        <v>Reliance - Services Agreement</v>
      </c>
      <c r="B122" s="33">
        <v>44826</v>
      </c>
      <c r="C122" s="32" t="s">
        <v>11</v>
      </c>
      <c r="D122" s="32" t="s">
        <v>640</v>
      </c>
      <c r="E122" s="32"/>
      <c r="F122" s="32" t="s">
        <v>12</v>
      </c>
      <c r="G122" s="32" t="s">
        <v>316</v>
      </c>
      <c r="H122" s="32" t="s">
        <v>17</v>
      </c>
      <c r="I122" s="32" t="s">
        <v>32</v>
      </c>
      <c r="J122" s="32" t="s">
        <v>318</v>
      </c>
      <c r="K122" s="32" t="s">
        <v>318</v>
      </c>
      <c r="L122" s="32" t="s">
        <v>169</v>
      </c>
      <c r="M122" s="32" t="str">
        <f>IF(Table2[[#This Row],[Stage]]="Closed","Closed","Open")</f>
        <v>Closed</v>
      </c>
      <c r="N122" s="32" t="s">
        <v>639</v>
      </c>
      <c r="O122" s="32">
        <f ca="1">SUMIFS(Table3[Days with], Table3[Ref], Table2[[#This Row],[Ref]],Table3[Who With],"Legal")</f>
        <v>167</v>
      </c>
      <c r="P122" s="34">
        <f>SUMIFS(Table3[Total Cycle Time],Table3[Ref],Table2[[#This Row],[Ref]])</f>
        <v>167</v>
      </c>
    </row>
    <row r="123" spans="1:16" hidden="1" x14ac:dyDescent="0.25">
      <c r="A123" s="39" t="str">
        <f>IF(Table2[[#This Row],[Date Received]]="","",_xlfn.CONCAT(Table2[[#This Row],[Counterparty]]," - ",Table2[[#This Row],[Contract Name]]))</f>
        <v>Norbrook - Rebate Agreement 1</v>
      </c>
      <c r="B123" s="33">
        <v>44833</v>
      </c>
      <c r="C123" s="32" t="s">
        <v>11</v>
      </c>
      <c r="D123" s="32" t="s">
        <v>58</v>
      </c>
      <c r="E123" s="32"/>
      <c r="F123" s="32" t="s">
        <v>12</v>
      </c>
      <c r="G123" s="32" t="s">
        <v>14</v>
      </c>
      <c r="H123" s="32" t="s">
        <v>17</v>
      </c>
      <c r="I123" s="32" t="s">
        <v>1478</v>
      </c>
      <c r="J123" s="32" t="s">
        <v>31</v>
      </c>
      <c r="K123" s="32" t="s">
        <v>8</v>
      </c>
      <c r="L123" s="32" t="s">
        <v>23</v>
      </c>
      <c r="M123" s="32" t="str">
        <f>IF(Table2[[#This Row],[Stage]]="Closed","Closed","Open")</f>
        <v>Open</v>
      </c>
      <c r="N123" s="32" t="s">
        <v>1564</v>
      </c>
      <c r="O123" s="32">
        <f ca="1">SUMIFS(Table3[Days with], Table3[Ref], Table2[[#This Row],[Ref]],Table3[Who With],"Legal")</f>
        <v>161</v>
      </c>
      <c r="P123" s="34">
        <f>SUMIFS(Table3[Total Cycle Time],Table3[Ref],Table2[[#This Row],[Ref]])</f>
        <v>161</v>
      </c>
    </row>
    <row r="124" spans="1:16" hidden="1" x14ac:dyDescent="0.25">
      <c r="A124" s="39" t="str">
        <f>IF(Table2[[#This Row],[Date Received]]="","",_xlfn.CONCAT(Table2[[#This Row],[Counterparty]]," - ",Table2[[#This Row],[Contract Name]]))</f>
        <v>Zen - Deed of Novation</v>
      </c>
      <c r="B124" s="33">
        <v>44838</v>
      </c>
      <c r="C124" s="32" t="s">
        <v>11</v>
      </c>
      <c r="D124" s="32" t="s">
        <v>367</v>
      </c>
      <c r="E124" s="32" t="s">
        <v>273</v>
      </c>
      <c r="F124" s="32" t="s">
        <v>16</v>
      </c>
      <c r="G124" s="32" t="s">
        <v>29</v>
      </c>
      <c r="H124" s="32" t="s">
        <v>17</v>
      </c>
      <c r="I124" s="32" t="s">
        <v>383</v>
      </c>
      <c r="J124" s="32" t="s">
        <v>337</v>
      </c>
      <c r="K124" s="32" t="s">
        <v>442</v>
      </c>
      <c r="L124" s="32" t="s">
        <v>169</v>
      </c>
      <c r="M124" s="32" t="str">
        <f>IF(Table2[[#This Row],[Stage]]="Closed","Closed","Open")</f>
        <v>Closed</v>
      </c>
      <c r="N124" s="32" t="s">
        <v>443</v>
      </c>
      <c r="O124" s="32">
        <f ca="1">SUMIFS(Table3[Days with], Table3[Ref], Table2[[#This Row],[Ref]],Table3[Who With],"Legal")</f>
        <v>45</v>
      </c>
      <c r="P124" s="34">
        <f>SUMIFS(Table3[Total Cycle Time],Table3[Ref],Table2[[#This Row],[Ref]])</f>
        <v>45</v>
      </c>
    </row>
    <row r="125" spans="1:16" hidden="1" x14ac:dyDescent="0.25">
      <c r="A125" s="39" t="str">
        <f>IF(Table2[[#This Row],[Date Received]]="","",_xlfn.CONCAT(Table2[[#This Row],[Counterparty]]," - ",Table2[[#This Row],[Contract Name]]))</f>
        <v>Access/Ezipay - Services Agreement</v>
      </c>
      <c r="B125" s="33">
        <v>44839</v>
      </c>
      <c r="C125" s="32" t="s">
        <v>11</v>
      </c>
      <c r="D125" s="32" t="s">
        <v>476</v>
      </c>
      <c r="E125" s="32" t="s">
        <v>54</v>
      </c>
      <c r="F125" s="32" t="s">
        <v>16</v>
      </c>
      <c r="G125" s="32" t="s">
        <v>29</v>
      </c>
      <c r="H125" s="32" t="s">
        <v>17</v>
      </c>
      <c r="I125" s="32" t="s">
        <v>32</v>
      </c>
      <c r="J125" s="32" t="s">
        <v>332</v>
      </c>
      <c r="K125" s="32" t="s">
        <v>332</v>
      </c>
      <c r="L125" s="32" t="s">
        <v>169</v>
      </c>
      <c r="M125" s="32" t="str">
        <f>IF(Table2[[#This Row],[Stage]]="Closed","Closed","Open")</f>
        <v>Closed</v>
      </c>
      <c r="N125" s="32" t="s">
        <v>477</v>
      </c>
      <c r="O125" s="32">
        <f ca="1">SUMIFS(Table3[Days with], Table3[Ref], Table2[[#This Row],[Ref]],Table3[Who With],"Legal")</f>
        <v>230</v>
      </c>
      <c r="P125" s="34">
        <f>SUMIFS(Table3[Total Cycle Time],Table3[Ref],Table2[[#This Row],[Ref]])</f>
        <v>230</v>
      </c>
    </row>
    <row r="126" spans="1:16" hidden="1" x14ac:dyDescent="0.25">
      <c r="A126" s="39" t="str">
        <f>IF(Table2[[#This Row],[Date Received]]="","",_xlfn.CONCAT(Table2[[#This Row],[Counterparty]]," - ",Table2[[#This Row],[Contract Name]]))</f>
        <v>Parkside Veterinary Centre Ltd - OOH Agreement</v>
      </c>
      <c r="B126" s="33">
        <v>44844</v>
      </c>
      <c r="C126" s="32" t="s">
        <v>11</v>
      </c>
      <c r="D126" s="32" t="s">
        <v>478</v>
      </c>
      <c r="E126" s="32" t="s">
        <v>479</v>
      </c>
      <c r="F126" s="32" t="s">
        <v>16</v>
      </c>
      <c r="G126" s="32" t="s">
        <v>3</v>
      </c>
      <c r="H126" s="32" t="s">
        <v>17</v>
      </c>
      <c r="I126" s="32" t="s">
        <v>276</v>
      </c>
      <c r="J126" s="32" t="s">
        <v>480</v>
      </c>
      <c r="K126" s="32" t="s">
        <v>442</v>
      </c>
      <c r="L126" s="32" t="s">
        <v>169</v>
      </c>
      <c r="M126" s="32" t="str">
        <f>IF(Table2[[#This Row],[Stage]]="Closed","Closed","Open")</f>
        <v>Closed</v>
      </c>
      <c r="N126" s="32" t="s">
        <v>481</v>
      </c>
      <c r="O126" s="32">
        <f ca="1">SUMIFS(Table3[Days with], Table3[Ref], Table2[[#This Row],[Ref]],Table3[Who With],"Legal")</f>
        <v>21</v>
      </c>
      <c r="P126" s="34">
        <f>SUMIFS(Table3[Total Cycle Time],Table3[Ref],Table2[[#This Row],[Ref]])</f>
        <v>21</v>
      </c>
    </row>
    <row r="127" spans="1:16" hidden="1" x14ac:dyDescent="0.25">
      <c r="A127" s="39" t="str">
        <f>IF(Table2[[#This Row],[Date Received]]="","",_xlfn.CONCAT(Table2[[#This Row],[Counterparty]]," - ",Table2[[#This Row],[Contract Name]]))</f>
        <v>Grant Thornton (tax consultants) - Services Agreement</v>
      </c>
      <c r="B127" s="33">
        <v>44847</v>
      </c>
      <c r="C127" s="32" t="s">
        <v>11</v>
      </c>
      <c r="D127" s="32" t="s">
        <v>393</v>
      </c>
      <c r="E127" s="32"/>
      <c r="F127" s="32" t="s">
        <v>299</v>
      </c>
      <c r="G127" s="32" t="s">
        <v>27</v>
      </c>
      <c r="H127" s="32" t="s">
        <v>17</v>
      </c>
      <c r="I127" s="32" t="s">
        <v>32</v>
      </c>
      <c r="J127" s="32" t="s">
        <v>394</v>
      </c>
      <c r="K127" s="32" t="s">
        <v>348</v>
      </c>
      <c r="L127" s="32" t="s">
        <v>169</v>
      </c>
      <c r="M127" s="32" t="str">
        <f>IF(Table2[[#This Row],[Stage]]="Closed","Closed","Open")</f>
        <v>Closed</v>
      </c>
      <c r="N127" s="32" t="s">
        <v>395</v>
      </c>
      <c r="O127" s="32">
        <f ca="1">SUMIFS(Table3[Days with], Table3[Ref], Table2[[#This Row],[Ref]],Table3[Who With],"Legal")</f>
        <v>22</v>
      </c>
      <c r="P127" s="34">
        <f>SUMIFS(Table3[Total Cycle Time],Table3[Ref],Table2[[#This Row],[Ref]])</f>
        <v>22</v>
      </c>
    </row>
    <row r="128" spans="1:16" hidden="1" x14ac:dyDescent="0.25">
      <c r="A128" s="39" t="str">
        <f>IF(Table2[[#This Row],[Date Received]]="","",_xlfn.CONCAT(Table2[[#This Row],[Counterparty]]," - ",Table2[[#This Row],[Contract Name]]))</f>
        <v>FP - Deed of Novation</v>
      </c>
      <c r="B128" s="33">
        <v>44847</v>
      </c>
      <c r="C128" s="32" t="s">
        <v>11</v>
      </c>
      <c r="D128" s="32" t="s">
        <v>482</v>
      </c>
      <c r="E128" s="32" t="s">
        <v>54</v>
      </c>
      <c r="F128" s="32" t="s">
        <v>16</v>
      </c>
      <c r="G128" s="32" t="s">
        <v>29</v>
      </c>
      <c r="H128" s="32" t="s">
        <v>17</v>
      </c>
      <c r="I128" s="32" t="s">
        <v>383</v>
      </c>
      <c r="J128" s="32" t="s">
        <v>332</v>
      </c>
      <c r="K128" s="32" t="s">
        <v>332</v>
      </c>
      <c r="L128" s="32" t="s">
        <v>169</v>
      </c>
      <c r="M128" s="32" t="str">
        <f>IF(Table2[[#This Row],[Stage]]="Closed","Closed","Open")</f>
        <v>Closed</v>
      </c>
      <c r="N128" s="32" t="s">
        <v>483</v>
      </c>
      <c r="O128" s="32">
        <f ca="1">SUMIFS(Table3[Days with], Table3[Ref], Table2[[#This Row],[Ref]],Table3[Who With],"Legal")</f>
        <v>39</v>
      </c>
      <c r="P128" s="34">
        <f>SUMIFS(Table3[Total Cycle Time],Table3[Ref],Table2[[#This Row],[Ref]])</f>
        <v>39</v>
      </c>
    </row>
    <row r="129" spans="1:16" hidden="1" x14ac:dyDescent="0.25">
      <c r="A129" s="39" t="str">
        <f>IF(Table2[[#This Row],[Date Received]]="","",_xlfn.CONCAT(Table2[[#This Row],[Counterparty]]," - ",Table2[[#This Row],[Contract Name]]))</f>
        <v>Absorb - Services Agreement</v>
      </c>
      <c r="B129" s="33">
        <v>44847</v>
      </c>
      <c r="C129" s="32" t="s">
        <v>11</v>
      </c>
      <c r="D129" s="32" t="s">
        <v>496</v>
      </c>
      <c r="E129" s="32" t="s">
        <v>497</v>
      </c>
      <c r="F129" s="32" t="s">
        <v>16</v>
      </c>
      <c r="G129" s="32" t="s">
        <v>29</v>
      </c>
      <c r="H129" s="32" t="s">
        <v>17</v>
      </c>
      <c r="I129" s="32" t="s">
        <v>32</v>
      </c>
      <c r="J129" s="32" t="s">
        <v>405</v>
      </c>
      <c r="K129" s="32" t="s">
        <v>442</v>
      </c>
      <c r="L129" s="32" t="s">
        <v>169</v>
      </c>
      <c r="M129" s="32" t="str">
        <f>IF(Table2[[#This Row],[Stage]]="Closed","Closed","Open")</f>
        <v>Closed</v>
      </c>
      <c r="N129" s="32" t="s">
        <v>498</v>
      </c>
      <c r="O129" s="32">
        <f ca="1">SUMIFS(Table3[Days with], Table3[Ref], Table2[[#This Row],[Ref]],Table3[Who With],"Legal")</f>
        <v>134</v>
      </c>
      <c r="P129" s="34">
        <f>SUMIFS(Table3[Total Cycle Time],Table3[Ref],Table2[[#This Row],[Ref]])</f>
        <v>134</v>
      </c>
    </row>
    <row r="130" spans="1:16" hidden="1" x14ac:dyDescent="0.25">
      <c r="A130" s="39" t="str">
        <f>IF(Table2[[#This Row],[Date Received]]="","",_xlfn.CONCAT(Table2[[#This Row],[Counterparty]]," - ",Table2[[#This Row],[Contract Name]]))</f>
        <v>PEAC Ltd - Services Agreement</v>
      </c>
      <c r="B130" s="33">
        <v>44852</v>
      </c>
      <c r="C130" s="32" t="s">
        <v>11</v>
      </c>
      <c r="D130" s="32" t="s">
        <v>336</v>
      </c>
      <c r="E130" s="32" t="s">
        <v>499</v>
      </c>
      <c r="F130" s="32" t="s">
        <v>16</v>
      </c>
      <c r="G130" s="32" t="s">
        <v>29</v>
      </c>
      <c r="H130" s="32" t="s">
        <v>17</v>
      </c>
      <c r="I130" s="32" t="s">
        <v>32</v>
      </c>
      <c r="J130" s="32" t="s">
        <v>323</v>
      </c>
      <c r="K130" s="32" t="s">
        <v>28</v>
      </c>
      <c r="L130" s="32" t="s">
        <v>169</v>
      </c>
      <c r="M130" s="32" t="str">
        <f>IF(Table2[[#This Row],[Stage]]="Closed","Closed","Open")</f>
        <v>Closed</v>
      </c>
      <c r="N130" s="32" t="s">
        <v>500</v>
      </c>
      <c r="O130" s="32">
        <f ca="1">SUMIFS(Table3[Days with], Table3[Ref], Table2[[#This Row],[Ref]],Table3[Who With],"Legal")</f>
        <v>121</v>
      </c>
      <c r="P130" s="34">
        <f>SUMIFS(Table3[Total Cycle Time],Table3[Ref],Table2[[#This Row],[Ref]])</f>
        <v>121</v>
      </c>
    </row>
    <row r="131" spans="1:16" hidden="1" x14ac:dyDescent="0.25">
      <c r="A131" s="39" t="str">
        <f>IF(Table2[[#This Row],[Date Received]]="","",_xlfn.CONCAT(Table2[[#This Row],[Counterparty]]," - ",Table2[[#This Row],[Contract Name]]))</f>
        <v>Pioneer - Supply Agreement</v>
      </c>
      <c r="B131" s="33">
        <v>44852</v>
      </c>
      <c r="C131" s="32" t="s">
        <v>11</v>
      </c>
      <c r="D131" s="32" t="s">
        <v>641</v>
      </c>
      <c r="E131" s="32"/>
      <c r="F131" s="32" t="s">
        <v>12</v>
      </c>
      <c r="G131" s="32" t="s">
        <v>14</v>
      </c>
      <c r="H131" s="32" t="s">
        <v>17</v>
      </c>
      <c r="I131" s="32" t="s">
        <v>46</v>
      </c>
      <c r="J131" s="32" t="s">
        <v>31</v>
      </c>
      <c r="K131" s="32" t="s">
        <v>31</v>
      </c>
      <c r="L131" s="32" t="s">
        <v>169</v>
      </c>
      <c r="M131" s="32" t="str">
        <f>IF(Table2[[#This Row],[Stage]]="Closed","Closed","Open")</f>
        <v>Closed</v>
      </c>
      <c r="N131" s="32" t="s">
        <v>453</v>
      </c>
      <c r="O131" s="32">
        <f ca="1">SUMIFS(Table3[Days with], Table3[Ref], Table2[[#This Row],[Ref]],Table3[Who With],"Legal")</f>
        <v>142</v>
      </c>
      <c r="P131" s="34">
        <f>SUMIFS(Table3[Total Cycle Time],Table3[Ref],Table2[[#This Row],[Ref]])</f>
        <v>142</v>
      </c>
    </row>
    <row r="132" spans="1:16" hidden="1" x14ac:dyDescent="0.25">
      <c r="A132" s="39" t="str">
        <f>IF(Table2[[#This Row],[Date Received]]="","",_xlfn.CONCAT(Table2[[#This Row],[Counterparty]]," - ",Table2[[#This Row],[Contract Name]]))</f>
        <v>TBC - OOH Agreement</v>
      </c>
      <c r="B132" s="33">
        <v>44861</v>
      </c>
      <c r="C132" s="32" t="s">
        <v>11</v>
      </c>
      <c r="D132" s="32" t="s">
        <v>501</v>
      </c>
      <c r="E132" s="32" t="s">
        <v>502</v>
      </c>
      <c r="F132" s="32" t="s">
        <v>16</v>
      </c>
      <c r="G132" s="32" t="s">
        <v>3</v>
      </c>
      <c r="H132" s="32" t="s">
        <v>17</v>
      </c>
      <c r="I132" s="32" t="s">
        <v>276</v>
      </c>
      <c r="J132" s="32" t="s">
        <v>503</v>
      </c>
      <c r="K132" s="32" t="s">
        <v>503</v>
      </c>
      <c r="L132" s="32" t="s">
        <v>169</v>
      </c>
      <c r="M132" s="32" t="str">
        <f>IF(Table2[[#This Row],[Stage]]="Closed","Closed","Open")</f>
        <v>Closed</v>
      </c>
      <c r="N132" s="32" t="s">
        <v>504</v>
      </c>
      <c r="O132" s="32">
        <f ca="1">SUMIFS(Table3[Days with], Table3[Ref], Table2[[#This Row],[Ref]],Table3[Who With],"Legal")</f>
        <v>35</v>
      </c>
      <c r="P132" s="34">
        <f>SUMIFS(Table3[Total Cycle Time],Table3[Ref],Table2[[#This Row],[Ref]])</f>
        <v>35</v>
      </c>
    </row>
    <row r="133" spans="1:16" hidden="1" x14ac:dyDescent="0.25">
      <c r="A133" s="39" t="str">
        <f>IF(Table2[[#This Row],[Date Received]]="","",_xlfn.CONCAT(Table2[[#This Row],[Counterparty]]," - ",Table2[[#This Row],[Contract Name]]))</f>
        <v>Quest Software - Software License and Support Agreement</v>
      </c>
      <c r="B133" s="33">
        <v>44862</v>
      </c>
      <c r="C133" s="32" t="s">
        <v>11</v>
      </c>
      <c r="D133" s="32" t="s">
        <v>388</v>
      </c>
      <c r="E133" s="32"/>
      <c r="F133" s="32" t="s">
        <v>299</v>
      </c>
      <c r="G133" s="32" t="s">
        <v>34</v>
      </c>
      <c r="H133" s="32" t="s">
        <v>17</v>
      </c>
      <c r="I133" s="32" t="s">
        <v>204</v>
      </c>
      <c r="J133" s="32" t="s">
        <v>389</v>
      </c>
      <c r="K133" s="32"/>
      <c r="L133" s="32" t="s">
        <v>169</v>
      </c>
      <c r="M133" s="32" t="str">
        <f>IF(Table2[[#This Row],[Stage]]="Closed","Closed","Open")</f>
        <v>Closed</v>
      </c>
      <c r="N133" s="32" t="s">
        <v>390</v>
      </c>
      <c r="O133" s="32">
        <f ca="1">SUMIFS(Table3[Days with], Table3[Ref], Table2[[#This Row],[Ref]],Table3[Who With],"Legal")</f>
        <v>3</v>
      </c>
      <c r="P133" s="34">
        <f>SUMIFS(Table3[Total Cycle Time],Table3[Ref],Table2[[#This Row],[Ref]])</f>
        <v>3</v>
      </c>
    </row>
    <row r="134" spans="1:16" hidden="1" x14ac:dyDescent="0.25">
      <c r="A134" s="39" t="str">
        <f>IF(Table2[[#This Row],[Date Received]]="","",_xlfn.CONCAT(Table2[[#This Row],[Counterparty]]," - ",Table2[[#This Row],[Contract Name]]))</f>
        <v>Vet Plus - Sponsorship Agreement</v>
      </c>
      <c r="B134" s="33">
        <v>44862</v>
      </c>
      <c r="C134" s="32" t="s">
        <v>11</v>
      </c>
      <c r="D134" s="32" t="s">
        <v>399</v>
      </c>
      <c r="E134" s="32"/>
      <c r="F134" s="32" t="s">
        <v>12</v>
      </c>
      <c r="G134" s="32" t="s">
        <v>289</v>
      </c>
      <c r="H134" s="32" t="s">
        <v>15</v>
      </c>
      <c r="I134" s="32" t="s">
        <v>234</v>
      </c>
      <c r="J134" s="32" t="s">
        <v>400</v>
      </c>
      <c r="K134" s="32" t="s">
        <v>400</v>
      </c>
      <c r="L134" s="32" t="s">
        <v>169</v>
      </c>
      <c r="M134" s="32" t="str">
        <f>IF(Table2[[#This Row],[Stage]]="Closed","Closed","Open")</f>
        <v>Closed</v>
      </c>
      <c r="N134" s="32" t="s">
        <v>401</v>
      </c>
      <c r="O134" s="32">
        <f ca="1">SUMIFS(Table3[Days with], Table3[Ref], Table2[[#This Row],[Ref]],Table3[Who With],"Legal")</f>
        <v>30</v>
      </c>
      <c r="P134" s="34">
        <f>SUMIFS(Table3[Total Cycle Time],Table3[Ref],Table2[[#This Row],[Ref]])</f>
        <v>30</v>
      </c>
    </row>
    <row r="135" spans="1:16" hidden="1" x14ac:dyDescent="0.25">
      <c r="A135" s="39" t="str">
        <f>IF(Table2[[#This Row],[Date Received]]="","",_xlfn.CONCAT(Table2[[#This Row],[Counterparty]]," - ",Table2[[#This Row],[Contract Name]]))</f>
        <v>Dechra - Sponsorship Agreement</v>
      </c>
      <c r="B135" s="33">
        <v>44862</v>
      </c>
      <c r="C135" s="32" t="s">
        <v>11</v>
      </c>
      <c r="D135" s="32" t="s">
        <v>402</v>
      </c>
      <c r="E135" s="32"/>
      <c r="F135" s="32" t="s">
        <v>12</v>
      </c>
      <c r="G135" s="32" t="s">
        <v>289</v>
      </c>
      <c r="H135" s="32" t="s">
        <v>15</v>
      </c>
      <c r="I135" s="32" t="s">
        <v>234</v>
      </c>
      <c r="J135" s="32" t="s">
        <v>400</v>
      </c>
      <c r="K135" s="32" t="s">
        <v>400</v>
      </c>
      <c r="L135" s="32" t="s">
        <v>169</v>
      </c>
      <c r="M135" s="32" t="str">
        <f>IF(Table2[[#This Row],[Stage]]="Closed","Closed","Open")</f>
        <v>Closed</v>
      </c>
      <c r="N135" s="32" t="s">
        <v>401</v>
      </c>
      <c r="O135" s="32">
        <f ca="1">SUMIFS(Table3[Days with], Table3[Ref], Table2[[#This Row],[Ref]],Table3[Who With],"Legal")</f>
        <v>30</v>
      </c>
      <c r="P135" s="34">
        <f>SUMIFS(Table3[Total Cycle Time],Table3[Ref],Table2[[#This Row],[Ref]])</f>
        <v>30</v>
      </c>
    </row>
    <row r="136" spans="1:16" hidden="1" x14ac:dyDescent="0.25">
      <c r="A136" s="39" t="str">
        <f>IF(Table2[[#This Row],[Date Received]]="","",_xlfn.CONCAT(Table2[[#This Row],[Counterparty]]," - ",Table2[[#This Row],[Contract Name]]))</f>
        <v>Vidivet - Services Agreement</v>
      </c>
      <c r="B136" s="33">
        <v>44862</v>
      </c>
      <c r="C136" s="32" t="s">
        <v>11</v>
      </c>
      <c r="D136" s="32" t="s">
        <v>410</v>
      </c>
      <c r="E136" s="32"/>
      <c r="F136" s="32" t="s">
        <v>12</v>
      </c>
      <c r="G136" s="32" t="s">
        <v>36</v>
      </c>
      <c r="H136" s="32" t="s">
        <v>17</v>
      </c>
      <c r="I136" s="32" t="s">
        <v>32</v>
      </c>
      <c r="J136" s="32" t="s">
        <v>47</v>
      </c>
      <c r="K136" s="32" t="s">
        <v>411</v>
      </c>
      <c r="L136" s="32" t="s">
        <v>169</v>
      </c>
      <c r="M136" s="32" t="str">
        <f>IF(Table2[[#This Row],[Stage]]="Closed","Closed","Open")</f>
        <v>Closed</v>
      </c>
      <c r="N136" s="32" t="s">
        <v>412</v>
      </c>
      <c r="O136" s="32">
        <f ca="1">SUMIFS(Table3[Days with], Table3[Ref], Table2[[#This Row],[Ref]],Table3[Who With],"Legal")</f>
        <v>49</v>
      </c>
      <c r="P136" s="34">
        <f>SUMIFS(Table3[Total Cycle Time],Table3[Ref],Table2[[#This Row],[Ref]])</f>
        <v>49</v>
      </c>
    </row>
    <row r="137" spans="1:16" hidden="1" x14ac:dyDescent="0.25">
      <c r="A137" s="39" t="str">
        <f>IF(Table2[[#This Row],[Date Received]]="","",_xlfn.CONCAT(Table2[[#This Row],[Counterparty]]," - ",Table2[[#This Row],[Contract Name]]))</f>
        <v>Animalcare/Ecuphar  - Supply Agreement</v>
      </c>
      <c r="B137" s="33">
        <v>44862</v>
      </c>
      <c r="C137" s="32" t="s">
        <v>11</v>
      </c>
      <c r="D137" s="32" t="s">
        <v>643</v>
      </c>
      <c r="E137" s="32"/>
      <c r="F137" s="32" t="s">
        <v>12</v>
      </c>
      <c r="G137" s="32" t="s">
        <v>14</v>
      </c>
      <c r="H137" s="32" t="s">
        <v>17</v>
      </c>
      <c r="I137" s="32" t="s">
        <v>46</v>
      </c>
      <c r="J137" s="32" t="s">
        <v>31</v>
      </c>
      <c r="K137" s="32" t="s">
        <v>408</v>
      </c>
      <c r="L137" s="32" t="s">
        <v>169</v>
      </c>
      <c r="M137" s="32" t="str">
        <f>IF(Table2[[#This Row],[Stage]]="Closed","Closed","Open")</f>
        <v>Closed</v>
      </c>
      <c r="N137" s="32" t="s">
        <v>639</v>
      </c>
      <c r="O137" s="32">
        <f ca="1">SUMIFS(Table3[Days with], Table3[Ref], Table2[[#This Row],[Ref]],Table3[Who With],"Legal")</f>
        <v>133</v>
      </c>
      <c r="P137" s="34">
        <f>SUMIFS(Table3[Total Cycle Time],Table3[Ref],Table2[[#This Row],[Ref]])</f>
        <v>133</v>
      </c>
    </row>
    <row r="138" spans="1:16" hidden="1" x14ac:dyDescent="0.25">
      <c r="A138" s="39" t="str">
        <f>IF(Table2[[#This Row],[Date Received]]="","",_xlfn.CONCAT(Table2[[#This Row],[Counterparty]]," - ",Table2[[#This Row],[Contract Name]]))</f>
        <v>BDO - Services Agreement</v>
      </c>
      <c r="B138" s="33">
        <v>44868</v>
      </c>
      <c r="C138" s="32" t="s">
        <v>11</v>
      </c>
      <c r="D138" s="32" t="s">
        <v>440</v>
      </c>
      <c r="E138" s="32"/>
      <c r="F138" s="32" t="s">
        <v>12</v>
      </c>
      <c r="G138" s="32" t="s">
        <v>27</v>
      </c>
      <c r="H138" s="32" t="s">
        <v>17</v>
      </c>
      <c r="I138" s="32" t="s">
        <v>32</v>
      </c>
      <c r="J138" s="32" t="s">
        <v>394</v>
      </c>
      <c r="K138" s="32" t="s">
        <v>394</v>
      </c>
      <c r="L138" s="32" t="s">
        <v>169</v>
      </c>
      <c r="M138" s="32" t="str">
        <f>IF(Table2[[#This Row],[Stage]]="Closed","Closed","Open")</f>
        <v>Closed</v>
      </c>
      <c r="N138" s="32"/>
      <c r="O138" s="32">
        <f ca="1">SUMIFS(Table3[Days with], Table3[Ref], Table2[[#This Row],[Ref]],Table3[Who With],"Legal")</f>
        <v>46</v>
      </c>
      <c r="P138" s="34">
        <f>SUMIFS(Table3[Total Cycle Time],Table3[Ref],Table2[[#This Row],[Ref]])</f>
        <v>46</v>
      </c>
    </row>
    <row r="139" spans="1:16" hidden="1" x14ac:dyDescent="0.25">
      <c r="A139" s="39" t="str">
        <f>IF(Table2[[#This Row],[Date Received]]="","",_xlfn.CONCAT(Table2[[#This Row],[Counterparty]]," - ",Table2[[#This Row],[Contract Name]]))</f>
        <v>TBC - Southport Vet clinic - OOH Agreement</v>
      </c>
      <c r="B139" s="33">
        <v>44874</v>
      </c>
      <c r="C139" s="32" t="s">
        <v>11</v>
      </c>
      <c r="D139" s="32" t="s">
        <v>505</v>
      </c>
      <c r="E139" s="32" t="s">
        <v>506</v>
      </c>
      <c r="F139" s="32" t="s">
        <v>16</v>
      </c>
      <c r="G139" s="32" t="s">
        <v>3</v>
      </c>
      <c r="H139" s="32" t="s">
        <v>17</v>
      </c>
      <c r="I139" s="32" t="s">
        <v>276</v>
      </c>
      <c r="J139" s="32" t="s">
        <v>507</v>
      </c>
      <c r="K139" s="32" t="s">
        <v>507</v>
      </c>
      <c r="L139" s="32" t="s">
        <v>169</v>
      </c>
      <c r="M139" s="32" t="str">
        <f>IF(Table2[[#This Row],[Stage]]="Closed","Closed","Open")</f>
        <v>Closed</v>
      </c>
      <c r="N139" s="32" t="s">
        <v>508</v>
      </c>
      <c r="O139" s="32">
        <f ca="1">SUMIFS(Table3[Days with], Table3[Ref], Table2[[#This Row],[Ref]],Table3[Who With],"Legal")</f>
        <v>44</v>
      </c>
      <c r="P139" s="34">
        <f>SUMIFS(Table3[Total Cycle Time],Table3[Ref],Table2[[#This Row],[Ref]])</f>
        <v>44</v>
      </c>
    </row>
    <row r="140" spans="1:16" hidden="1" x14ac:dyDescent="0.25">
      <c r="A140" s="39" t="str">
        <f>IF(Table2[[#This Row],[Date Received]]="","",_xlfn.CONCAT(Table2[[#This Row],[Counterparty]]," - ",Table2[[#This Row],[Contract Name]]))</f>
        <v>VVS - Services Agreement</v>
      </c>
      <c r="B140" s="33">
        <v>44881</v>
      </c>
      <c r="C140" s="32" t="s">
        <v>11</v>
      </c>
      <c r="D140" s="32" t="s">
        <v>415</v>
      </c>
      <c r="E140" s="32"/>
      <c r="F140" s="32" t="s">
        <v>12</v>
      </c>
      <c r="G140" s="32" t="s">
        <v>34</v>
      </c>
      <c r="H140" s="32" t="s">
        <v>17</v>
      </c>
      <c r="I140" s="32" t="s">
        <v>32</v>
      </c>
      <c r="J140" s="32" t="s">
        <v>35</v>
      </c>
      <c r="K140" s="32" t="s">
        <v>12</v>
      </c>
      <c r="L140" s="32" t="s">
        <v>169</v>
      </c>
      <c r="M140" s="32" t="str">
        <f>IF(Table2[[#This Row],[Stage]]="Closed","Closed","Open")</f>
        <v>Closed</v>
      </c>
      <c r="N140" s="32" t="s">
        <v>416</v>
      </c>
      <c r="O140" s="32">
        <f ca="1">SUMIFS(Table3[Days with], Table3[Ref], Table2[[#This Row],[Ref]],Table3[Who With],"Legal")</f>
        <v>30</v>
      </c>
      <c r="P140" s="34">
        <f>SUMIFS(Table3[Total Cycle Time],Table3[Ref],Table2[[#This Row],[Ref]])</f>
        <v>30</v>
      </c>
    </row>
    <row r="141" spans="1:16" hidden="1" x14ac:dyDescent="0.25">
      <c r="A141" s="39" t="str">
        <f>IF(Table2[[#This Row],[Date Received]]="","",_xlfn.CONCAT(Table2[[#This Row],[Counterparty]]," - ",Table2[[#This Row],[Contract Name]]))</f>
        <v>redcentric - Services Agreement</v>
      </c>
      <c r="B141" s="33">
        <v>44881</v>
      </c>
      <c r="C141" s="32" t="s">
        <v>11</v>
      </c>
      <c r="D141" s="32" t="s">
        <v>413</v>
      </c>
      <c r="E141" s="32"/>
      <c r="F141" s="32" t="s">
        <v>12</v>
      </c>
      <c r="G141" s="32" t="s">
        <v>14</v>
      </c>
      <c r="H141" s="32" t="s">
        <v>17</v>
      </c>
      <c r="I141" s="32" t="s">
        <v>32</v>
      </c>
      <c r="J141" s="32" t="s">
        <v>414</v>
      </c>
      <c r="K141" s="32" t="s">
        <v>12</v>
      </c>
      <c r="L141" s="32" t="s">
        <v>169</v>
      </c>
      <c r="M141" s="32" t="str">
        <f>IF(Table2[[#This Row],[Stage]]="Closed","Closed","Open")</f>
        <v>Closed</v>
      </c>
      <c r="N141" s="32" t="s">
        <v>412</v>
      </c>
      <c r="O141" s="32">
        <f ca="1">SUMIFS(Table3[Days with], Table3[Ref], Table2[[#This Row],[Ref]],Table3[Who With],"Legal")</f>
        <v>30</v>
      </c>
      <c r="P141" s="34">
        <f>SUMIFS(Table3[Total Cycle Time],Table3[Ref],Table2[[#This Row],[Ref]])</f>
        <v>30</v>
      </c>
    </row>
    <row r="142" spans="1:16" hidden="1" x14ac:dyDescent="0.25">
      <c r="A142" s="39" t="str">
        <f>IF(Table2[[#This Row],[Date Received]]="","",_xlfn.CONCAT(Table2[[#This Row],[Counterparty]]," - ",Table2[[#This Row],[Contract Name]]))</f>
        <v>Maysor LLP - Lease</v>
      </c>
      <c r="B142" s="33">
        <v>44882</v>
      </c>
      <c r="C142" s="32" t="s">
        <v>11</v>
      </c>
      <c r="D142" s="32" t="s">
        <v>484</v>
      </c>
      <c r="E142" s="32" t="s">
        <v>485</v>
      </c>
      <c r="F142" s="32" t="s">
        <v>12</v>
      </c>
      <c r="G142" s="32" t="s">
        <v>455</v>
      </c>
      <c r="H142" s="32"/>
      <c r="I142" s="32" t="s">
        <v>486</v>
      </c>
      <c r="J142" s="32" t="s">
        <v>487</v>
      </c>
      <c r="K142" s="32" t="s">
        <v>456</v>
      </c>
      <c r="L142" s="32" t="s">
        <v>169</v>
      </c>
      <c r="M142" s="32" t="str">
        <f>IF(Table2[[#This Row],[Stage]]="Closed","Closed","Open")</f>
        <v>Closed</v>
      </c>
      <c r="N142" s="32" t="s">
        <v>488</v>
      </c>
      <c r="O142" s="32">
        <f ca="1">SUMIFS(Table3[Days with], Table3[Ref], Table2[[#This Row],[Ref]],Table3[Who With],"Legal")</f>
        <v>57</v>
      </c>
      <c r="P142" s="34">
        <f>SUMIFS(Table3[Total Cycle Time],Table3[Ref],Table2[[#This Row],[Ref]])</f>
        <v>57</v>
      </c>
    </row>
    <row r="143" spans="1:16" hidden="1" x14ac:dyDescent="0.25">
      <c r="A143" s="39" t="str">
        <f>IF(Table2[[#This Row],[Date Received]]="","",_xlfn.CONCAT(Table2[[#This Row],[Counterparty]]," - ",Table2[[#This Row],[Contract Name]]))</f>
        <v>PVA - Service Level Agreement</v>
      </c>
      <c r="B143" s="33">
        <v>44882</v>
      </c>
      <c r="C143" s="32" t="s">
        <v>11</v>
      </c>
      <c r="D143" s="32" t="s">
        <v>97</v>
      </c>
      <c r="E143" s="32"/>
      <c r="F143" s="32" t="s">
        <v>12</v>
      </c>
      <c r="G143" s="32" t="s">
        <v>34</v>
      </c>
      <c r="H143" s="32" t="s">
        <v>17</v>
      </c>
      <c r="I143" s="32" t="s">
        <v>98</v>
      </c>
      <c r="J143" s="32" t="s">
        <v>47</v>
      </c>
      <c r="K143" s="32" t="s">
        <v>24</v>
      </c>
      <c r="L143" s="32"/>
      <c r="M143" s="32" t="str">
        <f>IF(Table2[[#This Row],[Stage]]="Closed","Closed","Open")</f>
        <v>Open</v>
      </c>
      <c r="N143" s="32" t="s">
        <v>99</v>
      </c>
      <c r="O143" s="32">
        <f>SUMIFS(Table3[Days with], Table3[Ref], Table2[[#This Row],[Ref]],Table3[Who With],"Legal")</f>
        <v>0</v>
      </c>
      <c r="P143" s="34">
        <f>SUMIFS(Table3[Total Cycle Time],Table3[Ref],Table2[[#This Row],[Ref]])</f>
        <v>0</v>
      </c>
    </row>
    <row r="144" spans="1:16" hidden="1" x14ac:dyDescent="0.25">
      <c r="A144" s="39" t="str">
        <f>IF(Table2[[#This Row],[Date Received]]="","",_xlfn.CONCAT(Table2[[#This Row],[Counterparty]]," - ",Table2[[#This Row],[Contract Name]]))</f>
        <v>Alphatax - Software License and Support Agreement</v>
      </c>
      <c r="B144" s="33">
        <v>44887</v>
      </c>
      <c r="C144" s="32" t="s">
        <v>11</v>
      </c>
      <c r="D144" s="32" t="s">
        <v>417</v>
      </c>
      <c r="E144" s="32"/>
      <c r="F144" s="32" t="s">
        <v>12</v>
      </c>
      <c r="G144" s="32" t="s">
        <v>418</v>
      </c>
      <c r="H144" s="32" t="s">
        <v>17</v>
      </c>
      <c r="I144" s="32" t="s">
        <v>204</v>
      </c>
      <c r="J144" s="32" t="s">
        <v>394</v>
      </c>
      <c r="K144" s="32" t="s">
        <v>12</v>
      </c>
      <c r="L144" s="32" t="s">
        <v>169</v>
      </c>
      <c r="M144" s="32" t="str">
        <f>IF(Table2[[#This Row],[Stage]]="Closed","Closed","Open")</f>
        <v>Closed</v>
      </c>
      <c r="N144" s="32" t="s">
        <v>412</v>
      </c>
      <c r="O144" s="32">
        <f ca="1">SUMIFS(Table3[Days with], Table3[Ref], Table2[[#This Row],[Ref]],Table3[Who With],"Legal")</f>
        <v>24</v>
      </c>
      <c r="P144" s="34">
        <f>SUMIFS(Table3[Total Cycle Time],Table3[Ref],Table2[[#This Row],[Ref]])</f>
        <v>24</v>
      </c>
    </row>
    <row r="145" spans="1:16" hidden="1" x14ac:dyDescent="0.25">
      <c r="A145" s="39" t="str">
        <f>IF(Table2[[#This Row],[Date Received]]="","",_xlfn.CONCAT(Table2[[#This Row],[Counterparty]]," - ",Table2[[#This Row],[Contract Name]]))</f>
        <v>Chris Hunter - NDA Agreement</v>
      </c>
      <c r="B145" s="33">
        <v>44887</v>
      </c>
      <c r="C145" s="32" t="s">
        <v>510</v>
      </c>
      <c r="D145" s="32" t="s">
        <v>509</v>
      </c>
      <c r="E145" s="32" t="s">
        <v>13</v>
      </c>
      <c r="F145" s="32" t="s">
        <v>16</v>
      </c>
      <c r="G145" s="32" t="s">
        <v>510</v>
      </c>
      <c r="H145" s="32" t="s">
        <v>17</v>
      </c>
      <c r="I145" s="32" t="s">
        <v>511</v>
      </c>
      <c r="J145" s="32" t="s">
        <v>512</v>
      </c>
      <c r="K145" s="32" t="s">
        <v>442</v>
      </c>
      <c r="L145" s="32" t="s">
        <v>169</v>
      </c>
      <c r="M145" s="32" t="str">
        <f>IF(Table2[[#This Row],[Stage]]="Closed","Closed","Open")</f>
        <v>Closed</v>
      </c>
      <c r="N145" s="32"/>
      <c r="O145" s="32">
        <f ca="1">SUMIFS(Table3[Days with], Table3[Ref], Table2[[#This Row],[Ref]],Table3[Who With],"Legal")</f>
        <v>22</v>
      </c>
      <c r="P145" s="34">
        <f>SUMIFS(Table3[Total Cycle Time],Table3[Ref],Table2[[#This Row],[Ref]])</f>
        <v>22</v>
      </c>
    </row>
    <row r="146" spans="1:16" hidden="1" x14ac:dyDescent="0.25">
      <c r="A146" s="39" t="str">
        <f>IF(Table2[[#This Row],[Date Received]]="","",_xlfn.CONCAT(Table2[[#This Row],[Counterparty]]," - ",Table2[[#This Row],[Contract Name]]))</f>
        <v>8Advisory - Engagement Letter</v>
      </c>
      <c r="B146" s="33">
        <v>44888</v>
      </c>
      <c r="C146" s="32" t="s">
        <v>11</v>
      </c>
      <c r="D146" s="32" t="s">
        <v>444</v>
      </c>
      <c r="E146" s="32"/>
      <c r="F146" s="32" t="s">
        <v>12</v>
      </c>
      <c r="G146" s="32" t="s">
        <v>27</v>
      </c>
      <c r="H146" s="32" t="s">
        <v>17</v>
      </c>
      <c r="I146" s="32" t="s">
        <v>198</v>
      </c>
      <c r="J146" s="32" t="s">
        <v>445</v>
      </c>
      <c r="K146" s="32" t="s">
        <v>442</v>
      </c>
      <c r="L146" s="32" t="s">
        <v>169</v>
      </c>
      <c r="M146" s="32" t="str">
        <f>IF(Table2[[#This Row],[Stage]]="Closed","Closed","Open")</f>
        <v>Closed</v>
      </c>
      <c r="N146" s="32" t="s">
        <v>446</v>
      </c>
      <c r="O146" s="32">
        <f ca="1">SUMIFS(Table3[Days with], Table3[Ref], Table2[[#This Row],[Ref]],Table3[Who With],"Legal")</f>
        <v>30</v>
      </c>
      <c r="P146" s="34">
        <f>SUMIFS(Table3[Total Cycle Time],Table3[Ref],Table2[[#This Row],[Ref]])</f>
        <v>30</v>
      </c>
    </row>
    <row r="147" spans="1:16" hidden="1" x14ac:dyDescent="0.25">
      <c r="A147" s="39" t="str">
        <f>IF(Table2[[#This Row],[Date Received]]="","",_xlfn.CONCAT(Table2[[#This Row],[Counterparty]]," - ",Table2[[#This Row],[Contract Name]]))</f>
        <v>MSD  - Supply Agreement</v>
      </c>
      <c r="B147" s="33">
        <v>44888</v>
      </c>
      <c r="C147" s="32" t="s">
        <v>11</v>
      </c>
      <c r="D147" s="32" t="s">
        <v>298</v>
      </c>
      <c r="E147" s="32"/>
      <c r="F147" s="32" t="s">
        <v>12</v>
      </c>
      <c r="G147" s="32" t="s">
        <v>14</v>
      </c>
      <c r="H147" s="32" t="s">
        <v>17</v>
      </c>
      <c r="I147" s="32" t="s">
        <v>46</v>
      </c>
      <c r="J147" s="32" t="s">
        <v>31</v>
      </c>
      <c r="K147" s="32" t="s">
        <v>12</v>
      </c>
      <c r="L147" s="32" t="s">
        <v>169</v>
      </c>
      <c r="M147" s="32" t="str">
        <f>IF(Table2[[#This Row],[Stage]]="Closed","Closed","Open")</f>
        <v>Closed</v>
      </c>
      <c r="N147" s="32" t="s">
        <v>453</v>
      </c>
      <c r="O147" s="32">
        <f ca="1">SUMIFS(Table3[Days with], Table3[Ref], Table2[[#This Row],[Ref]],Table3[Who With],"Legal")</f>
        <v>45</v>
      </c>
      <c r="P147" s="34">
        <f>SUMIFS(Table3[Total Cycle Time],Table3[Ref],Table2[[#This Row],[Ref]])</f>
        <v>45</v>
      </c>
    </row>
    <row r="148" spans="1:16" hidden="1" x14ac:dyDescent="0.25">
      <c r="A148" s="39" t="str">
        <f>IF(Table2[[#This Row],[Date Received]]="","",_xlfn.CONCAT(Table2[[#This Row],[Counterparty]]," - ",Table2[[#This Row],[Contract Name]]))</f>
        <v>Dechra Veterinary Products Limited - Rebate Agreement</v>
      </c>
      <c r="B148" s="33">
        <v>44888</v>
      </c>
      <c r="C148" s="32" t="s">
        <v>11</v>
      </c>
      <c r="D148" s="32" t="s">
        <v>513</v>
      </c>
      <c r="E148" s="32"/>
      <c r="F148" s="32" t="s">
        <v>12</v>
      </c>
      <c r="G148" s="32" t="s">
        <v>14</v>
      </c>
      <c r="H148" s="32" t="s">
        <v>17</v>
      </c>
      <c r="I148" s="32" t="s">
        <v>48</v>
      </c>
      <c r="J148" s="32" t="s">
        <v>31</v>
      </c>
      <c r="K148" s="32" t="s">
        <v>12</v>
      </c>
      <c r="L148" s="32" t="s">
        <v>169</v>
      </c>
      <c r="M148" s="32" t="str">
        <f>IF(Table2[[#This Row],[Stage]]="Closed","Closed","Open")</f>
        <v>Closed</v>
      </c>
      <c r="N148" s="32" t="s">
        <v>514</v>
      </c>
      <c r="O148" s="32">
        <f ca="1">SUMIFS(Table3[Days with], Table3[Ref], Table2[[#This Row],[Ref]],Table3[Who With],"Legal")</f>
        <v>58</v>
      </c>
      <c r="P148" s="34">
        <f>SUMIFS(Table3[Total Cycle Time],Table3[Ref],Table2[[#This Row],[Ref]])</f>
        <v>58</v>
      </c>
    </row>
    <row r="149" spans="1:16" hidden="1" x14ac:dyDescent="0.25">
      <c r="A149" s="39" t="str">
        <f>IF(Table2[[#This Row],[Date Received]]="","",_xlfn.CONCAT(Table2[[#This Row],[Counterparty]]," - ",Table2[[#This Row],[Contract Name]]))</f>
        <v>Simon Jersey - Services Agreement</v>
      </c>
      <c r="B149" s="33">
        <v>44889</v>
      </c>
      <c r="C149" s="32" t="s">
        <v>11</v>
      </c>
      <c r="D149" s="32" t="s">
        <v>281</v>
      </c>
      <c r="E149" s="32"/>
      <c r="F149" s="32" t="s">
        <v>12</v>
      </c>
      <c r="G149" s="32" t="s">
        <v>14</v>
      </c>
      <c r="H149" s="32" t="s">
        <v>17</v>
      </c>
      <c r="I149" s="32" t="s">
        <v>32</v>
      </c>
      <c r="J149" s="32" t="s">
        <v>414</v>
      </c>
      <c r="K149" s="32" t="s">
        <v>348</v>
      </c>
      <c r="L149" s="32" t="s">
        <v>169</v>
      </c>
      <c r="M149" s="32" t="str">
        <f>IF(Table2[[#This Row],[Stage]]="Closed","Closed","Open")</f>
        <v>Closed</v>
      </c>
      <c r="N149" s="32" t="s">
        <v>412</v>
      </c>
      <c r="O149" s="32">
        <f ca="1">SUMIFS(Table3[Days with], Table3[Ref], Table2[[#This Row],[Ref]],Table3[Who With],"Legal")</f>
        <v>30</v>
      </c>
      <c r="P149" s="34">
        <f>SUMIFS(Table3[Total Cycle Time],Table3[Ref],Table2[[#This Row],[Ref]])</f>
        <v>30</v>
      </c>
    </row>
    <row r="150" spans="1:16" hidden="1" x14ac:dyDescent="0.25">
      <c r="A150" s="39" t="str">
        <f>IF(Table2[[#This Row],[Date Received]]="","",_xlfn.CONCAT(Table2[[#This Row],[Counterparty]]," - ",Table2[[#This Row],[Contract Name]]))</f>
        <v>Viking - Supply Agreement</v>
      </c>
      <c r="B150" s="33">
        <v>44889</v>
      </c>
      <c r="C150" s="32" t="s">
        <v>11</v>
      </c>
      <c r="D150" s="32" t="s">
        <v>447</v>
      </c>
      <c r="E150" s="32"/>
      <c r="F150" s="32" t="s">
        <v>12</v>
      </c>
      <c r="G150" s="32" t="s">
        <v>14</v>
      </c>
      <c r="H150" s="32" t="s">
        <v>17</v>
      </c>
      <c r="I150" s="32" t="s">
        <v>46</v>
      </c>
      <c r="J150" s="32" t="s">
        <v>414</v>
      </c>
      <c r="K150" s="32" t="s">
        <v>12</v>
      </c>
      <c r="L150" s="32" t="s">
        <v>169</v>
      </c>
      <c r="M150" s="32" t="str">
        <f>IF(Table2[[#This Row],[Stage]]="Closed","Closed","Open")</f>
        <v>Closed</v>
      </c>
      <c r="N150" s="32" t="s">
        <v>412</v>
      </c>
      <c r="O150" s="32">
        <f ca="1">SUMIFS(Table3[Days with], Table3[Ref], Table2[[#This Row],[Ref]],Table3[Who With],"Legal")</f>
        <v>30</v>
      </c>
      <c r="P150" s="34">
        <f>SUMIFS(Table3[Total Cycle Time],Table3[Ref],Table2[[#This Row],[Ref]])</f>
        <v>30</v>
      </c>
    </row>
    <row r="151" spans="1:16" hidden="1" x14ac:dyDescent="0.25">
      <c r="A151" s="39" t="str">
        <f>IF(Table2[[#This Row],[Date Received]]="","",_xlfn.CONCAT(Table2[[#This Row],[Counterparty]]," - ",Table2[[#This Row],[Contract Name]]))</f>
        <v>Companion Care (Bicester) Limited - OOH Agreement</v>
      </c>
      <c r="B151" s="33">
        <v>44889</v>
      </c>
      <c r="C151" s="32" t="s">
        <v>11</v>
      </c>
      <c r="D151" s="32" t="s">
        <v>448</v>
      </c>
      <c r="E151" s="32" t="s">
        <v>449</v>
      </c>
      <c r="F151" s="32" t="s">
        <v>12</v>
      </c>
      <c r="G151" s="32" t="s">
        <v>29</v>
      </c>
      <c r="H151" s="32" t="s">
        <v>17</v>
      </c>
      <c r="I151" s="32" t="s">
        <v>276</v>
      </c>
      <c r="J151" s="32" t="s">
        <v>51</v>
      </c>
      <c r="K151" s="32" t="s">
        <v>12</v>
      </c>
      <c r="L151" s="32" t="s">
        <v>169</v>
      </c>
      <c r="M151" s="32" t="str">
        <f>IF(Table2[[#This Row],[Stage]]="Closed","Closed","Open")</f>
        <v>Closed</v>
      </c>
      <c r="N151" s="32" t="s">
        <v>412</v>
      </c>
      <c r="O151" s="32">
        <f ca="1">SUMIFS(Table3[Days with], Table3[Ref], Table2[[#This Row],[Ref]],Table3[Who With],"Legal")</f>
        <v>30</v>
      </c>
      <c r="P151" s="34">
        <f>SUMIFS(Table3[Total Cycle Time],Table3[Ref],Table2[[#This Row],[Ref]])</f>
        <v>30</v>
      </c>
    </row>
    <row r="152" spans="1:16" hidden="1" x14ac:dyDescent="0.25">
      <c r="A152" s="39" t="str">
        <f>IF(Table2[[#This Row],[Date Received]]="","",_xlfn.CONCAT(Table2[[#This Row],[Counterparty]]," - ",Table2[[#This Row],[Contract Name]]))</f>
        <v xml:space="preserve"> - Sale and purchase of Partnership share</v>
      </c>
      <c r="B152" s="33">
        <v>44889</v>
      </c>
      <c r="C152" s="32" t="s">
        <v>11</v>
      </c>
      <c r="D152" s="32"/>
      <c r="E152" s="32" t="s">
        <v>450</v>
      </c>
      <c r="F152" s="32" t="s">
        <v>12</v>
      </c>
      <c r="G152" s="32" t="s">
        <v>3</v>
      </c>
      <c r="H152" s="32" t="s">
        <v>425</v>
      </c>
      <c r="I152" s="32" t="s">
        <v>451</v>
      </c>
      <c r="J152" s="32" t="s">
        <v>452</v>
      </c>
      <c r="K152" s="32" t="s">
        <v>12</v>
      </c>
      <c r="L152" s="32" t="s">
        <v>169</v>
      </c>
      <c r="M152" s="32" t="str">
        <f>IF(Table2[[#This Row],[Stage]]="Closed","Closed","Open")</f>
        <v>Closed</v>
      </c>
      <c r="N152" s="32" t="s">
        <v>453</v>
      </c>
      <c r="O152" s="32">
        <f ca="1">SUMIFS(Table3[Days with], Table3[Ref], Table2[[#This Row],[Ref]],Table3[Who With],"Legal")</f>
        <v>30</v>
      </c>
      <c r="P152" s="34">
        <f>SUMIFS(Table3[Total Cycle Time],Table3[Ref],Table2[[#This Row],[Ref]])</f>
        <v>30</v>
      </c>
    </row>
    <row r="153" spans="1:16" hidden="1" x14ac:dyDescent="0.25">
      <c r="A153" s="39" t="str">
        <f>IF(Table2[[#This Row],[Date Received]]="","",_xlfn.CONCAT(Table2[[#This Row],[Counterparty]]," - ",Table2[[#This Row],[Contract Name]]))</f>
        <v>MSD  - Sponsorship Agreement</v>
      </c>
      <c r="B153" s="33">
        <v>44889</v>
      </c>
      <c r="C153" s="32" t="s">
        <v>11</v>
      </c>
      <c r="D153" s="32" t="s">
        <v>298</v>
      </c>
      <c r="E153" s="32"/>
      <c r="F153" s="32" t="s">
        <v>12</v>
      </c>
      <c r="G153" s="32" t="s">
        <v>14</v>
      </c>
      <c r="H153" s="32" t="s">
        <v>15</v>
      </c>
      <c r="I153" s="32" t="s">
        <v>234</v>
      </c>
      <c r="J153" s="32" t="s">
        <v>290</v>
      </c>
      <c r="K153" s="32" t="s">
        <v>12</v>
      </c>
      <c r="L153" s="32" t="s">
        <v>169</v>
      </c>
      <c r="M153" s="32" t="str">
        <f>IF(Table2[[#This Row],[Stage]]="Closed","Closed","Open")</f>
        <v>Closed</v>
      </c>
      <c r="N153" s="32" t="s">
        <v>453</v>
      </c>
      <c r="O153" s="32">
        <f ca="1">SUMIFS(Table3[Days with], Table3[Ref], Table2[[#This Row],[Ref]],Table3[Who With],"Legal")</f>
        <v>92</v>
      </c>
      <c r="P153" s="34">
        <f>SUMIFS(Table3[Total Cycle Time],Table3[Ref],Table2[[#This Row],[Ref]])</f>
        <v>92</v>
      </c>
    </row>
    <row r="154" spans="1:16" hidden="1" x14ac:dyDescent="0.25">
      <c r="A154" s="39" t="str">
        <f>IF(Table2[[#This Row],[Date Received]]="","",_xlfn.CONCAT(Table2[[#This Row],[Counterparty]]," - ",Table2[[#This Row],[Contract Name]]))</f>
        <v>Schouwstra - BPA</v>
      </c>
      <c r="B154" s="33">
        <v>44889</v>
      </c>
      <c r="C154" s="32" t="s">
        <v>11</v>
      </c>
      <c r="D154" s="32" t="s">
        <v>721</v>
      </c>
      <c r="E154" s="32"/>
      <c r="F154" s="32" t="s">
        <v>20</v>
      </c>
      <c r="G154" s="32" t="s">
        <v>3</v>
      </c>
      <c r="H154" s="32" t="s">
        <v>425</v>
      </c>
      <c r="I154" s="32" t="s">
        <v>435</v>
      </c>
      <c r="J154" s="32" t="s">
        <v>722</v>
      </c>
      <c r="K154" s="32" t="s">
        <v>12</v>
      </c>
      <c r="L154" s="32" t="s">
        <v>169</v>
      </c>
      <c r="M154" s="32" t="str">
        <f>IF(Table2[[#This Row],[Stage]]="Closed","Closed","Open")</f>
        <v>Closed</v>
      </c>
      <c r="N154" s="32" t="s">
        <v>723</v>
      </c>
      <c r="O154" s="32">
        <f ca="1">SUMIFS(Table3[Days with], Table3[Ref], Table2[[#This Row],[Ref]],Table3[Who With],"Legal")</f>
        <v>190</v>
      </c>
      <c r="P154" s="34">
        <f>SUMIFS(Table3[Total Cycle Time],Table3[Ref],Table2[[#This Row],[Ref]])</f>
        <v>190</v>
      </c>
    </row>
    <row r="155" spans="1:16" hidden="1" x14ac:dyDescent="0.25">
      <c r="A155" s="39" t="str">
        <f>IF(Table2[[#This Row],[Date Received]]="","",_xlfn.CONCAT(Table2[[#This Row],[Counterparty]]," - ",Table2[[#This Row],[Contract Name]]))</f>
        <v>Animalcare - Sponsorship Agreement</v>
      </c>
      <c r="B155" s="33">
        <v>44890</v>
      </c>
      <c r="C155" s="32" t="s">
        <v>11</v>
      </c>
      <c r="D155" s="32" t="s">
        <v>50</v>
      </c>
      <c r="E155" s="32"/>
      <c r="F155" s="32" t="s">
        <v>12</v>
      </c>
      <c r="G155" s="32" t="s">
        <v>289</v>
      </c>
      <c r="H155" s="32" t="s">
        <v>15</v>
      </c>
      <c r="I155" s="32" t="s">
        <v>234</v>
      </c>
      <c r="J155" s="32" t="s">
        <v>400</v>
      </c>
      <c r="K155" s="32" t="s">
        <v>12</v>
      </c>
      <c r="L155" s="32" t="s">
        <v>169</v>
      </c>
      <c r="M155" s="32" t="str">
        <f>IF(Table2[[#This Row],[Stage]]="Closed","Closed","Open")</f>
        <v>Closed</v>
      </c>
      <c r="N155" s="32" t="s">
        <v>441</v>
      </c>
      <c r="O155" s="32">
        <f ca="1">SUMIFS(Table3[Days with], Table3[Ref], Table2[[#This Row],[Ref]],Table3[Who With],"Legal")</f>
        <v>24</v>
      </c>
      <c r="P155" s="34">
        <f>SUMIFS(Table3[Total Cycle Time],Table3[Ref],Table2[[#This Row],[Ref]])</f>
        <v>24</v>
      </c>
    </row>
    <row r="156" spans="1:16" hidden="1" x14ac:dyDescent="0.25">
      <c r="A156" s="39" t="str">
        <f>IF(Table2[[#This Row],[Date Received]]="","",_xlfn.CONCAT(Table2[[#This Row],[Counterparty]]," - ",Table2[[#This Row],[Contract Name]]))</f>
        <v>Contingency Recovery Associates Limited - Services Agreement</v>
      </c>
      <c r="B156" s="33">
        <v>44890</v>
      </c>
      <c r="C156" s="32" t="s">
        <v>11</v>
      </c>
      <c r="D156" s="32" t="s">
        <v>454</v>
      </c>
      <c r="E156" s="32"/>
      <c r="F156" s="32" t="s">
        <v>12</v>
      </c>
      <c r="G156" s="32" t="s">
        <v>455</v>
      </c>
      <c r="H156" s="32" t="s">
        <v>17</v>
      </c>
      <c r="I156" s="32" t="s">
        <v>32</v>
      </c>
      <c r="J156" s="32" t="s">
        <v>456</v>
      </c>
      <c r="K156" s="32" t="s">
        <v>12</v>
      </c>
      <c r="L156" s="32" t="s">
        <v>169</v>
      </c>
      <c r="M156" s="32" t="str">
        <f>IF(Table2[[#This Row],[Stage]]="Closed","Closed","Open")</f>
        <v>Closed</v>
      </c>
      <c r="N156" s="32" t="s">
        <v>453</v>
      </c>
      <c r="O156" s="32">
        <f ca="1">SUMIFS(Table3[Days with], Table3[Ref], Table2[[#This Row],[Ref]],Table3[Who With],"Legal")</f>
        <v>30</v>
      </c>
      <c r="P156" s="34">
        <f>SUMIFS(Table3[Total Cycle Time],Table3[Ref],Table2[[#This Row],[Ref]])</f>
        <v>30</v>
      </c>
    </row>
    <row r="157" spans="1:16" hidden="1" x14ac:dyDescent="0.25">
      <c r="A157" s="39" t="str">
        <f>IF(Table2[[#This Row],[Date Received]]="","",_xlfn.CONCAT(Table2[[#This Row],[Counterparty]]," - ",Table2[[#This Row],[Contract Name]]))</f>
        <v>VetIT - Services Agreement</v>
      </c>
      <c r="B157" s="33">
        <v>44890</v>
      </c>
      <c r="C157" s="32" t="s">
        <v>100</v>
      </c>
      <c r="D157" s="32" t="s">
        <v>101</v>
      </c>
      <c r="E157" s="32"/>
      <c r="F157" s="32" t="s">
        <v>12</v>
      </c>
      <c r="G157" s="32" t="s">
        <v>34</v>
      </c>
      <c r="H157" s="32" t="s">
        <v>17</v>
      </c>
      <c r="I157" s="32" t="s">
        <v>32</v>
      </c>
      <c r="J157" s="32" t="s">
        <v>35</v>
      </c>
      <c r="K157" s="32" t="s">
        <v>8</v>
      </c>
      <c r="L157" s="32"/>
      <c r="M157" s="32" t="str">
        <f>IF(Table2[[#This Row],[Stage]]="Closed","Closed","Open")</f>
        <v>Open</v>
      </c>
      <c r="N157" s="32" t="s">
        <v>102</v>
      </c>
      <c r="O157" s="32">
        <f>SUMIFS(Table3[Days with], Table3[Ref], Table2[[#This Row],[Ref]],Table3[Who With],"Legal")</f>
        <v>0</v>
      </c>
      <c r="P157" s="34">
        <f>SUMIFS(Table3[Total Cycle Time],Table3[Ref],Table2[[#This Row],[Ref]])</f>
        <v>0</v>
      </c>
    </row>
    <row r="158" spans="1:16" hidden="1" x14ac:dyDescent="0.25">
      <c r="A158" s="39" t="str">
        <f>IF(Table2[[#This Row],[Date Received]]="","",_xlfn.CONCAT(Table2[[#This Row],[Counterparty]]," - ",Table2[[#This Row],[Contract Name]]))</f>
        <v>Intervet International B.V.  - Services Agreement</v>
      </c>
      <c r="B158" s="33">
        <v>44894</v>
      </c>
      <c r="C158" s="32" t="s">
        <v>11</v>
      </c>
      <c r="D158" s="32" t="s">
        <v>464</v>
      </c>
      <c r="E158" s="32"/>
      <c r="F158" s="32" t="s">
        <v>12</v>
      </c>
      <c r="G158" s="32" t="s">
        <v>14</v>
      </c>
      <c r="H158" s="32" t="s">
        <v>17</v>
      </c>
      <c r="I158" s="32" t="s">
        <v>32</v>
      </c>
      <c r="J158" s="32" t="s">
        <v>31</v>
      </c>
      <c r="K158" s="32" t="s">
        <v>12</v>
      </c>
      <c r="L158" s="32" t="s">
        <v>169</v>
      </c>
      <c r="M158" s="32" t="str">
        <f>IF(Table2[[#This Row],[Stage]]="Closed","Closed","Open")</f>
        <v>Closed</v>
      </c>
      <c r="N158" s="32" t="s">
        <v>453</v>
      </c>
      <c r="O158" s="32">
        <f ca="1">SUMIFS(Table3[Days with], Table3[Ref], Table2[[#This Row],[Ref]],Table3[Who With],"Legal")</f>
        <v>39</v>
      </c>
      <c r="P158" s="34">
        <f>SUMIFS(Table3[Total Cycle Time],Table3[Ref],Table2[[#This Row],[Ref]])</f>
        <v>39</v>
      </c>
    </row>
    <row r="159" spans="1:16" hidden="1" x14ac:dyDescent="0.25">
      <c r="A159" s="39" t="str">
        <f>IF(Table2[[#This Row],[Date Received]]="","",_xlfn.CONCAT(Table2[[#This Row],[Counterparty]]," - ",Table2[[#This Row],[Contract Name]]))</f>
        <v>Time Right Limited - Services Agreement</v>
      </c>
      <c r="B159" s="33">
        <v>44894</v>
      </c>
      <c r="C159" s="32" t="s">
        <v>11</v>
      </c>
      <c r="D159" s="32" t="s">
        <v>103</v>
      </c>
      <c r="E159" s="32"/>
      <c r="F159" s="32" t="s">
        <v>12</v>
      </c>
      <c r="G159" s="32" t="s">
        <v>14</v>
      </c>
      <c r="H159" s="32" t="s">
        <v>17</v>
      </c>
      <c r="I159" s="32" t="s">
        <v>32</v>
      </c>
      <c r="J159" s="32" t="s">
        <v>31</v>
      </c>
      <c r="K159" s="32" t="s">
        <v>8</v>
      </c>
      <c r="L159" s="32"/>
      <c r="M159" s="32" t="str">
        <f>IF(Table2[[#This Row],[Stage]]="Closed","Closed","Open")</f>
        <v>Open</v>
      </c>
      <c r="N159" s="32" t="s">
        <v>104</v>
      </c>
      <c r="O159" s="32">
        <f>SUMIFS(Table3[Days with], Table3[Ref], Table2[[#This Row],[Ref]],Table3[Who With],"Legal")</f>
        <v>0</v>
      </c>
      <c r="P159" s="34">
        <f>SUMIFS(Table3[Total Cycle Time],Table3[Ref],Table2[[#This Row],[Ref]])</f>
        <v>0</v>
      </c>
    </row>
    <row r="160" spans="1:16" hidden="1" x14ac:dyDescent="0.25">
      <c r="A160" s="39" t="str">
        <f>IF(Table2[[#This Row],[Date Received]]="","",_xlfn.CONCAT(Table2[[#This Row],[Counterparty]]," - ",Table2[[#This Row],[Contract Name]]))</f>
        <v>Zenoffice - Termination Letter</v>
      </c>
      <c r="B160" s="33">
        <v>44895</v>
      </c>
      <c r="C160" s="32" t="s">
        <v>11</v>
      </c>
      <c r="D160" s="32" t="s">
        <v>457</v>
      </c>
      <c r="E160" s="32"/>
      <c r="F160" s="32" t="s">
        <v>12</v>
      </c>
      <c r="G160" s="32" t="s">
        <v>14</v>
      </c>
      <c r="H160" s="32" t="s">
        <v>17</v>
      </c>
      <c r="I160" s="32" t="s">
        <v>224</v>
      </c>
      <c r="J160" s="32" t="s">
        <v>414</v>
      </c>
      <c r="K160" s="32" t="s">
        <v>12</v>
      </c>
      <c r="L160" s="32" t="s">
        <v>169</v>
      </c>
      <c r="M160" s="32" t="str">
        <f>IF(Table2[[#This Row],[Stage]]="Closed","Closed","Open")</f>
        <v>Closed</v>
      </c>
      <c r="N160" s="32" t="s">
        <v>458</v>
      </c>
      <c r="O160" s="32">
        <f ca="1">SUMIFS(Table3[Days with], Table3[Ref], Table2[[#This Row],[Ref]],Table3[Who With],"Legal")</f>
        <v>30</v>
      </c>
      <c r="P160" s="34">
        <f>SUMIFS(Table3[Total Cycle Time],Table3[Ref],Table2[[#This Row],[Ref]])</f>
        <v>30</v>
      </c>
    </row>
    <row r="161" spans="1:16" hidden="1" x14ac:dyDescent="0.25">
      <c r="A161" s="39" t="str">
        <f>IF(Table2[[#This Row],[Date Received]]="","",_xlfn.CONCAT(Table2[[#This Row],[Counterparty]]," - ",Table2[[#This Row],[Contract Name]]))</f>
        <v>MSD  - Services Agreement</v>
      </c>
      <c r="B161" s="33">
        <v>44895</v>
      </c>
      <c r="C161" s="32" t="s">
        <v>11</v>
      </c>
      <c r="D161" s="32" t="s">
        <v>298</v>
      </c>
      <c r="E161" s="32"/>
      <c r="F161" s="32" t="s">
        <v>12</v>
      </c>
      <c r="G161" s="32" t="s">
        <v>14</v>
      </c>
      <c r="H161" s="32" t="s">
        <v>17</v>
      </c>
      <c r="I161" s="32" t="s">
        <v>32</v>
      </c>
      <c r="J161" s="32" t="s">
        <v>31</v>
      </c>
      <c r="K161" s="32" t="s">
        <v>348</v>
      </c>
      <c r="L161" s="32" t="s">
        <v>169</v>
      </c>
      <c r="M161" s="32" t="str">
        <f>IF(Table2[[#This Row],[Stage]]="Closed","Closed","Open")</f>
        <v>Closed</v>
      </c>
      <c r="N161" s="32" t="s">
        <v>578</v>
      </c>
      <c r="O161" s="32">
        <f ca="1">SUMIFS(Table3[Days with], Table3[Ref], Table2[[#This Row],[Ref]],Table3[Who With],"Legal")</f>
        <v>86</v>
      </c>
      <c r="P161" s="34">
        <f>SUMIFS(Table3[Total Cycle Time],Table3[Ref],Table2[[#This Row],[Ref]])</f>
        <v>86</v>
      </c>
    </row>
    <row r="162" spans="1:16" hidden="1" x14ac:dyDescent="0.25">
      <c r="A162" s="39" t="str">
        <f>IF(Table2[[#This Row],[Date Received]]="","",_xlfn.CONCAT(Table2[[#This Row],[Counterparty]]," - ",Table2[[#This Row],[Contract Name]]))</f>
        <v>PDSA - Services Agreement</v>
      </c>
      <c r="B162" s="33">
        <v>44896</v>
      </c>
      <c r="C162" s="32" t="s">
        <v>11</v>
      </c>
      <c r="D162" s="32" t="s">
        <v>459</v>
      </c>
      <c r="E162" s="32"/>
      <c r="F162" s="32" t="s">
        <v>12</v>
      </c>
      <c r="G162" s="32" t="s">
        <v>36</v>
      </c>
      <c r="H162" s="32" t="s">
        <v>17</v>
      </c>
      <c r="I162" s="32" t="s">
        <v>32</v>
      </c>
      <c r="J162" s="32" t="s">
        <v>51</v>
      </c>
      <c r="K162" s="32" t="s">
        <v>12</v>
      </c>
      <c r="L162" s="32" t="s">
        <v>169</v>
      </c>
      <c r="M162" s="32" t="str">
        <f>IF(Table2[[#This Row],[Stage]]="Closed","Closed","Open")</f>
        <v>Closed</v>
      </c>
      <c r="N162" s="32" t="s">
        <v>460</v>
      </c>
      <c r="O162" s="32">
        <f ca="1">SUMIFS(Table3[Days with], Table3[Ref], Table2[[#This Row],[Ref]],Table3[Who With],"Legal")</f>
        <v>30</v>
      </c>
      <c r="P162" s="34">
        <f>SUMIFS(Table3[Total Cycle Time],Table3[Ref],Table2[[#This Row],[Ref]])</f>
        <v>30</v>
      </c>
    </row>
    <row r="163" spans="1:16" hidden="1" x14ac:dyDescent="0.25">
      <c r="A163" s="39" t="str">
        <f>IF(Table2[[#This Row],[Date Received]]="","",_xlfn.CONCAT(Table2[[#This Row],[Counterparty]]," - ",Table2[[#This Row],[Contract Name]]))</f>
        <v xml:space="preserve"> - OOH Agreement</v>
      </c>
      <c r="B163" s="33">
        <v>44896</v>
      </c>
      <c r="C163" s="32" t="s">
        <v>11</v>
      </c>
      <c r="D163" s="32"/>
      <c r="E163" s="32" t="s">
        <v>275</v>
      </c>
      <c r="F163" s="32" t="s">
        <v>12</v>
      </c>
      <c r="G163" s="32" t="s">
        <v>3</v>
      </c>
      <c r="H163" s="32" t="s">
        <v>15</v>
      </c>
      <c r="I163" s="32" t="s">
        <v>276</v>
      </c>
      <c r="J163" s="32" t="s">
        <v>465</v>
      </c>
      <c r="K163" s="32" t="s">
        <v>36</v>
      </c>
      <c r="L163" s="32" t="s">
        <v>169</v>
      </c>
      <c r="M163" s="32" t="str">
        <f>IF(Table2[[#This Row],[Stage]]="Closed","Closed","Open")</f>
        <v>Closed</v>
      </c>
      <c r="N163" s="32" t="s">
        <v>466</v>
      </c>
      <c r="O163" s="32">
        <f ca="1">SUMIFS(Table3[Days with], Table3[Ref], Table2[[#This Row],[Ref]],Table3[Who With],"Legal")</f>
        <v>37</v>
      </c>
      <c r="P163" s="34">
        <f>SUMIFS(Table3[Total Cycle Time],Table3[Ref],Table2[[#This Row],[Ref]])</f>
        <v>37</v>
      </c>
    </row>
    <row r="164" spans="1:16" hidden="1" x14ac:dyDescent="0.25">
      <c r="A164" s="39" t="str">
        <f>IF(Table2[[#This Row],[Date Received]]="","",_xlfn.CONCAT(Table2[[#This Row],[Counterparty]]," - ",Table2[[#This Row],[Contract Name]]))</f>
        <v xml:space="preserve"> - Query</v>
      </c>
      <c r="B164" s="33">
        <v>44896</v>
      </c>
      <c r="C164" s="32" t="s">
        <v>11</v>
      </c>
      <c r="D164" s="32"/>
      <c r="E164" s="32" t="s">
        <v>40</v>
      </c>
      <c r="F164" s="32" t="s">
        <v>12</v>
      </c>
      <c r="G164" s="32" t="s">
        <v>3</v>
      </c>
      <c r="H164" s="32" t="s">
        <v>15</v>
      </c>
      <c r="I164" s="32" t="s">
        <v>494</v>
      </c>
      <c r="J164" s="32" t="s">
        <v>579</v>
      </c>
      <c r="K164" s="32" t="s">
        <v>12</v>
      </c>
      <c r="L164" s="32" t="s">
        <v>169</v>
      </c>
      <c r="M164" s="32" t="str">
        <f>IF(Table2[[#This Row],[Stage]]="Closed","Closed","Open")</f>
        <v>Closed</v>
      </c>
      <c r="N164" s="32" t="s">
        <v>580</v>
      </c>
      <c r="O164" s="32">
        <f ca="1">SUMIFS(Table3[Days with], Table3[Ref], Table2[[#This Row],[Ref]],Table3[Who With],"Legal")</f>
        <v>85</v>
      </c>
      <c r="P164" s="34">
        <f>SUMIFS(Table3[Total Cycle Time],Table3[Ref],Table2[[#This Row],[Ref]])</f>
        <v>85</v>
      </c>
    </row>
    <row r="165" spans="1:16" hidden="1" x14ac:dyDescent="0.25">
      <c r="A165" s="39" t="str">
        <f>IF(Table2[[#This Row],[Date Received]]="","",_xlfn.CONCAT(Table2[[#This Row],[Counterparty]]," - ",Table2[[#This Row],[Contract Name]]))</f>
        <v>Vets Now - OOH Agreement 3</v>
      </c>
      <c r="B165" s="33">
        <v>44897</v>
      </c>
      <c r="C165" s="32" t="s">
        <v>11</v>
      </c>
      <c r="D165" s="32" t="s">
        <v>252</v>
      </c>
      <c r="E165" s="32" t="s">
        <v>581</v>
      </c>
      <c r="F165" s="32" t="s">
        <v>12</v>
      </c>
      <c r="G165" s="32" t="s">
        <v>3</v>
      </c>
      <c r="H165" s="32" t="s">
        <v>17</v>
      </c>
      <c r="I165" s="32" t="s">
        <v>1475</v>
      </c>
      <c r="J165" s="32" t="s">
        <v>582</v>
      </c>
      <c r="K165" s="32" t="s">
        <v>348</v>
      </c>
      <c r="L165" s="32" t="s">
        <v>169</v>
      </c>
      <c r="M165" s="32" t="str">
        <f>IF(Table2[[#This Row],[Stage]]="Closed","Closed","Open")</f>
        <v>Closed</v>
      </c>
      <c r="N165" s="32" t="s">
        <v>583</v>
      </c>
      <c r="O165" s="32">
        <f ca="1">SUMIFS(Table3[Days with], Table3[Ref], Table2[[#This Row],[Ref]],Table3[Who With],"Legal")</f>
        <v>84</v>
      </c>
      <c r="P165" s="34">
        <f>SUMIFS(Table3[Total Cycle Time],Table3[Ref],Table2[[#This Row],[Ref]])</f>
        <v>84</v>
      </c>
    </row>
    <row r="166" spans="1:16" hidden="1" x14ac:dyDescent="0.25">
      <c r="A166" s="39" t="str">
        <f>IF(Table2[[#This Row],[Date Received]]="","",_xlfn.CONCAT(Table2[[#This Row],[Counterparty]]," - ",Table2[[#This Row],[Contract Name]]))</f>
        <v>Vets Now - OOH Agreement 4</v>
      </c>
      <c r="B166" s="33">
        <v>44897</v>
      </c>
      <c r="C166" s="32" t="s">
        <v>11</v>
      </c>
      <c r="D166" s="32" t="s">
        <v>252</v>
      </c>
      <c r="E166" s="32" t="s">
        <v>584</v>
      </c>
      <c r="F166" s="32" t="s">
        <v>12</v>
      </c>
      <c r="G166" s="32" t="s">
        <v>3</v>
      </c>
      <c r="H166" s="32" t="s">
        <v>17</v>
      </c>
      <c r="I166" s="32" t="s">
        <v>1476</v>
      </c>
      <c r="J166" s="32" t="s">
        <v>582</v>
      </c>
      <c r="K166" s="32" t="s">
        <v>348</v>
      </c>
      <c r="L166" s="32" t="s">
        <v>169</v>
      </c>
      <c r="M166" s="32" t="str">
        <f>IF(Table2[[#This Row],[Stage]]="Closed","Closed","Open")</f>
        <v>Closed</v>
      </c>
      <c r="N166" s="32" t="s">
        <v>585</v>
      </c>
      <c r="O166" s="32">
        <f ca="1">SUMIFS(Table3[Days with], Table3[Ref], Table2[[#This Row],[Ref]],Table3[Who With],"Legal")</f>
        <v>84</v>
      </c>
      <c r="P166" s="34">
        <f>SUMIFS(Table3[Total Cycle Time],Table3[Ref],Table2[[#This Row],[Ref]])</f>
        <v>84</v>
      </c>
    </row>
    <row r="167" spans="1:16" hidden="1" x14ac:dyDescent="0.25">
      <c r="A167" s="39" t="str">
        <f>IF(Table2[[#This Row],[Date Received]]="","",_xlfn.CONCAT(Table2[[#This Row],[Counterparty]]," - ",Table2[[#This Row],[Contract Name]]))</f>
        <v>Vets Now - OOH Agreement 5</v>
      </c>
      <c r="B167" s="33">
        <v>44897</v>
      </c>
      <c r="C167" s="32" t="s">
        <v>11</v>
      </c>
      <c r="D167" s="32" t="s">
        <v>252</v>
      </c>
      <c r="E167" s="32"/>
      <c r="F167" s="32" t="s">
        <v>12</v>
      </c>
      <c r="G167" s="32" t="s">
        <v>3</v>
      </c>
      <c r="H167" s="32" t="s">
        <v>17</v>
      </c>
      <c r="I167" s="32" t="s">
        <v>1535</v>
      </c>
      <c r="J167" s="32" t="s">
        <v>582</v>
      </c>
      <c r="K167" s="32" t="s">
        <v>348</v>
      </c>
      <c r="L167" s="32" t="s">
        <v>169</v>
      </c>
      <c r="M167" s="32" t="str">
        <f>IF(Table2[[#This Row],[Stage]]="Closed","Closed","Open")</f>
        <v>Closed</v>
      </c>
      <c r="N167" s="32" t="s">
        <v>169</v>
      </c>
      <c r="O167" s="32">
        <f ca="1">SUMIFS(Table3[Days with], Table3[Ref], Table2[[#This Row],[Ref]],Table3[Who With],"Legal")</f>
        <v>238</v>
      </c>
      <c r="P167" s="34">
        <f>SUMIFS(Table3[Total Cycle Time],Table3[Ref],Table2[[#This Row],[Ref]])</f>
        <v>238</v>
      </c>
    </row>
    <row r="168" spans="1:16" hidden="1" x14ac:dyDescent="0.25">
      <c r="A168" s="39" t="str">
        <f>IF(Table2[[#This Row],[Date Received]]="","",_xlfn.CONCAT(Table2[[#This Row],[Counterparty]]," - ",Table2[[#This Row],[Contract Name]]))</f>
        <v>CACI  - Services Agreement</v>
      </c>
      <c r="B168" s="33">
        <v>44903</v>
      </c>
      <c r="C168" s="32" t="s">
        <v>11</v>
      </c>
      <c r="D168" s="32" t="s">
        <v>52</v>
      </c>
      <c r="E168" s="32"/>
      <c r="F168" s="32" t="s">
        <v>12</v>
      </c>
      <c r="G168" s="32" t="s">
        <v>34</v>
      </c>
      <c r="H168" s="32" t="s">
        <v>17</v>
      </c>
      <c r="I168" s="32" t="s">
        <v>32</v>
      </c>
      <c r="J168" s="32" t="s">
        <v>467</v>
      </c>
      <c r="K168" s="32" t="s">
        <v>12</v>
      </c>
      <c r="L168" s="32" t="s">
        <v>169</v>
      </c>
      <c r="M168" s="32" t="str">
        <f>IF(Table2[[#This Row],[Stage]]="Closed","Closed","Open")</f>
        <v>Closed</v>
      </c>
      <c r="N168" s="32" t="s">
        <v>453</v>
      </c>
      <c r="O168" s="32">
        <f ca="1">SUMIFS(Table3[Days with], Table3[Ref], Table2[[#This Row],[Ref]],Table3[Who With],"Legal")</f>
        <v>30</v>
      </c>
      <c r="P168" s="34">
        <f>SUMIFS(Table3[Total Cycle Time],Table3[Ref],Table2[[#This Row],[Ref]])</f>
        <v>30</v>
      </c>
    </row>
    <row r="169" spans="1:16" hidden="1" x14ac:dyDescent="0.25">
      <c r="A169" s="39" t="str">
        <f>IF(Table2[[#This Row],[Date Received]]="","",_xlfn.CONCAT(Table2[[#This Row],[Counterparty]]," - ",Table2[[#This Row],[Contract Name]]))</f>
        <v>Boehringer Ingelheim Animal Health - NDA</v>
      </c>
      <c r="B169" s="33">
        <v>44903</v>
      </c>
      <c r="C169" s="32" t="s">
        <v>11</v>
      </c>
      <c r="D169" s="32" t="s">
        <v>468</v>
      </c>
      <c r="E169" s="32"/>
      <c r="F169" s="32" t="s">
        <v>12</v>
      </c>
      <c r="G169" s="32" t="s">
        <v>14</v>
      </c>
      <c r="H169" s="32" t="s">
        <v>17</v>
      </c>
      <c r="I169" s="32" t="s">
        <v>264</v>
      </c>
      <c r="J169" s="32" t="s">
        <v>31</v>
      </c>
      <c r="K169" s="32" t="s">
        <v>12</v>
      </c>
      <c r="L169" s="32" t="s">
        <v>169</v>
      </c>
      <c r="M169" s="32" t="str">
        <f>IF(Table2[[#This Row],[Stage]]="Closed","Closed","Open")</f>
        <v>Closed</v>
      </c>
      <c r="N169" s="32" t="s">
        <v>469</v>
      </c>
      <c r="O169" s="32">
        <f ca="1">SUMIFS(Table3[Days with], Table3[Ref], Table2[[#This Row],[Ref]],Table3[Who With],"Legal")</f>
        <v>30</v>
      </c>
      <c r="P169" s="34">
        <f>SUMIFS(Table3[Total Cycle Time],Table3[Ref],Table2[[#This Row],[Ref]])</f>
        <v>30</v>
      </c>
    </row>
    <row r="170" spans="1:16" hidden="1" x14ac:dyDescent="0.25">
      <c r="A170" s="39" t="str">
        <f>IF(Table2[[#This Row],[Date Received]]="","",_xlfn.CONCAT(Table2[[#This Row],[Counterparty]]," - ",Table2[[#This Row],[Contract Name]]))</f>
        <v>Ernst &amp; Young LLP - SaaS contract</v>
      </c>
      <c r="B170" s="33">
        <v>44904</v>
      </c>
      <c r="C170" s="32" t="s">
        <v>11</v>
      </c>
      <c r="D170" s="32" t="s">
        <v>673</v>
      </c>
      <c r="E170" s="32"/>
      <c r="F170" s="32" t="s">
        <v>12</v>
      </c>
      <c r="G170" s="32" t="s">
        <v>418</v>
      </c>
      <c r="H170" s="32" t="s">
        <v>17</v>
      </c>
      <c r="I170" s="32" t="s">
        <v>60</v>
      </c>
      <c r="J170" s="32" t="s">
        <v>394</v>
      </c>
      <c r="K170" s="32" t="s">
        <v>12</v>
      </c>
      <c r="L170" s="32" t="s">
        <v>169</v>
      </c>
      <c r="M170" s="32" t="str">
        <f>IF(Table2[[#This Row],[Stage]]="Closed","Closed","Open")</f>
        <v>Closed</v>
      </c>
      <c r="N170" s="32" t="s">
        <v>674</v>
      </c>
      <c r="O170" s="32">
        <f ca="1">SUMIFS(Table3[Days with], Table3[Ref], Table2[[#This Row],[Ref]],Table3[Who With],"Legal")</f>
        <v>132</v>
      </c>
      <c r="P170" s="34">
        <f>SUMIFS(Table3[Total Cycle Time],Table3[Ref],Table2[[#This Row],[Ref]])</f>
        <v>132</v>
      </c>
    </row>
    <row r="171" spans="1:16" hidden="1" x14ac:dyDescent="0.25">
      <c r="A171" s="39" t="str">
        <f>IF(Table2[[#This Row],[Date Received]]="","",_xlfn.CONCAT(Table2[[#This Row],[Counterparty]]," - ",Table2[[#This Row],[Contract Name]]))</f>
        <v>Darwin Cooper - Agency fee query</v>
      </c>
      <c r="B171" s="33">
        <v>44908</v>
      </c>
      <c r="C171" s="32" t="s">
        <v>11</v>
      </c>
      <c r="D171" s="32" t="s">
        <v>419</v>
      </c>
      <c r="E171" s="32" t="s">
        <v>420</v>
      </c>
      <c r="F171" s="32" t="s">
        <v>12</v>
      </c>
      <c r="G171" s="32" t="s">
        <v>3</v>
      </c>
      <c r="H171" s="32" t="s">
        <v>17</v>
      </c>
      <c r="I171" s="32" t="s">
        <v>421</v>
      </c>
      <c r="J171" s="32" t="s">
        <v>38</v>
      </c>
      <c r="K171" s="32" t="s">
        <v>348</v>
      </c>
      <c r="L171" s="32" t="s">
        <v>169</v>
      </c>
      <c r="M171" s="32" t="str">
        <f>IF(Table2[[#This Row],[Stage]]="Closed","Closed","Open")</f>
        <v>Closed</v>
      </c>
      <c r="N171" s="32" t="s">
        <v>422</v>
      </c>
      <c r="O171" s="32">
        <f ca="1">SUMIFS(Table3[Days with], Table3[Ref], Table2[[#This Row],[Ref]],Table3[Who With],"Legal")</f>
        <v>3</v>
      </c>
      <c r="P171" s="34">
        <f>SUMIFS(Table3[Total Cycle Time],Table3[Ref],Table2[[#This Row],[Ref]])</f>
        <v>3</v>
      </c>
    </row>
    <row r="172" spans="1:16" hidden="1" x14ac:dyDescent="0.25">
      <c r="A172" s="39" t="str">
        <f>IF(Table2[[#This Row],[Date Received]]="","",_xlfn.CONCAT(Table2[[#This Row],[Counterparty]]," - ",Table2[[#This Row],[Contract Name]]))</f>
        <v xml:space="preserve"> - Suspension and investigation </v>
      </c>
      <c r="B172" s="33">
        <v>44908</v>
      </c>
      <c r="C172" s="32" t="s">
        <v>11</v>
      </c>
      <c r="D172" s="32"/>
      <c r="E172" s="32" t="s">
        <v>470</v>
      </c>
      <c r="F172" s="32" t="s">
        <v>12</v>
      </c>
      <c r="G172" s="32" t="s">
        <v>30</v>
      </c>
      <c r="H172" s="32" t="s">
        <v>17</v>
      </c>
      <c r="I172" s="32" t="s">
        <v>471</v>
      </c>
      <c r="J172" s="32" t="s">
        <v>472</v>
      </c>
      <c r="K172" s="32" t="s">
        <v>12</v>
      </c>
      <c r="L172" s="32" t="s">
        <v>169</v>
      </c>
      <c r="M172" s="32" t="str">
        <f>IF(Table2[[#This Row],[Stage]]="Closed","Closed","Open")</f>
        <v>Closed</v>
      </c>
      <c r="N172" s="32" t="s">
        <v>473</v>
      </c>
      <c r="O172" s="32">
        <f ca="1">SUMIFS(Table3[Days with], Table3[Ref], Table2[[#This Row],[Ref]],Table3[Who With],"Legal")</f>
        <v>25</v>
      </c>
      <c r="P172" s="34">
        <f>SUMIFS(Table3[Total Cycle Time],Table3[Ref],Table2[[#This Row],[Ref]])</f>
        <v>25</v>
      </c>
    </row>
    <row r="173" spans="1:16" hidden="1" x14ac:dyDescent="0.25">
      <c r="A173" s="39" t="str">
        <f>IF(Table2[[#This Row],[Date Received]]="","",_xlfn.CONCAT(Table2[[#This Row],[Counterparty]]," - ",Table2[[#This Row],[Contract Name]]))</f>
        <v>Bremner - Query</v>
      </c>
      <c r="B173" s="33">
        <v>44910</v>
      </c>
      <c r="C173" s="32" t="s">
        <v>11</v>
      </c>
      <c r="D173" s="32" t="s">
        <v>492</v>
      </c>
      <c r="E173" s="32" t="s">
        <v>493</v>
      </c>
      <c r="F173" s="32" t="s">
        <v>12</v>
      </c>
      <c r="G173" s="32" t="s">
        <v>3</v>
      </c>
      <c r="H173" s="32" t="s">
        <v>17</v>
      </c>
      <c r="I173" s="32" t="s">
        <v>494</v>
      </c>
      <c r="J173" s="32" t="s">
        <v>467</v>
      </c>
      <c r="K173" s="32" t="s">
        <v>348</v>
      </c>
      <c r="L173" s="32" t="s">
        <v>169</v>
      </c>
      <c r="M173" s="32" t="str">
        <f>IF(Table2[[#This Row],[Stage]]="Closed","Closed","Open")</f>
        <v>Closed</v>
      </c>
      <c r="N173" s="32" t="s">
        <v>495</v>
      </c>
      <c r="O173" s="32">
        <f ca="1">SUMIFS(Table3[Days with], Table3[Ref], Table2[[#This Row],[Ref]],Table3[Who With],"Legal")</f>
        <v>30</v>
      </c>
      <c r="P173" s="34">
        <f>SUMIFS(Table3[Total Cycle Time],Table3[Ref],Table2[[#This Row],[Ref]])</f>
        <v>30</v>
      </c>
    </row>
    <row r="174" spans="1:16" hidden="1" x14ac:dyDescent="0.25">
      <c r="A174" s="39" t="str">
        <f>IF(Table2[[#This Row],[Date Received]]="","",_xlfn.CONCAT(Table2[[#This Row],[Counterparty]]," - ",Table2[[#This Row],[Contract Name]]))</f>
        <v>Braid Lewis - Lease Query</v>
      </c>
      <c r="B174" s="33">
        <v>44911</v>
      </c>
      <c r="C174" s="32" t="s">
        <v>11</v>
      </c>
      <c r="D174" s="32" t="s">
        <v>489</v>
      </c>
      <c r="E174" s="32"/>
      <c r="F174" s="32" t="s">
        <v>12</v>
      </c>
      <c r="G174" s="32" t="s">
        <v>455</v>
      </c>
      <c r="H174" s="32" t="s">
        <v>17</v>
      </c>
      <c r="I174" s="32" t="s">
        <v>490</v>
      </c>
      <c r="J174" s="32" t="s">
        <v>456</v>
      </c>
      <c r="K174" s="32" t="s">
        <v>12</v>
      </c>
      <c r="L174" s="32" t="s">
        <v>169</v>
      </c>
      <c r="M174" s="32" t="str">
        <f>IF(Table2[[#This Row],[Stage]]="Closed","Closed","Open")</f>
        <v>Closed</v>
      </c>
      <c r="N174" s="32" t="s">
        <v>491</v>
      </c>
      <c r="O174" s="32">
        <f ca="1">SUMIFS(Table3[Days with], Table3[Ref], Table2[[#This Row],[Ref]],Table3[Who With],"Legal")</f>
        <v>28</v>
      </c>
      <c r="P174" s="34">
        <f>SUMIFS(Table3[Total Cycle Time],Table3[Ref],Table2[[#This Row],[Ref]])</f>
        <v>28</v>
      </c>
    </row>
    <row r="175" spans="1:16" hidden="1" x14ac:dyDescent="0.25">
      <c r="A175" s="39" t="str">
        <f>IF(Table2[[#This Row],[Date Received]]="","",_xlfn.CONCAT(Table2[[#This Row],[Counterparty]]," - ",Table2[[#This Row],[Contract Name]]))</f>
        <v>Forest Vet Vendors - Settlement Agreement</v>
      </c>
      <c r="B175" s="33">
        <v>44911</v>
      </c>
      <c r="C175" s="32" t="s">
        <v>11</v>
      </c>
      <c r="D175" s="32" t="s">
        <v>517</v>
      </c>
      <c r="E175" s="32" t="s">
        <v>518</v>
      </c>
      <c r="F175" s="32" t="s">
        <v>16</v>
      </c>
      <c r="G175" s="32" t="s">
        <v>37</v>
      </c>
      <c r="H175" s="32" t="s">
        <v>15</v>
      </c>
      <c r="I175" s="32" t="s">
        <v>519</v>
      </c>
      <c r="J175" s="32" t="s">
        <v>520</v>
      </c>
      <c r="K175" s="32" t="s">
        <v>442</v>
      </c>
      <c r="L175" s="32" t="s">
        <v>169</v>
      </c>
      <c r="M175" s="32" t="str">
        <f>IF(Table2[[#This Row],[Stage]]="Closed","Closed","Open")</f>
        <v>Closed</v>
      </c>
      <c r="N175" s="32" t="s">
        <v>521</v>
      </c>
      <c r="O175" s="32">
        <f ca="1">SUMIFS(Table3[Days with], Table3[Ref], Table2[[#This Row],[Ref]],Table3[Who With],"Legal")</f>
        <v>25</v>
      </c>
      <c r="P175" s="34">
        <f>SUMIFS(Table3[Total Cycle Time],Table3[Ref],Table2[[#This Row],[Ref]])</f>
        <v>25</v>
      </c>
    </row>
    <row r="176" spans="1:16" hidden="1" x14ac:dyDescent="0.25">
      <c r="A176" s="39" t="str">
        <f>IF(Table2[[#This Row],[Date Received]]="","",_xlfn.CONCAT(Table2[[#This Row],[Counterparty]]," - ",Table2[[#This Row],[Contract Name]]))</f>
        <v>Grove Vets Vendors - Settlement Agreement</v>
      </c>
      <c r="B176" s="33">
        <v>44915</v>
      </c>
      <c r="C176" s="32" t="s">
        <v>11</v>
      </c>
      <c r="D176" s="32" t="s">
        <v>522</v>
      </c>
      <c r="E176" s="32" t="s">
        <v>523</v>
      </c>
      <c r="F176" s="32" t="s">
        <v>16</v>
      </c>
      <c r="G176" s="32" t="s">
        <v>37</v>
      </c>
      <c r="H176" s="32" t="s">
        <v>15</v>
      </c>
      <c r="I176" s="32" t="s">
        <v>519</v>
      </c>
      <c r="J176" s="32" t="s">
        <v>520</v>
      </c>
      <c r="K176" s="32" t="s">
        <v>442</v>
      </c>
      <c r="L176" s="32" t="s">
        <v>169</v>
      </c>
      <c r="M176" s="32" t="str">
        <f>IF(Table2[[#This Row],[Stage]]="Closed","Closed","Open")</f>
        <v>Closed</v>
      </c>
      <c r="N176" s="32" t="s">
        <v>521</v>
      </c>
      <c r="O176" s="32">
        <f ca="1">SUMIFS(Table3[Days with], Table3[Ref], Table2[[#This Row],[Ref]],Table3[Who With],"Legal")</f>
        <v>21</v>
      </c>
      <c r="P176" s="34">
        <f>SUMIFS(Table3[Total Cycle Time],Table3[Ref],Table2[[#This Row],[Ref]])</f>
        <v>21</v>
      </c>
    </row>
    <row r="177" spans="1:16" hidden="1" x14ac:dyDescent="0.25">
      <c r="A177" s="39" t="str">
        <f>IF(Table2[[#This Row],[Date Received]]="","",_xlfn.CONCAT(Table2[[#This Row],[Counterparty]]," - ",Table2[[#This Row],[Contract Name]]))</f>
        <v>Monument Vendors - Settlement Agreement</v>
      </c>
      <c r="B177" s="33">
        <v>44915</v>
      </c>
      <c r="C177" s="32" t="s">
        <v>11</v>
      </c>
      <c r="D177" s="32" t="s">
        <v>524</v>
      </c>
      <c r="E177" s="32" t="s">
        <v>525</v>
      </c>
      <c r="F177" s="32" t="s">
        <v>16</v>
      </c>
      <c r="G177" s="32" t="s">
        <v>37</v>
      </c>
      <c r="H177" s="32" t="s">
        <v>15</v>
      </c>
      <c r="I177" s="32" t="s">
        <v>519</v>
      </c>
      <c r="J177" s="32" t="s">
        <v>520</v>
      </c>
      <c r="K177" s="32" t="s">
        <v>442</v>
      </c>
      <c r="L177" s="32" t="s">
        <v>169</v>
      </c>
      <c r="M177" s="32" t="str">
        <f>IF(Table2[[#This Row],[Stage]]="Closed","Closed","Open")</f>
        <v>Closed</v>
      </c>
      <c r="N177" s="32" t="s">
        <v>521</v>
      </c>
      <c r="O177" s="32">
        <f ca="1">SUMIFS(Table3[Days with], Table3[Ref], Table2[[#This Row],[Ref]],Table3[Who With],"Legal")</f>
        <v>21</v>
      </c>
      <c r="P177" s="34">
        <f>SUMIFS(Table3[Total Cycle Time],Table3[Ref],Table2[[#This Row],[Ref]])</f>
        <v>21</v>
      </c>
    </row>
    <row r="178" spans="1:16" hidden="1" x14ac:dyDescent="0.25">
      <c r="A178" s="39" t="str">
        <f>IF(Table2[[#This Row],[Date Received]]="","",_xlfn.CONCAT(Table2[[#This Row],[Counterparty]]," - ",Table2[[#This Row],[Contract Name]]))</f>
        <v>BlueVenn - Services Contract (renewal)</v>
      </c>
      <c r="B178" s="33">
        <v>44917</v>
      </c>
      <c r="C178" s="32" t="s">
        <v>11</v>
      </c>
      <c r="D178" s="32" t="s">
        <v>474</v>
      </c>
      <c r="E178" s="32"/>
      <c r="F178" s="32" t="s">
        <v>12</v>
      </c>
      <c r="G178" s="32" t="s">
        <v>34</v>
      </c>
      <c r="H178" s="32" t="s">
        <v>17</v>
      </c>
      <c r="I178" s="32" t="s">
        <v>475</v>
      </c>
      <c r="J178" s="32" t="s">
        <v>53</v>
      </c>
      <c r="K178" s="32" t="s">
        <v>12</v>
      </c>
      <c r="L178" s="32" t="s">
        <v>169</v>
      </c>
      <c r="M178" s="32" t="str">
        <f>IF(Table2[[#This Row],[Stage]]="Closed","Closed","Open")</f>
        <v>Closed</v>
      </c>
      <c r="N178" s="32" t="s">
        <v>453</v>
      </c>
      <c r="O178" s="32">
        <f ca="1">SUMIFS(Table3[Days with], Table3[Ref], Table2[[#This Row],[Ref]],Table3[Who With],"Legal")</f>
        <v>16</v>
      </c>
      <c r="P178" s="34">
        <f>SUMIFS(Table3[Total Cycle Time],Table3[Ref],Table2[[#This Row],[Ref]])</f>
        <v>16</v>
      </c>
    </row>
    <row r="179" spans="1:16" hidden="1" x14ac:dyDescent="0.25">
      <c r="A179" s="39" t="str">
        <f>IF(Table2[[#This Row],[Date Received]]="","",_xlfn.CONCAT(Table2[[#This Row],[Counterparty]]," - ",Table2[[#This Row],[Contract Name]]))</f>
        <v>4Com - Services Agreement</v>
      </c>
      <c r="B179" s="33">
        <v>44917</v>
      </c>
      <c r="C179" s="32" t="s">
        <v>11</v>
      </c>
      <c r="D179" s="32" t="s">
        <v>236</v>
      </c>
      <c r="E179" s="32" t="s">
        <v>526</v>
      </c>
      <c r="F179" s="32" t="s">
        <v>16</v>
      </c>
      <c r="G179" s="32" t="s">
        <v>29</v>
      </c>
      <c r="H179" s="32" t="s">
        <v>17</v>
      </c>
      <c r="I179" s="32" t="s">
        <v>32</v>
      </c>
      <c r="J179" s="32" t="s">
        <v>323</v>
      </c>
      <c r="K179" s="32" t="s">
        <v>28</v>
      </c>
      <c r="L179" s="32" t="s">
        <v>169</v>
      </c>
      <c r="M179" s="32" t="str">
        <f>IF(Table2[[#This Row],[Stage]]="Closed","Closed","Open")</f>
        <v>Closed</v>
      </c>
      <c r="N179" s="32" t="s">
        <v>500</v>
      </c>
      <c r="O179" s="32">
        <f ca="1">SUMIFS(Table3[Days with], Table3[Ref], Table2[[#This Row],[Ref]],Table3[Who With],"Legal")</f>
        <v>56</v>
      </c>
      <c r="P179" s="34">
        <f>SUMIFS(Table3[Total Cycle Time],Table3[Ref],Table2[[#This Row],[Ref]])</f>
        <v>56</v>
      </c>
    </row>
    <row r="180" spans="1:16" hidden="1" x14ac:dyDescent="0.25">
      <c r="A180" s="39" t="str">
        <f>IF(Table2[[#This Row],[Date Received]]="","",_xlfn.CONCAT(Table2[[#This Row],[Counterparty]]," - ",Table2[[#This Row],[Contract Name]]))</f>
        <v>Labserve - Services contract</v>
      </c>
      <c r="B180" s="33">
        <v>44918</v>
      </c>
      <c r="C180" s="32" t="s">
        <v>510</v>
      </c>
      <c r="D180" s="32" t="s">
        <v>586</v>
      </c>
      <c r="E180" s="32" t="s">
        <v>587</v>
      </c>
      <c r="F180" s="32" t="s">
        <v>12</v>
      </c>
      <c r="G180" s="32" t="s">
        <v>510</v>
      </c>
      <c r="H180" s="32" t="s">
        <v>17</v>
      </c>
      <c r="I180" s="32" t="s">
        <v>588</v>
      </c>
      <c r="J180" s="32" t="s">
        <v>589</v>
      </c>
      <c r="K180" s="32" t="s">
        <v>12</v>
      </c>
      <c r="L180" s="32" t="s">
        <v>169</v>
      </c>
      <c r="M180" s="32" t="str">
        <f>IF(Table2[[#This Row],[Stage]]="Closed","Closed","Open")</f>
        <v>Closed</v>
      </c>
      <c r="N180" s="32" t="s">
        <v>590</v>
      </c>
      <c r="O180" s="32">
        <f ca="1">SUMIFS(Table3[Days with], Table3[Ref], Table2[[#This Row],[Ref]],Table3[Who With],"Legal")</f>
        <v>63</v>
      </c>
      <c r="P180" s="34">
        <f>SUMIFS(Table3[Total Cycle Time],Table3[Ref],Table2[[#This Row],[Ref]])</f>
        <v>63</v>
      </c>
    </row>
    <row r="181" spans="1:16" hidden="1" x14ac:dyDescent="0.25">
      <c r="A181" s="39" t="str">
        <f>IF(Table2[[#This Row],[Date Received]]="","",_xlfn.CONCAT(Table2[[#This Row],[Counterparty]]," - ",Table2[[#This Row],[Contract Name]]))</f>
        <v>Scott Millar - SPA</v>
      </c>
      <c r="B181" s="33">
        <v>44918</v>
      </c>
      <c r="C181" s="32" t="s">
        <v>11</v>
      </c>
      <c r="D181" s="32" t="s">
        <v>900</v>
      </c>
      <c r="E181" s="32" t="s">
        <v>275</v>
      </c>
      <c r="F181" s="32" t="s">
        <v>12</v>
      </c>
      <c r="G181" s="32" t="s">
        <v>3</v>
      </c>
      <c r="H181" s="32" t="s">
        <v>17</v>
      </c>
      <c r="I181" s="32" t="s">
        <v>619</v>
      </c>
      <c r="J181" s="32" t="s">
        <v>38</v>
      </c>
      <c r="K181" s="32" t="s">
        <v>12</v>
      </c>
      <c r="L181" s="32" t="s">
        <v>169</v>
      </c>
      <c r="M181" s="32" t="str">
        <f>IF(Table2[[#This Row],[Stage]]="Closed","Closed","Open")</f>
        <v>Closed</v>
      </c>
      <c r="N181" s="32" t="s">
        <v>901</v>
      </c>
      <c r="O181" s="32">
        <f ca="1">SUMIFS(Table3[Days with], Table3[Ref], Table2[[#This Row],[Ref]],Table3[Who With],"Legal")</f>
        <v>328</v>
      </c>
      <c r="P181" s="34">
        <f>SUMIFS(Table3[Total Cycle Time],Table3[Ref],Table2[[#This Row],[Ref]])</f>
        <v>328</v>
      </c>
    </row>
    <row r="182" spans="1:16" hidden="1" x14ac:dyDescent="0.25">
      <c r="A182" s="39" t="str">
        <f>IF(Table2[[#This Row],[Date Received]]="","",_xlfn.CONCAT(Table2[[#This Row],[Counterparty]]," - ",Table2[[#This Row],[Contract Name]]))</f>
        <v>Linneaus - OOH Agreement 1</v>
      </c>
      <c r="B182" s="33">
        <v>44924</v>
      </c>
      <c r="C182" s="32" t="s">
        <v>11</v>
      </c>
      <c r="D182" s="32" t="s">
        <v>546</v>
      </c>
      <c r="E182" s="32" t="s">
        <v>547</v>
      </c>
      <c r="F182" s="32" t="s">
        <v>16</v>
      </c>
      <c r="G182" s="32" t="s">
        <v>3</v>
      </c>
      <c r="H182" s="32" t="s">
        <v>15</v>
      </c>
      <c r="I182" s="32" t="s">
        <v>1473</v>
      </c>
      <c r="J182" s="32" t="s">
        <v>548</v>
      </c>
      <c r="K182" s="32" t="s">
        <v>546</v>
      </c>
      <c r="L182" s="32" t="s">
        <v>169</v>
      </c>
      <c r="M182" s="32" t="str">
        <f>IF(Table2[[#This Row],[Stage]]="Closed","Closed","Open")</f>
        <v>Closed</v>
      </c>
      <c r="N182" s="32" t="s">
        <v>549</v>
      </c>
      <c r="O182" s="32">
        <f ca="1">SUMIFS(Table3[Days with], Table3[Ref], Table2[[#This Row],[Ref]],Table3[Who With],"Legal")</f>
        <v>113</v>
      </c>
      <c r="P182" s="34">
        <f>SUMIFS(Table3[Total Cycle Time],Table3[Ref],Table2[[#This Row],[Ref]])</f>
        <v>113</v>
      </c>
    </row>
    <row r="183" spans="1:16" hidden="1" x14ac:dyDescent="0.25">
      <c r="A183" s="39" t="str">
        <f>IF(Table2[[#This Row],[Date Received]]="","",_xlfn.CONCAT(Table2[[#This Row],[Counterparty]]," - ",Table2[[#This Row],[Contract Name]]))</f>
        <v>Credit Safe - Financial and compliance check</v>
      </c>
      <c r="B183" s="33">
        <v>44929</v>
      </c>
      <c r="C183" s="32" t="s">
        <v>11</v>
      </c>
      <c r="D183" s="32" t="s">
        <v>529</v>
      </c>
      <c r="E183" s="32"/>
      <c r="F183" s="32" t="s">
        <v>12</v>
      </c>
      <c r="G183" s="32" t="s">
        <v>14</v>
      </c>
      <c r="H183" s="32" t="s">
        <v>17</v>
      </c>
      <c r="I183" s="32" t="s">
        <v>530</v>
      </c>
      <c r="J183" s="32" t="s">
        <v>31</v>
      </c>
      <c r="K183" s="32" t="s">
        <v>12</v>
      </c>
      <c r="L183" s="32" t="s">
        <v>169</v>
      </c>
      <c r="M183" s="32" t="str">
        <f>IF(Table2[[#This Row],[Stage]]="Closed","Closed","Open")</f>
        <v>Closed</v>
      </c>
      <c r="N183" s="32" t="s">
        <v>531</v>
      </c>
      <c r="O183" s="32">
        <f ca="1">SUMIFS(Table3[Days with], Table3[Ref], Table2[[#This Row],[Ref]],Table3[Who With],"Legal")</f>
        <v>24</v>
      </c>
      <c r="P183" s="34">
        <f>SUMIFS(Table3[Total Cycle Time],Table3[Ref],Table2[[#This Row],[Ref]])</f>
        <v>24</v>
      </c>
    </row>
    <row r="184" spans="1:16" hidden="1" x14ac:dyDescent="0.25">
      <c r="A184" s="39" t="str">
        <f>IF(Table2[[#This Row],[Date Received]]="","",_xlfn.CONCAT(Table2[[#This Row],[Counterparty]]," - ",Table2[[#This Row],[Contract Name]]))</f>
        <v>Rethink - Client review software contract</v>
      </c>
      <c r="B184" s="33">
        <v>44929</v>
      </c>
      <c r="C184" s="32" t="s">
        <v>11</v>
      </c>
      <c r="D184" s="32" t="s">
        <v>538</v>
      </c>
      <c r="E184" s="32"/>
      <c r="F184" s="32" t="s">
        <v>12</v>
      </c>
      <c r="G184" s="32" t="s">
        <v>14</v>
      </c>
      <c r="H184" s="32" t="s">
        <v>17</v>
      </c>
      <c r="I184" s="32" t="s">
        <v>539</v>
      </c>
      <c r="J184" s="32" t="s">
        <v>414</v>
      </c>
      <c r="K184" s="32" t="s">
        <v>540</v>
      </c>
      <c r="L184" s="32" t="s">
        <v>169</v>
      </c>
      <c r="M184" s="32" t="str">
        <f>IF(Table2[[#This Row],[Stage]]="Closed","Closed","Open")</f>
        <v>Closed</v>
      </c>
      <c r="N184" s="32" t="s">
        <v>453</v>
      </c>
      <c r="O184" s="32">
        <f ca="1">SUMIFS(Table3[Days with], Table3[Ref], Table2[[#This Row],[Ref]],Table3[Who With],"Legal")</f>
        <v>31</v>
      </c>
      <c r="P184" s="34">
        <f>SUMIFS(Table3[Total Cycle Time],Table3[Ref],Table2[[#This Row],[Ref]])</f>
        <v>31</v>
      </c>
    </row>
    <row r="185" spans="1:16" hidden="1" x14ac:dyDescent="0.25">
      <c r="A185" s="39" t="str">
        <f>IF(Table2[[#This Row],[Date Received]]="","",_xlfn.CONCAT(Table2[[#This Row],[Counterparty]]," - ",Table2[[#This Row],[Contract Name]]))</f>
        <v>Laurels Vendors - Settlement Agreement</v>
      </c>
      <c r="B185" s="33">
        <v>44929</v>
      </c>
      <c r="C185" s="32" t="s">
        <v>11</v>
      </c>
      <c r="D185" s="32" t="s">
        <v>553</v>
      </c>
      <c r="E185" s="32" t="s">
        <v>554</v>
      </c>
      <c r="F185" s="32" t="s">
        <v>16</v>
      </c>
      <c r="G185" s="32" t="s">
        <v>37</v>
      </c>
      <c r="H185" s="32" t="s">
        <v>15</v>
      </c>
      <c r="I185" s="32" t="s">
        <v>519</v>
      </c>
      <c r="J185" s="32" t="s">
        <v>520</v>
      </c>
      <c r="K185" s="32" t="s">
        <v>442</v>
      </c>
      <c r="L185" s="32" t="s">
        <v>169</v>
      </c>
      <c r="M185" s="32" t="str">
        <f>IF(Table2[[#This Row],[Stage]]="Closed","Closed","Open")</f>
        <v>Closed</v>
      </c>
      <c r="N185" s="32" t="s">
        <v>521</v>
      </c>
      <c r="O185" s="32">
        <f ca="1">SUMIFS(Table3[Days with], Table3[Ref], Table2[[#This Row],[Ref]],Table3[Who With],"Legal")</f>
        <v>16</v>
      </c>
      <c r="P185" s="34">
        <f>SUMIFS(Table3[Total Cycle Time],Table3[Ref],Table2[[#This Row],[Ref]])</f>
        <v>16</v>
      </c>
    </row>
    <row r="186" spans="1:16" hidden="1" x14ac:dyDescent="0.25">
      <c r="A186" s="39" t="str">
        <f>IF(Table2[[#This Row],[Date Received]]="","",_xlfn.CONCAT(Table2[[#This Row],[Counterparty]]," - ",Table2[[#This Row],[Contract Name]]))</f>
        <v>Mews Vendors - Settlement Agreement</v>
      </c>
      <c r="B186" s="33">
        <v>44929</v>
      </c>
      <c r="C186" s="32" t="s">
        <v>11</v>
      </c>
      <c r="D186" s="32" t="s">
        <v>555</v>
      </c>
      <c r="E186" s="32" t="s">
        <v>556</v>
      </c>
      <c r="F186" s="32" t="s">
        <v>16</v>
      </c>
      <c r="G186" s="32" t="s">
        <v>37</v>
      </c>
      <c r="H186" s="32" t="s">
        <v>15</v>
      </c>
      <c r="I186" s="32" t="s">
        <v>519</v>
      </c>
      <c r="J186" s="32" t="s">
        <v>520</v>
      </c>
      <c r="K186" s="32" t="s">
        <v>442</v>
      </c>
      <c r="L186" s="32" t="s">
        <v>169</v>
      </c>
      <c r="M186" s="32" t="str">
        <f>IF(Table2[[#This Row],[Stage]]="Closed","Closed","Open")</f>
        <v>Closed</v>
      </c>
      <c r="N186" s="32" t="s">
        <v>521</v>
      </c>
      <c r="O186" s="32">
        <f ca="1">SUMIFS(Table3[Days with], Table3[Ref], Table2[[#This Row],[Ref]],Table3[Who With],"Legal")</f>
        <v>16</v>
      </c>
      <c r="P186" s="34">
        <f>SUMIFS(Table3[Total Cycle Time],Table3[Ref],Table2[[#This Row],[Ref]])</f>
        <v>16</v>
      </c>
    </row>
    <row r="187" spans="1:16" hidden="1" x14ac:dyDescent="0.25">
      <c r="A187" s="39" t="str">
        <f>IF(Table2[[#This Row],[Date Received]]="","",_xlfn.CONCAT(Table2[[#This Row],[Counterparty]]," - ",Table2[[#This Row],[Contract Name]]))</f>
        <v>VOGT Vendors - Settlement Agreement</v>
      </c>
      <c r="B187" s="33">
        <v>44929</v>
      </c>
      <c r="C187" s="32" t="s">
        <v>11</v>
      </c>
      <c r="D187" s="32" t="s">
        <v>557</v>
      </c>
      <c r="E187" s="32" t="s">
        <v>558</v>
      </c>
      <c r="F187" s="32" t="s">
        <v>16</v>
      </c>
      <c r="G187" s="32" t="s">
        <v>37</v>
      </c>
      <c r="H187" s="32" t="s">
        <v>15</v>
      </c>
      <c r="I187" s="32" t="s">
        <v>519</v>
      </c>
      <c r="J187" s="32" t="s">
        <v>520</v>
      </c>
      <c r="K187" s="32" t="s">
        <v>442</v>
      </c>
      <c r="L187" s="32" t="s">
        <v>169</v>
      </c>
      <c r="M187" s="32" t="str">
        <f>IF(Table2[[#This Row],[Stage]]="Closed","Closed","Open")</f>
        <v>Closed</v>
      </c>
      <c r="N187" s="32" t="s">
        <v>521</v>
      </c>
      <c r="O187" s="32">
        <f ca="1">SUMIFS(Table3[Days with], Table3[Ref], Table2[[#This Row],[Ref]],Table3[Who With],"Legal")</f>
        <v>20</v>
      </c>
      <c r="P187" s="34">
        <f>SUMIFS(Table3[Total Cycle Time],Table3[Ref],Table2[[#This Row],[Ref]])</f>
        <v>20</v>
      </c>
    </row>
    <row r="188" spans="1:16" hidden="1" x14ac:dyDescent="0.25">
      <c r="A188" s="39" t="str">
        <f>IF(Table2[[#This Row],[Date Received]]="","",_xlfn.CONCAT(Table2[[#This Row],[Counterparty]]," - ",Table2[[#This Row],[Contract Name]]))</f>
        <v>Safenames - Domain agreement</v>
      </c>
      <c r="B188" s="33">
        <v>44929</v>
      </c>
      <c r="C188" s="32" t="s">
        <v>11</v>
      </c>
      <c r="D188" s="32" t="s">
        <v>658</v>
      </c>
      <c r="E188" s="32"/>
      <c r="F188" s="32" t="s">
        <v>12</v>
      </c>
      <c r="G188" s="32" t="s">
        <v>34</v>
      </c>
      <c r="H188" s="32" t="s">
        <v>17</v>
      </c>
      <c r="I188" s="32" t="s">
        <v>659</v>
      </c>
      <c r="J188" s="32" t="s">
        <v>389</v>
      </c>
      <c r="K188" s="32" t="s">
        <v>12</v>
      </c>
      <c r="L188" s="32" t="s">
        <v>169</v>
      </c>
      <c r="M188" s="32" t="str">
        <f>IF(Table2[[#This Row],[Stage]]="Closed","Closed","Open")</f>
        <v>Closed</v>
      </c>
      <c r="N188" s="32" t="s">
        <v>660</v>
      </c>
      <c r="O188" s="32">
        <f ca="1">SUMIFS(Table3[Days with], Table3[Ref], Table2[[#This Row],[Ref]],Table3[Who With],"Legal")</f>
        <v>79</v>
      </c>
      <c r="P188" s="34">
        <f>SUMIFS(Table3[Total Cycle Time],Table3[Ref],Table2[[#This Row],[Ref]])</f>
        <v>79</v>
      </c>
    </row>
    <row r="189" spans="1:16" hidden="1" x14ac:dyDescent="0.25">
      <c r="A189" s="39" t="str">
        <f>IF(Table2[[#This Row],[Date Received]]="","",_xlfn.CONCAT(Table2[[#This Row],[Counterparty]]," - ",Table2[[#This Row],[Contract Name]]))</f>
        <v>Pentex Property - Lease</v>
      </c>
      <c r="B189" s="33">
        <v>44929</v>
      </c>
      <c r="C189" s="32" t="s">
        <v>11</v>
      </c>
      <c r="D189" s="32" t="s">
        <v>739</v>
      </c>
      <c r="E189" s="32" t="s">
        <v>740</v>
      </c>
      <c r="F189" s="32" t="s">
        <v>12</v>
      </c>
      <c r="G189" s="32" t="s">
        <v>455</v>
      </c>
      <c r="H189" s="32" t="s">
        <v>17</v>
      </c>
      <c r="I189" s="32" t="s">
        <v>486</v>
      </c>
      <c r="J189" s="32" t="s">
        <v>487</v>
      </c>
      <c r="K189" s="32" t="s">
        <v>741</v>
      </c>
      <c r="L189" s="32" t="s">
        <v>169</v>
      </c>
      <c r="M189" s="32" t="str">
        <f>IF(Table2[[#This Row],[Stage]]="Closed","Closed","Open")</f>
        <v>Closed</v>
      </c>
      <c r="N189" s="32" t="s">
        <v>453</v>
      </c>
      <c r="O189" s="32">
        <f ca="1">SUMIFS(Table3[Days with], Table3[Ref], Table2[[#This Row],[Ref]],Table3[Who With],"Legal")</f>
        <v>170</v>
      </c>
      <c r="P189" s="34">
        <f>SUMIFS(Table3[Total Cycle Time],Table3[Ref],Table2[[#This Row],[Ref]])</f>
        <v>170</v>
      </c>
    </row>
    <row r="190" spans="1:16" hidden="1" x14ac:dyDescent="0.25">
      <c r="A190" s="39" t="str">
        <f>IF(Table2[[#This Row],[Date Received]]="","",_xlfn.CONCAT(Table2[[#This Row],[Counterparty]]," - ",Table2[[#This Row],[Contract Name]]))</f>
        <v>RSPCA - Vet Services Contract</v>
      </c>
      <c r="B190" s="33">
        <v>44929</v>
      </c>
      <c r="C190" s="32" t="s">
        <v>11</v>
      </c>
      <c r="D190" s="32" t="s">
        <v>45</v>
      </c>
      <c r="E190" s="32" t="s">
        <v>305</v>
      </c>
      <c r="F190" s="32" t="s">
        <v>12</v>
      </c>
      <c r="G190" s="32" t="s">
        <v>36</v>
      </c>
      <c r="H190" s="32" t="s">
        <v>17</v>
      </c>
      <c r="I190" s="32" t="s">
        <v>943</v>
      </c>
      <c r="J190" s="32" t="s">
        <v>944</v>
      </c>
      <c r="K190" s="32" t="s">
        <v>944</v>
      </c>
      <c r="L190" s="32" t="s">
        <v>169</v>
      </c>
      <c r="M190" s="32" t="str">
        <f>IF(Table2[[#This Row],[Stage]]="Closed","Closed","Open")</f>
        <v>Closed</v>
      </c>
      <c r="N190" s="32" t="s">
        <v>945</v>
      </c>
      <c r="O190" s="32">
        <f ca="1">SUMIFS(Table3[Days with], Table3[Ref], Table2[[#This Row],[Ref]],Table3[Who With],"Legal")</f>
        <v>395</v>
      </c>
      <c r="P190" s="34">
        <f>SUMIFS(Table3[Total Cycle Time],Table3[Ref],Table2[[#This Row],[Ref]])</f>
        <v>395</v>
      </c>
    </row>
    <row r="191" spans="1:16" hidden="1" x14ac:dyDescent="0.25">
      <c r="A191" s="39" t="str">
        <f>IF(Table2[[#This Row],[Date Received]]="","",_xlfn.CONCAT(Table2[[#This Row],[Counterparty]]," - ",Table2[[#This Row],[Contract Name]]))</f>
        <v>Probo Medical - CT servicing contract</v>
      </c>
      <c r="B191" s="33">
        <v>44929</v>
      </c>
      <c r="C191" s="32" t="s">
        <v>11</v>
      </c>
      <c r="D191" s="32" t="s">
        <v>105</v>
      </c>
      <c r="E191" s="32" t="s">
        <v>40</v>
      </c>
      <c r="F191" s="32" t="s">
        <v>12</v>
      </c>
      <c r="G191" s="32" t="s">
        <v>14</v>
      </c>
      <c r="H191" s="32" t="s">
        <v>17</v>
      </c>
      <c r="I191" s="32" t="s">
        <v>106</v>
      </c>
      <c r="J191" s="32" t="s">
        <v>51</v>
      </c>
      <c r="K191" s="32" t="s">
        <v>8</v>
      </c>
      <c r="L191" s="32"/>
      <c r="M191" s="32" t="str">
        <f>IF(Table2[[#This Row],[Stage]]="Closed","Closed","Open")</f>
        <v>Open</v>
      </c>
      <c r="N191" s="32" t="s">
        <v>107</v>
      </c>
      <c r="O191" s="32">
        <f>SUMIFS(Table3[Days with], Table3[Ref], Table2[[#This Row],[Ref]],Table3[Who With],"Legal")</f>
        <v>0</v>
      </c>
      <c r="P191" s="34">
        <f>SUMIFS(Table3[Total Cycle Time],Table3[Ref],Table2[[#This Row],[Ref]])</f>
        <v>0</v>
      </c>
    </row>
    <row r="192" spans="1:16" hidden="1" x14ac:dyDescent="0.25">
      <c r="A192" s="39" t="str">
        <f>IF(Table2[[#This Row],[Date Received]]="","",_xlfn.CONCAT(Table2[[#This Row],[Counterparty]]," - ",Table2[[#This Row],[Contract Name]]))</f>
        <v>Blagreaves Vendors - Settlement Agreement</v>
      </c>
      <c r="B192" s="33">
        <v>44930</v>
      </c>
      <c r="C192" s="32" t="s">
        <v>11</v>
      </c>
      <c r="D192" s="32" t="s">
        <v>559</v>
      </c>
      <c r="E192" s="32" t="s">
        <v>560</v>
      </c>
      <c r="F192" s="32" t="s">
        <v>16</v>
      </c>
      <c r="G192" s="32" t="s">
        <v>37</v>
      </c>
      <c r="H192" s="32" t="s">
        <v>15</v>
      </c>
      <c r="I192" s="32" t="s">
        <v>519</v>
      </c>
      <c r="J192" s="32" t="s">
        <v>520</v>
      </c>
      <c r="K192" s="32" t="s">
        <v>442</v>
      </c>
      <c r="L192" s="32" t="s">
        <v>169</v>
      </c>
      <c r="M192" s="32" t="str">
        <f>IF(Table2[[#This Row],[Stage]]="Closed","Closed","Open")</f>
        <v>Closed</v>
      </c>
      <c r="N192" s="32" t="s">
        <v>521</v>
      </c>
      <c r="O192" s="32">
        <f ca="1">SUMIFS(Table3[Days with], Table3[Ref], Table2[[#This Row],[Ref]],Table3[Who With],"Legal")</f>
        <v>15</v>
      </c>
      <c r="P192" s="34">
        <f>SUMIFS(Table3[Total Cycle Time],Table3[Ref],Table2[[#This Row],[Ref]])</f>
        <v>15</v>
      </c>
    </row>
    <row r="193" spans="1:16" hidden="1" x14ac:dyDescent="0.25">
      <c r="A193" s="39" t="str">
        <f>IF(Table2[[#This Row],[Date Received]]="","",_xlfn.CONCAT(Table2[[#This Row],[Counterparty]]," - ",Table2[[#This Row],[Contract Name]]))</f>
        <v>Graduate Gala Agreemenrs - Sponsorship Agreement</v>
      </c>
      <c r="B193" s="33">
        <v>44930</v>
      </c>
      <c r="C193" s="32" t="s">
        <v>11</v>
      </c>
      <c r="D193" s="32" t="s">
        <v>561</v>
      </c>
      <c r="E193" s="32" t="s">
        <v>13</v>
      </c>
      <c r="F193" s="32" t="s">
        <v>16</v>
      </c>
      <c r="G193" s="32" t="s">
        <v>289</v>
      </c>
      <c r="H193" s="32" t="s">
        <v>15</v>
      </c>
      <c r="I193" s="32" t="s">
        <v>234</v>
      </c>
      <c r="J193" s="32"/>
      <c r="K193" s="32" t="s">
        <v>442</v>
      </c>
      <c r="L193" s="32" t="s">
        <v>169</v>
      </c>
      <c r="M193" s="32" t="str">
        <f>IF(Table2[[#This Row],[Stage]]="Closed","Closed","Open")</f>
        <v>Closed</v>
      </c>
      <c r="N193" s="32"/>
      <c r="O193" s="32">
        <f ca="1">SUMIFS(Table3[Days with], Table3[Ref], Table2[[#This Row],[Ref]],Table3[Who With],"Legal")</f>
        <v>55</v>
      </c>
      <c r="P193" s="34">
        <f>SUMIFS(Table3[Total Cycle Time],Table3[Ref],Table2[[#This Row],[Ref]])</f>
        <v>55</v>
      </c>
    </row>
    <row r="194" spans="1:16" hidden="1" x14ac:dyDescent="0.25">
      <c r="A194" s="39" t="str">
        <f>IF(Table2[[#This Row],[Date Received]]="","",_xlfn.CONCAT(Table2[[#This Row],[Counterparty]]," - ",Table2[[#This Row],[Contract Name]]))</f>
        <v>Withy Grove Veterinary Clinic Vendors - Settlement Agreement</v>
      </c>
      <c r="B194" s="33">
        <v>44931</v>
      </c>
      <c r="C194" s="32" t="s">
        <v>11</v>
      </c>
      <c r="D194" s="32" t="s">
        <v>562</v>
      </c>
      <c r="E194" s="32" t="s">
        <v>330</v>
      </c>
      <c r="F194" s="32" t="s">
        <v>16</v>
      </c>
      <c r="G194" s="32" t="s">
        <v>37</v>
      </c>
      <c r="H194" s="32" t="s">
        <v>15</v>
      </c>
      <c r="I194" s="32" t="s">
        <v>519</v>
      </c>
      <c r="J194" s="32" t="s">
        <v>520</v>
      </c>
      <c r="K194" s="32" t="s">
        <v>442</v>
      </c>
      <c r="L194" s="32" t="s">
        <v>169</v>
      </c>
      <c r="M194" s="32" t="str">
        <f>IF(Table2[[#This Row],[Stage]]="Closed","Closed","Open")</f>
        <v>Closed</v>
      </c>
      <c r="N194" s="32" t="s">
        <v>521</v>
      </c>
      <c r="O194" s="32">
        <f ca="1">SUMIFS(Table3[Days with], Table3[Ref], Table2[[#This Row],[Ref]],Table3[Who With],"Legal")</f>
        <v>14</v>
      </c>
      <c r="P194" s="34">
        <f>SUMIFS(Table3[Total Cycle Time],Table3[Ref],Table2[[#This Row],[Ref]])</f>
        <v>14</v>
      </c>
    </row>
    <row r="195" spans="1:16" hidden="1" x14ac:dyDescent="0.25">
      <c r="A195" s="39" t="str">
        <f>IF(Table2[[#This Row],[Date Received]]="","",_xlfn.CONCAT(Table2[[#This Row],[Counterparty]]," - ",Table2[[#This Row],[Contract Name]]))</f>
        <v>Kebir House Vendors - Settlement Agreement</v>
      </c>
      <c r="B195" s="33">
        <v>44932</v>
      </c>
      <c r="C195" s="32" t="s">
        <v>11</v>
      </c>
      <c r="D195" s="32" t="s">
        <v>563</v>
      </c>
      <c r="E195" s="32" t="s">
        <v>564</v>
      </c>
      <c r="F195" s="32" t="s">
        <v>16</v>
      </c>
      <c r="G195" s="32" t="s">
        <v>37</v>
      </c>
      <c r="H195" s="32" t="s">
        <v>15</v>
      </c>
      <c r="I195" s="32" t="s">
        <v>519</v>
      </c>
      <c r="J195" s="32" t="s">
        <v>520</v>
      </c>
      <c r="K195" s="32" t="s">
        <v>442</v>
      </c>
      <c r="L195" s="32" t="s">
        <v>169</v>
      </c>
      <c r="M195" s="32" t="str">
        <f>IF(Table2[[#This Row],[Stage]]="Closed","Closed","Open")</f>
        <v>Closed</v>
      </c>
      <c r="N195" s="32" t="s">
        <v>521</v>
      </c>
      <c r="O195" s="32">
        <f ca="1">SUMIFS(Table3[Days with], Table3[Ref], Table2[[#This Row],[Ref]],Table3[Who With],"Legal")</f>
        <v>13</v>
      </c>
      <c r="P195" s="34">
        <f>SUMIFS(Table3[Total Cycle Time],Table3[Ref],Table2[[#This Row],[Ref]])</f>
        <v>13</v>
      </c>
    </row>
    <row r="196" spans="1:16" hidden="1" x14ac:dyDescent="0.25">
      <c r="A196" s="39" t="str">
        <f>IF(Table2[[#This Row],[Date Received]]="","",_xlfn.CONCAT(Table2[[#This Row],[Counterparty]]," - ",Table2[[#This Row],[Contract Name]]))</f>
        <v>Frontier Economics - Engagement Letter</v>
      </c>
      <c r="B196" s="33">
        <v>44936</v>
      </c>
      <c r="C196" s="32" t="s">
        <v>11</v>
      </c>
      <c r="D196" s="32" t="s">
        <v>515</v>
      </c>
      <c r="E196" s="32"/>
      <c r="F196" s="32" t="s">
        <v>12</v>
      </c>
      <c r="G196" s="32" t="s">
        <v>34</v>
      </c>
      <c r="H196" s="32" t="s">
        <v>17</v>
      </c>
      <c r="I196" s="32" t="s">
        <v>198</v>
      </c>
      <c r="J196" s="32" t="s">
        <v>467</v>
      </c>
      <c r="K196" s="32" t="s">
        <v>12</v>
      </c>
      <c r="L196" s="32" t="s">
        <v>169</v>
      </c>
      <c r="M196" s="32" t="str">
        <f>IF(Table2[[#This Row],[Stage]]="Closed","Closed","Open")</f>
        <v>Closed</v>
      </c>
      <c r="N196" s="32" t="s">
        <v>516</v>
      </c>
      <c r="O196" s="32">
        <f ca="1">SUMIFS(Table3[Days with], Table3[Ref], Table2[[#This Row],[Ref]],Table3[Who With],"Legal")</f>
        <v>10</v>
      </c>
      <c r="P196" s="34">
        <f>SUMIFS(Table3[Total Cycle Time],Table3[Ref],Table2[[#This Row],[Ref]])</f>
        <v>10</v>
      </c>
    </row>
    <row r="197" spans="1:16" hidden="1" x14ac:dyDescent="0.25">
      <c r="A197" s="39" t="str">
        <f>IF(Table2[[#This Row],[Date Received]]="","",_xlfn.CONCAT(Table2[[#This Row],[Counterparty]]," - ",Table2[[#This Row],[Contract Name]]))</f>
        <v xml:space="preserve"> - Advice</v>
      </c>
      <c r="B197" s="33">
        <v>44936</v>
      </c>
      <c r="C197" s="32" t="s">
        <v>11</v>
      </c>
      <c r="D197" s="32"/>
      <c r="E197" s="32" t="s">
        <v>532</v>
      </c>
      <c r="F197" s="32" t="s">
        <v>12</v>
      </c>
      <c r="G197" s="32" t="s">
        <v>27</v>
      </c>
      <c r="H197" s="32" t="s">
        <v>17</v>
      </c>
      <c r="I197" s="32" t="s">
        <v>533</v>
      </c>
      <c r="J197" s="32" t="s">
        <v>534</v>
      </c>
      <c r="K197" s="32" t="s">
        <v>12</v>
      </c>
      <c r="L197" s="32" t="s">
        <v>169</v>
      </c>
      <c r="M197" s="32" t="str">
        <f>IF(Table2[[#This Row],[Stage]]="Closed","Closed","Open")</f>
        <v>Closed</v>
      </c>
      <c r="N197" s="32" t="s">
        <v>535</v>
      </c>
      <c r="O197" s="32">
        <f ca="1">SUMIFS(Table3[Days with], Table3[Ref], Table2[[#This Row],[Ref]],Table3[Who With],"Legal")</f>
        <v>17</v>
      </c>
      <c r="P197" s="34">
        <f>SUMIFS(Table3[Total Cycle Time],Table3[Ref],Table2[[#This Row],[Ref]])</f>
        <v>17</v>
      </c>
    </row>
    <row r="198" spans="1:16" hidden="1" x14ac:dyDescent="0.25">
      <c r="A198" s="39" t="str">
        <f>IF(Table2[[#This Row],[Date Received]]="","",_xlfn.CONCAT(Table2[[#This Row],[Counterparty]]," - ",Table2[[#This Row],[Contract Name]]))</f>
        <v>PMS - providers - Advice</v>
      </c>
      <c r="B198" s="33">
        <v>44936</v>
      </c>
      <c r="C198" s="32" t="s">
        <v>11</v>
      </c>
      <c r="D198" s="32" t="s">
        <v>550</v>
      </c>
      <c r="E198" s="32" t="s">
        <v>551</v>
      </c>
      <c r="F198" s="32" t="s">
        <v>12</v>
      </c>
      <c r="G198" s="32" t="s">
        <v>34</v>
      </c>
      <c r="H198" s="32" t="s">
        <v>17</v>
      </c>
      <c r="I198" s="32" t="s">
        <v>533</v>
      </c>
      <c r="J198" s="32" t="s">
        <v>35</v>
      </c>
      <c r="K198" s="32" t="s">
        <v>12</v>
      </c>
      <c r="L198" s="32" t="s">
        <v>169</v>
      </c>
      <c r="M198" s="32" t="str">
        <f>IF(Table2[[#This Row],[Stage]]="Closed","Closed","Open")</f>
        <v>Closed</v>
      </c>
      <c r="N198" s="32" t="s">
        <v>552</v>
      </c>
      <c r="O198" s="32">
        <f ca="1">SUMIFS(Table3[Days with], Table3[Ref], Table2[[#This Row],[Ref]],Table3[Who With],"Legal")</f>
        <v>30</v>
      </c>
      <c r="P198" s="34">
        <f>SUMIFS(Table3[Total Cycle Time],Table3[Ref],Table2[[#This Row],[Ref]])</f>
        <v>30</v>
      </c>
    </row>
    <row r="199" spans="1:16" hidden="1" x14ac:dyDescent="0.25">
      <c r="A199" s="39" t="str">
        <f>IF(Table2[[#This Row],[Date Received]]="","",_xlfn.CONCAT(Table2[[#This Row],[Counterparty]]," - ",Table2[[#This Row],[Contract Name]]))</f>
        <v>Scottish Power - Dispute</v>
      </c>
      <c r="B199" s="33">
        <v>44937</v>
      </c>
      <c r="C199" s="32" t="s">
        <v>11</v>
      </c>
      <c r="D199" s="32" t="s">
        <v>541</v>
      </c>
      <c r="E199" s="32"/>
      <c r="F199" s="32" t="s">
        <v>12</v>
      </c>
      <c r="G199" s="32" t="s">
        <v>27</v>
      </c>
      <c r="H199" s="32" t="s">
        <v>17</v>
      </c>
      <c r="I199" s="32" t="s">
        <v>542</v>
      </c>
      <c r="J199" s="32" t="s">
        <v>28</v>
      </c>
      <c r="K199" s="32" t="s">
        <v>12</v>
      </c>
      <c r="L199" s="32" t="s">
        <v>169</v>
      </c>
      <c r="M199" s="32" t="str">
        <f>IF(Table2[[#This Row],[Stage]]="Closed","Closed","Open")</f>
        <v>Closed</v>
      </c>
      <c r="N199" s="32" t="s">
        <v>543</v>
      </c>
      <c r="O199" s="32">
        <f ca="1">SUMIFS(Table3[Days with], Table3[Ref], Table2[[#This Row],[Ref]],Table3[Who With],"Legal")</f>
        <v>23</v>
      </c>
      <c r="P199" s="34">
        <f>SUMIFS(Table3[Total Cycle Time],Table3[Ref],Table2[[#This Row],[Ref]])</f>
        <v>23</v>
      </c>
    </row>
    <row r="200" spans="1:16" hidden="1" x14ac:dyDescent="0.25">
      <c r="A200" s="39" t="str">
        <f>IF(Table2[[#This Row],[Date Received]]="","",_xlfn.CONCAT(Table2[[#This Row],[Counterparty]]," - ",Table2[[#This Row],[Contract Name]]))</f>
        <v>2 Vets Vendors - Settlement Agreement</v>
      </c>
      <c r="B200" s="33">
        <v>44937</v>
      </c>
      <c r="C200" s="32" t="s">
        <v>11</v>
      </c>
      <c r="D200" s="32" t="s">
        <v>565</v>
      </c>
      <c r="E200" s="32" t="s">
        <v>566</v>
      </c>
      <c r="F200" s="32" t="s">
        <v>16</v>
      </c>
      <c r="G200" s="32" t="s">
        <v>37</v>
      </c>
      <c r="H200" s="32" t="s">
        <v>15</v>
      </c>
      <c r="I200" s="32" t="s">
        <v>519</v>
      </c>
      <c r="J200" s="32" t="s">
        <v>520</v>
      </c>
      <c r="K200" s="32" t="s">
        <v>442</v>
      </c>
      <c r="L200" s="32" t="s">
        <v>169</v>
      </c>
      <c r="M200" s="32" t="str">
        <f>IF(Table2[[#This Row],[Stage]]="Closed","Closed","Open")</f>
        <v>Closed</v>
      </c>
      <c r="N200" s="32" t="s">
        <v>521</v>
      </c>
      <c r="O200" s="32">
        <f ca="1">SUMIFS(Table3[Days with], Table3[Ref], Table2[[#This Row],[Ref]],Table3[Who With],"Legal")</f>
        <v>12</v>
      </c>
      <c r="P200" s="34">
        <f>SUMIFS(Table3[Total Cycle Time],Table3[Ref],Table2[[#This Row],[Ref]])</f>
        <v>12</v>
      </c>
    </row>
    <row r="201" spans="1:16" hidden="1" x14ac:dyDescent="0.25">
      <c r="A201" s="39" t="str">
        <f>IF(Table2[[#This Row],[Date Received]]="","",_xlfn.CONCAT(Table2[[#This Row],[Counterparty]]," - ",Table2[[#This Row],[Contract Name]]))</f>
        <v>Fitzalan Vendors - Settlement Agreement</v>
      </c>
      <c r="B201" s="33">
        <v>44937</v>
      </c>
      <c r="C201" s="32" t="s">
        <v>11</v>
      </c>
      <c r="D201" s="32" t="s">
        <v>567</v>
      </c>
      <c r="E201" s="32" t="s">
        <v>568</v>
      </c>
      <c r="F201" s="32" t="s">
        <v>16</v>
      </c>
      <c r="G201" s="32" t="s">
        <v>37</v>
      </c>
      <c r="H201" s="32" t="s">
        <v>15</v>
      </c>
      <c r="I201" s="32" t="s">
        <v>519</v>
      </c>
      <c r="J201" s="32" t="s">
        <v>520</v>
      </c>
      <c r="K201" s="32" t="s">
        <v>442</v>
      </c>
      <c r="L201" s="32" t="s">
        <v>169</v>
      </c>
      <c r="M201" s="32" t="str">
        <f>IF(Table2[[#This Row],[Stage]]="Closed","Closed","Open")</f>
        <v>Closed</v>
      </c>
      <c r="N201" s="32" t="s">
        <v>521</v>
      </c>
      <c r="O201" s="32">
        <f ca="1">SUMIFS(Table3[Days with], Table3[Ref], Table2[[#This Row],[Ref]],Table3[Who With],"Legal")</f>
        <v>12</v>
      </c>
      <c r="P201" s="34">
        <f>SUMIFS(Table3[Total Cycle Time],Table3[Ref],Table2[[#This Row],[Ref]])</f>
        <v>12</v>
      </c>
    </row>
    <row r="202" spans="1:16" hidden="1" x14ac:dyDescent="0.25">
      <c r="A202" s="39" t="str">
        <f>IF(Table2[[#This Row],[Date Received]]="","",_xlfn.CONCAT(Table2[[#This Row],[Counterparty]]," - ",Table2[[#This Row],[Contract Name]]))</f>
        <v>Welsh - Disciplinary actions</v>
      </c>
      <c r="B202" s="33">
        <v>44937</v>
      </c>
      <c r="C202" s="32" t="s">
        <v>11</v>
      </c>
      <c r="D202" s="32" t="s">
        <v>591</v>
      </c>
      <c r="E202" s="32" t="s">
        <v>592</v>
      </c>
      <c r="F202" s="32" t="s">
        <v>12</v>
      </c>
      <c r="G202" s="32" t="s">
        <v>3</v>
      </c>
      <c r="H202" s="32" t="s">
        <v>17</v>
      </c>
      <c r="I202" s="32" t="s">
        <v>593</v>
      </c>
      <c r="J202" s="32" t="s">
        <v>594</v>
      </c>
      <c r="K202" s="32" t="s">
        <v>12</v>
      </c>
      <c r="L202" s="32" t="s">
        <v>169</v>
      </c>
      <c r="M202" s="32" t="str">
        <f>IF(Table2[[#This Row],[Stage]]="Closed","Closed","Open")</f>
        <v>Closed</v>
      </c>
      <c r="N202" s="32" t="s">
        <v>595</v>
      </c>
      <c r="O202" s="32">
        <f ca="1">SUMIFS(Table3[Days with], Table3[Ref], Table2[[#This Row],[Ref]],Table3[Who With],"Legal")</f>
        <v>44</v>
      </c>
      <c r="P202" s="34">
        <f>SUMIFS(Table3[Total Cycle Time],Table3[Ref],Table2[[#This Row],[Ref]])</f>
        <v>44</v>
      </c>
    </row>
    <row r="203" spans="1:16" hidden="1" x14ac:dyDescent="0.25">
      <c r="A203" s="39" t="str">
        <f>IF(Table2[[#This Row],[Date Received]]="","",_xlfn.CONCAT(Table2[[#This Row],[Counterparty]]," - ",Table2[[#This Row],[Contract Name]]))</f>
        <v>Suez - Services Agreement</v>
      </c>
      <c r="B203" s="33">
        <v>44939</v>
      </c>
      <c r="C203" s="32" t="s">
        <v>510</v>
      </c>
      <c r="D203" s="32" t="s">
        <v>569</v>
      </c>
      <c r="E203" s="32" t="s">
        <v>13</v>
      </c>
      <c r="F203" s="32" t="s">
        <v>16</v>
      </c>
      <c r="G203" s="32" t="s">
        <v>510</v>
      </c>
      <c r="H203" s="32" t="s">
        <v>17</v>
      </c>
      <c r="I203" s="32" t="s">
        <v>32</v>
      </c>
      <c r="J203" s="32" t="s">
        <v>512</v>
      </c>
      <c r="K203" s="32" t="s">
        <v>442</v>
      </c>
      <c r="L203" s="32" t="s">
        <v>169</v>
      </c>
      <c r="M203" s="32" t="str">
        <f>IF(Table2[[#This Row],[Stage]]="Closed","Closed","Open")</f>
        <v>Closed</v>
      </c>
      <c r="N203" s="32"/>
      <c r="O203" s="32">
        <f ca="1">SUMIFS(Table3[Days with], Table3[Ref], Table2[[#This Row],[Ref]],Table3[Who With],"Legal")</f>
        <v>34</v>
      </c>
      <c r="P203" s="34">
        <f>SUMIFS(Table3[Total Cycle Time],Table3[Ref],Table2[[#This Row],[Ref]])</f>
        <v>34</v>
      </c>
    </row>
    <row r="204" spans="1:16" hidden="1" x14ac:dyDescent="0.25">
      <c r="A204" s="39" t="str">
        <f>IF(Table2[[#This Row],[Date Received]]="","",_xlfn.CONCAT(Table2[[#This Row],[Counterparty]]," - ",Table2[[#This Row],[Contract Name]]))</f>
        <v>TVCC Vendors - Settlement Agreement</v>
      </c>
      <c r="B204" s="33">
        <v>44942</v>
      </c>
      <c r="C204" s="32" t="s">
        <v>11</v>
      </c>
      <c r="D204" s="32" t="s">
        <v>570</v>
      </c>
      <c r="E204" s="32" t="s">
        <v>571</v>
      </c>
      <c r="F204" s="32" t="s">
        <v>16</v>
      </c>
      <c r="G204" s="32" t="s">
        <v>37</v>
      </c>
      <c r="H204" s="32" t="s">
        <v>15</v>
      </c>
      <c r="I204" s="32" t="s">
        <v>519</v>
      </c>
      <c r="J204" s="32" t="s">
        <v>520</v>
      </c>
      <c r="K204" s="32" t="s">
        <v>442</v>
      </c>
      <c r="L204" s="32" t="s">
        <v>169</v>
      </c>
      <c r="M204" s="32" t="str">
        <f>IF(Table2[[#This Row],[Stage]]="Closed","Closed","Open")</f>
        <v>Closed</v>
      </c>
      <c r="N204" s="32" t="s">
        <v>521</v>
      </c>
      <c r="O204" s="32">
        <f ca="1">SUMIFS(Table3[Days with], Table3[Ref], Table2[[#This Row],[Ref]],Table3[Who With],"Legal")</f>
        <v>7</v>
      </c>
      <c r="P204" s="34">
        <f>SUMIFS(Table3[Total Cycle Time],Table3[Ref],Table2[[#This Row],[Ref]])</f>
        <v>7</v>
      </c>
    </row>
    <row r="205" spans="1:16" hidden="1" x14ac:dyDescent="0.25">
      <c r="A205" s="39" t="str">
        <f>IF(Table2[[#This Row],[Date Received]]="","",_xlfn.CONCAT(Table2[[#This Row],[Counterparty]]," - ",Table2[[#This Row],[Contract Name]]))</f>
        <v>Life Technologies Limited - Services Agreement</v>
      </c>
      <c r="B205" s="33">
        <v>44942</v>
      </c>
      <c r="C205" s="32" t="s">
        <v>510</v>
      </c>
      <c r="D205" s="32" t="s">
        <v>574</v>
      </c>
      <c r="E205" s="32" t="s">
        <v>13</v>
      </c>
      <c r="F205" s="32" t="s">
        <v>16</v>
      </c>
      <c r="G205" s="32" t="s">
        <v>510</v>
      </c>
      <c r="H205" s="32" t="s">
        <v>17</v>
      </c>
      <c r="I205" s="32" t="s">
        <v>32</v>
      </c>
      <c r="J205" s="32" t="s">
        <v>512</v>
      </c>
      <c r="K205" s="32" t="s">
        <v>442</v>
      </c>
      <c r="L205" s="32" t="s">
        <v>169</v>
      </c>
      <c r="M205" s="32" t="str">
        <f>IF(Table2[[#This Row],[Stage]]="Closed","Closed","Open")</f>
        <v>Closed</v>
      </c>
      <c r="N205" s="32"/>
      <c r="O205" s="32">
        <f ca="1">SUMIFS(Table3[Days with], Table3[Ref], Table2[[#This Row],[Ref]],Table3[Who With],"Legal")</f>
        <v>31</v>
      </c>
      <c r="P205" s="34">
        <f>SUMIFS(Table3[Total Cycle Time],Table3[Ref],Table2[[#This Row],[Ref]])</f>
        <v>31</v>
      </c>
    </row>
    <row r="206" spans="1:16" hidden="1" x14ac:dyDescent="0.25">
      <c r="A206" s="39" t="str">
        <f>IF(Table2[[#This Row],[Date Received]]="","",_xlfn.CONCAT(Table2[[#This Row],[Counterparty]]," - ",Table2[[#This Row],[Contract Name]]))</f>
        <v>Sysmex - Services Agreement</v>
      </c>
      <c r="B206" s="33">
        <v>44942</v>
      </c>
      <c r="C206" s="32" t="s">
        <v>510</v>
      </c>
      <c r="D206" s="32" t="s">
        <v>575</v>
      </c>
      <c r="E206" s="32" t="s">
        <v>13</v>
      </c>
      <c r="F206" s="32" t="s">
        <v>16</v>
      </c>
      <c r="G206" s="32" t="s">
        <v>510</v>
      </c>
      <c r="H206" s="32" t="s">
        <v>17</v>
      </c>
      <c r="I206" s="32" t="s">
        <v>32</v>
      </c>
      <c r="J206" s="32" t="s">
        <v>512</v>
      </c>
      <c r="K206" s="32" t="s">
        <v>442</v>
      </c>
      <c r="L206" s="32" t="s">
        <v>169</v>
      </c>
      <c r="M206" s="32" t="str">
        <f>IF(Table2[[#This Row],[Stage]]="Closed","Closed","Open")</f>
        <v>Closed</v>
      </c>
      <c r="N206" s="32"/>
      <c r="O206" s="32">
        <f ca="1">SUMIFS(Table3[Days with], Table3[Ref], Table2[[#This Row],[Ref]],Table3[Who With],"Legal")</f>
        <v>31</v>
      </c>
      <c r="P206" s="34">
        <f>SUMIFS(Table3[Total Cycle Time],Table3[Ref],Table2[[#This Row],[Ref]])</f>
        <v>31</v>
      </c>
    </row>
    <row r="207" spans="1:16" hidden="1" x14ac:dyDescent="0.25">
      <c r="A207" s="39" t="str">
        <f>IF(Table2[[#This Row],[Date Received]]="","",_xlfn.CONCAT(Table2[[#This Row],[Counterparty]]," - ",Table2[[#This Row],[Contract Name]]))</f>
        <v>Medical Physics Services - Provision of Radiopharmaceuticals Contract</v>
      </c>
      <c r="B207" s="33">
        <v>44943</v>
      </c>
      <c r="C207" s="32" t="s">
        <v>11</v>
      </c>
      <c r="D207" s="32" t="s">
        <v>544</v>
      </c>
      <c r="E207" s="32" t="s">
        <v>434</v>
      </c>
      <c r="F207" s="32" t="s">
        <v>12</v>
      </c>
      <c r="G207" s="32" t="s">
        <v>14</v>
      </c>
      <c r="H207" s="32" t="s">
        <v>17</v>
      </c>
      <c r="I207" s="32" t="s">
        <v>545</v>
      </c>
      <c r="J207" s="32" t="s">
        <v>51</v>
      </c>
      <c r="K207" s="32" t="s">
        <v>12</v>
      </c>
      <c r="L207" s="32" t="s">
        <v>169</v>
      </c>
      <c r="M207" s="32" t="str">
        <f>IF(Table2[[#This Row],[Stage]]="Closed","Closed","Open")</f>
        <v>Closed</v>
      </c>
      <c r="N207" s="32" t="s">
        <v>531</v>
      </c>
      <c r="O207" s="32">
        <f ca="1">SUMIFS(Table3[Days with], Table3[Ref], Table2[[#This Row],[Ref]],Table3[Who With],"Legal")</f>
        <v>17</v>
      </c>
      <c r="P207" s="34">
        <f>SUMIFS(Table3[Total Cycle Time],Table3[Ref],Table2[[#This Row],[Ref]])</f>
        <v>17</v>
      </c>
    </row>
    <row r="208" spans="1:16" hidden="1" x14ac:dyDescent="0.25">
      <c r="A208" s="39" t="str">
        <f>IF(Table2[[#This Row],[Date Received]]="","",_xlfn.CONCAT(Table2[[#This Row],[Counterparty]]," - ",Table2[[#This Row],[Contract Name]]))</f>
        <v>Graduate Gala Agreements - Event Contract</v>
      </c>
      <c r="B208" s="33">
        <v>44943</v>
      </c>
      <c r="C208" s="32" t="s">
        <v>11</v>
      </c>
      <c r="D208" s="32" t="s">
        <v>576</v>
      </c>
      <c r="E208" s="32" t="s">
        <v>13</v>
      </c>
      <c r="F208" s="32" t="s">
        <v>16</v>
      </c>
      <c r="G208" s="32" t="s">
        <v>289</v>
      </c>
      <c r="H208" s="32" t="s">
        <v>17</v>
      </c>
      <c r="I208" s="32" t="s">
        <v>577</v>
      </c>
      <c r="J208" s="32"/>
      <c r="K208" s="32" t="s">
        <v>442</v>
      </c>
      <c r="L208" s="32" t="s">
        <v>169</v>
      </c>
      <c r="M208" s="32" t="str">
        <f>IF(Table2[[#This Row],[Stage]]="Closed","Closed","Open")</f>
        <v>Closed</v>
      </c>
      <c r="N208" s="32"/>
      <c r="O208" s="32">
        <f ca="1">SUMIFS(Table3[Days with], Table3[Ref], Table2[[#This Row],[Ref]],Table3[Who With],"Legal")</f>
        <v>43</v>
      </c>
      <c r="P208" s="34">
        <f>SUMIFS(Table3[Total Cycle Time],Table3[Ref],Table2[[#This Row],[Ref]])</f>
        <v>43</v>
      </c>
    </row>
    <row r="209" spans="1:16" hidden="1" x14ac:dyDescent="0.25">
      <c r="A209" s="39" t="str">
        <f>IF(Table2[[#This Row],[Date Received]]="","",_xlfn.CONCAT(Table2[[#This Row],[Counterparty]]," - ",Table2[[#This Row],[Contract Name]]))</f>
        <v>Validium - EAP Contract</v>
      </c>
      <c r="B209" s="33">
        <v>44943</v>
      </c>
      <c r="C209" s="32" t="s">
        <v>11</v>
      </c>
      <c r="D209" s="32" t="s">
        <v>596</v>
      </c>
      <c r="E209" s="32"/>
      <c r="F209" s="32" t="s">
        <v>12</v>
      </c>
      <c r="G209" s="32" t="s">
        <v>30</v>
      </c>
      <c r="H209" s="32" t="s">
        <v>17</v>
      </c>
      <c r="I209" s="32" t="s">
        <v>597</v>
      </c>
      <c r="J209" s="32" t="s">
        <v>290</v>
      </c>
      <c r="K209" s="32" t="s">
        <v>12</v>
      </c>
      <c r="L209" s="32" t="s">
        <v>169</v>
      </c>
      <c r="M209" s="32" t="str">
        <f>IF(Table2[[#This Row],[Stage]]="Closed","Closed","Open")</f>
        <v>Closed</v>
      </c>
      <c r="N209" s="32" t="s">
        <v>55</v>
      </c>
      <c r="O209" s="32">
        <f ca="1">SUMIFS(Table3[Days with], Table3[Ref], Table2[[#This Row],[Ref]],Table3[Who With],"Legal")</f>
        <v>38</v>
      </c>
      <c r="P209" s="34">
        <f>SUMIFS(Table3[Total Cycle Time],Table3[Ref],Table2[[#This Row],[Ref]])</f>
        <v>38</v>
      </c>
    </row>
    <row r="210" spans="1:16" hidden="1" x14ac:dyDescent="0.25">
      <c r="A210" s="39" t="str">
        <f>IF(Table2[[#This Row],[Date Received]]="","",_xlfn.CONCAT(Table2[[#This Row],[Counterparty]]," - ",Table2[[#This Row],[Contract Name]]))</f>
        <v>Holiday Inn - Terms &amp; Conditions</v>
      </c>
      <c r="B210" s="33">
        <v>44943</v>
      </c>
      <c r="C210" s="32" t="s">
        <v>11</v>
      </c>
      <c r="D210" s="32" t="s">
        <v>606</v>
      </c>
      <c r="E210" s="32" t="s">
        <v>13</v>
      </c>
      <c r="F210" s="32" t="s">
        <v>16</v>
      </c>
      <c r="G210" s="32" t="s">
        <v>14</v>
      </c>
      <c r="H210" s="32" t="s">
        <v>15</v>
      </c>
      <c r="I210" s="32" t="s">
        <v>607</v>
      </c>
      <c r="J210" s="32" t="s">
        <v>608</v>
      </c>
      <c r="K210" s="32" t="s">
        <v>608</v>
      </c>
      <c r="L210" s="32" t="s">
        <v>169</v>
      </c>
      <c r="M210" s="32" t="str">
        <f>IF(Table2[[#This Row],[Stage]]="Closed","Closed","Open")</f>
        <v>Closed</v>
      </c>
      <c r="N210" s="32"/>
      <c r="O210" s="32">
        <f ca="1">SUMIFS(Table3[Days with], Table3[Ref], Table2[[#This Row],[Ref]],Table3[Who With],"Legal")</f>
        <v>62</v>
      </c>
      <c r="P210" s="34">
        <f>SUMIFS(Table3[Total Cycle Time],Table3[Ref],Table2[[#This Row],[Ref]])</f>
        <v>62</v>
      </c>
    </row>
    <row r="211" spans="1:16" hidden="1" x14ac:dyDescent="0.25">
      <c r="A211" s="39" t="str">
        <f>IF(Table2[[#This Row],[Date Received]]="","",_xlfn.CONCAT(Table2[[#This Row],[Counterparty]]," - ",Table2[[#This Row],[Contract Name]]))</f>
        <v>Chess - OOH Agreement</v>
      </c>
      <c r="B211" s="33">
        <v>44944</v>
      </c>
      <c r="C211" s="32" t="s">
        <v>11</v>
      </c>
      <c r="D211" s="32" t="s">
        <v>609</v>
      </c>
      <c r="E211" s="32" t="s">
        <v>610</v>
      </c>
      <c r="F211" s="32" t="s">
        <v>16</v>
      </c>
      <c r="G211" s="32" t="s">
        <v>3</v>
      </c>
      <c r="H211" s="32" t="s">
        <v>17</v>
      </c>
      <c r="I211" s="32" t="s">
        <v>276</v>
      </c>
      <c r="J211" s="32" t="s">
        <v>611</v>
      </c>
      <c r="K211" s="32" t="s">
        <v>612</v>
      </c>
      <c r="L211" s="32" t="s">
        <v>169</v>
      </c>
      <c r="M211" s="32" t="str">
        <f>IF(Table2[[#This Row],[Stage]]="Closed","Closed","Open")</f>
        <v>Closed</v>
      </c>
      <c r="N211" s="32" t="s">
        <v>613</v>
      </c>
      <c r="O211" s="32">
        <f ca="1">SUMIFS(Table3[Days with], Table3[Ref], Table2[[#This Row],[Ref]],Table3[Who With],"Legal")</f>
        <v>92</v>
      </c>
      <c r="P211" s="34">
        <f>SUMIFS(Table3[Total Cycle Time],Table3[Ref],Table2[[#This Row],[Ref]])</f>
        <v>92</v>
      </c>
    </row>
    <row r="212" spans="1:16" hidden="1" x14ac:dyDescent="0.25">
      <c r="A212" s="39" t="str">
        <f>IF(Table2[[#This Row],[Date Received]]="","",_xlfn.CONCAT(Table2[[#This Row],[Counterparty]]," - ",Table2[[#This Row],[Contract Name]]))</f>
        <v>Ecoserve - Cleaning Contract</v>
      </c>
      <c r="B212" s="33">
        <v>44945</v>
      </c>
      <c r="C212" s="32" t="s">
        <v>11</v>
      </c>
      <c r="D212" s="32" t="s">
        <v>598</v>
      </c>
      <c r="E212" s="32"/>
      <c r="F212" s="32" t="s">
        <v>12</v>
      </c>
      <c r="G212" s="32" t="s">
        <v>14</v>
      </c>
      <c r="H212" s="32" t="s">
        <v>17</v>
      </c>
      <c r="I212" s="32" t="s">
        <v>599</v>
      </c>
      <c r="J212" s="32" t="s">
        <v>31</v>
      </c>
      <c r="K212" s="32" t="s">
        <v>12</v>
      </c>
      <c r="L212" s="32" t="s">
        <v>169</v>
      </c>
      <c r="M212" s="32" t="str">
        <f>IF(Table2[[#This Row],[Stage]]="Closed","Closed","Open")</f>
        <v>Closed</v>
      </c>
      <c r="N212" s="32" t="s">
        <v>600</v>
      </c>
      <c r="O212" s="32">
        <f ca="1">SUMIFS(Table3[Days with], Table3[Ref], Table2[[#This Row],[Ref]],Table3[Who With],"Legal")</f>
        <v>36</v>
      </c>
      <c r="P212" s="34">
        <f>SUMIFS(Table3[Total Cycle Time],Table3[Ref],Table2[[#This Row],[Ref]])</f>
        <v>36</v>
      </c>
    </row>
    <row r="213" spans="1:16" hidden="1" x14ac:dyDescent="0.25">
      <c r="A213" s="39" t="str">
        <f>IF(Table2[[#This Row],[Date Received]]="","",_xlfn.CONCAT(Table2[[#This Row],[Counterparty]]," - ",Table2[[#This Row],[Contract Name]]))</f>
        <v>Anita James - Maintenance dispute</v>
      </c>
      <c r="B213" s="33">
        <v>44951</v>
      </c>
      <c r="C213" s="32" t="s">
        <v>11</v>
      </c>
      <c r="D213" s="32" t="s">
        <v>601</v>
      </c>
      <c r="E213" s="32" t="s">
        <v>493</v>
      </c>
      <c r="F213" s="32" t="s">
        <v>12</v>
      </c>
      <c r="G213" s="32" t="s">
        <v>3</v>
      </c>
      <c r="H213" s="32" t="s">
        <v>17</v>
      </c>
      <c r="I213" s="32" t="s">
        <v>602</v>
      </c>
      <c r="J213" s="32" t="s">
        <v>603</v>
      </c>
      <c r="K213" s="32" t="s">
        <v>604</v>
      </c>
      <c r="L213" s="32" t="s">
        <v>169</v>
      </c>
      <c r="M213" s="32" t="str">
        <f>IF(Table2[[#This Row],[Stage]]="Closed","Closed","Open")</f>
        <v>Closed</v>
      </c>
      <c r="N213" s="32" t="s">
        <v>605</v>
      </c>
      <c r="O213" s="32">
        <f ca="1">SUMIFS(Table3[Days with], Table3[Ref], Table2[[#This Row],[Ref]],Table3[Who With],"Legal")</f>
        <v>30</v>
      </c>
      <c r="P213" s="34">
        <f>SUMIFS(Table3[Total Cycle Time],Table3[Ref],Table2[[#This Row],[Ref]])</f>
        <v>30</v>
      </c>
    </row>
    <row r="214" spans="1:16" hidden="1" x14ac:dyDescent="0.25">
      <c r="A214" s="39" t="str">
        <f>IF(Table2[[#This Row],[Date Received]]="","",_xlfn.CONCAT(Table2[[#This Row],[Counterparty]]," - ",Table2[[#This Row],[Contract Name]]))</f>
        <v>Pets Relaxed - OOH Agreement</v>
      </c>
      <c r="B214" s="33">
        <v>44951</v>
      </c>
      <c r="C214" s="32" t="s">
        <v>11</v>
      </c>
      <c r="D214" s="32" t="s">
        <v>614</v>
      </c>
      <c r="E214" s="32" t="s">
        <v>615</v>
      </c>
      <c r="F214" s="32" t="s">
        <v>16</v>
      </c>
      <c r="G214" s="32" t="s">
        <v>36</v>
      </c>
      <c r="H214" s="32" t="s">
        <v>15</v>
      </c>
      <c r="I214" s="32" t="s">
        <v>276</v>
      </c>
      <c r="J214" s="32" t="s">
        <v>51</v>
      </c>
      <c r="K214" s="32" t="s">
        <v>616</v>
      </c>
      <c r="L214" s="32" t="s">
        <v>169</v>
      </c>
      <c r="M214" s="32" t="str">
        <f>IF(Table2[[#This Row],[Stage]]="Closed","Closed","Open")</f>
        <v>Closed</v>
      </c>
      <c r="N214" s="32" t="s">
        <v>617</v>
      </c>
      <c r="O214" s="32">
        <f ca="1">SUMIFS(Table3[Days with], Table3[Ref], Table2[[#This Row],[Ref]],Table3[Who With],"Legal")</f>
        <v>31</v>
      </c>
      <c r="P214" s="34">
        <f>SUMIFS(Table3[Total Cycle Time],Table3[Ref],Table2[[#This Row],[Ref]])</f>
        <v>31</v>
      </c>
    </row>
    <row r="215" spans="1:16" hidden="1" x14ac:dyDescent="0.25">
      <c r="A215" s="39" t="str">
        <f>IF(Table2[[#This Row],[Date Received]]="","",_xlfn.CONCAT(Table2[[#This Row],[Counterparty]]," - ",Table2[[#This Row],[Contract Name]]))</f>
        <v xml:space="preserve"> - SPA</v>
      </c>
      <c r="B215" s="33">
        <v>44951</v>
      </c>
      <c r="C215" s="32" t="s">
        <v>11</v>
      </c>
      <c r="D215" s="32"/>
      <c r="E215" s="32" t="s">
        <v>618</v>
      </c>
      <c r="F215" s="32" t="s">
        <v>12</v>
      </c>
      <c r="G215" s="32" t="s">
        <v>3</v>
      </c>
      <c r="H215" s="32" t="s">
        <v>425</v>
      </c>
      <c r="I215" s="32" t="s">
        <v>619</v>
      </c>
      <c r="J215" s="32" t="s">
        <v>620</v>
      </c>
      <c r="K215" s="32" t="s">
        <v>621</v>
      </c>
      <c r="L215" s="32" t="s">
        <v>169</v>
      </c>
      <c r="M215" s="32" t="str">
        <f>IF(Table2[[#This Row],[Stage]]="Closed","Closed","Open")</f>
        <v>Closed</v>
      </c>
      <c r="N215" s="32" t="s">
        <v>622</v>
      </c>
      <c r="O215" s="32">
        <f ca="1">SUMIFS(Table3[Days with], Table3[Ref], Table2[[#This Row],[Ref]],Table3[Who With],"Legal")</f>
        <v>36</v>
      </c>
      <c r="P215" s="34">
        <f>SUMIFS(Table3[Total Cycle Time],Table3[Ref],Table2[[#This Row],[Ref]])</f>
        <v>36</v>
      </c>
    </row>
    <row r="216" spans="1:16" hidden="1" x14ac:dyDescent="0.25">
      <c r="A216" s="39" t="str">
        <f>IF(Table2[[#This Row],[Date Received]]="","",_xlfn.CONCAT(Table2[[#This Row],[Counterparty]]," - ",Table2[[#This Row],[Contract Name]]))</f>
        <v xml:space="preserve"> - Employment and Earn Out dispute</v>
      </c>
      <c r="B216" s="33">
        <v>44951</v>
      </c>
      <c r="C216" s="32" t="s">
        <v>11</v>
      </c>
      <c r="D216" s="32"/>
      <c r="E216" s="32" t="s">
        <v>742</v>
      </c>
      <c r="F216" s="32" t="s">
        <v>12</v>
      </c>
      <c r="G216" s="32" t="s">
        <v>3</v>
      </c>
      <c r="H216" s="32" t="s">
        <v>425</v>
      </c>
      <c r="I216" s="32" t="s">
        <v>743</v>
      </c>
      <c r="J216" s="32" t="s">
        <v>689</v>
      </c>
      <c r="K216" s="32" t="s">
        <v>744</v>
      </c>
      <c r="L216" s="32" t="s">
        <v>169</v>
      </c>
      <c r="M216" s="32" t="str">
        <f>IF(Table2[[#This Row],[Stage]]="Closed","Closed","Open")</f>
        <v>Closed</v>
      </c>
      <c r="N216" s="32" t="s">
        <v>745</v>
      </c>
      <c r="O216" s="32">
        <f ca="1">SUMIFS(Table3[Days with], Table3[Ref], Table2[[#This Row],[Ref]],Table3[Who With],"Legal")</f>
        <v>148</v>
      </c>
      <c r="P216" s="34">
        <f>SUMIFS(Table3[Total Cycle Time],Table3[Ref],Table2[[#This Row],[Ref]])</f>
        <v>148</v>
      </c>
    </row>
    <row r="217" spans="1:16" hidden="1" x14ac:dyDescent="0.25">
      <c r="A217" s="39" t="str">
        <f>IF(Table2[[#This Row],[Date Received]]="","",_xlfn.CONCAT(Table2[[#This Row],[Counterparty]]," - ",Table2[[#This Row],[Contract Name]]))</f>
        <v>GL Hearn - Business Rates Contract</v>
      </c>
      <c r="B217" s="33">
        <v>44953</v>
      </c>
      <c r="C217" s="32" t="s">
        <v>11</v>
      </c>
      <c r="D217" s="32" t="s">
        <v>705</v>
      </c>
      <c r="E217" s="32"/>
      <c r="F217" s="32" t="s">
        <v>12</v>
      </c>
      <c r="G217" s="32" t="s">
        <v>455</v>
      </c>
      <c r="H217" s="32" t="s">
        <v>17</v>
      </c>
      <c r="I217" s="32" t="s">
        <v>706</v>
      </c>
      <c r="J217" s="32" t="s">
        <v>456</v>
      </c>
      <c r="K217" s="32" t="s">
        <v>348</v>
      </c>
      <c r="L217" s="32" t="s">
        <v>169</v>
      </c>
      <c r="M217" s="32" t="str">
        <f>IF(Table2[[#This Row],[Stage]]="Closed","Closed","Open")</f>
        <v>Closed</v>
      </c>
      <c r="N217" s="32" t="s">
        <v>645</v>
      </c>
      <c r="O217" s="32">
        <f ca="1">SUMIFS(Table3[Days with], Table3[Ref], Table2[[#This Row],[Ref]],Table3[Who With],"Legal")</f>
        <v>95</v>
      </c>
      <c r="P217" s="34">
        <f>SUMIFS(Table3[Total Cycle Time],Table3[Ref],Table2[[#This Row],[Ref]])</f>
        <v>95</v>
      </c>
    </row>
    <row r="218" spans="1:16" hidden="1" x14ac:dyDescent="0.25">
      <c r="A218" s="39" t="str">
        <f>IF(Table2[[#This Row],[Date Received]]="","",_xlfn.CONCAT(Table2[[#This Row],[Counterparty]]," - ",Table2[[#This Row],[Contract Name]]))</f>
        <v>Vet Value LLP Vendors - Settlement Agreement</v>
      </c>
      <c r="B218" s="33">
        <v>44956</v>
      </c>
      <c r="C218" s="32" t="s">
        <v>11</v>
      </c>
      <c r="D218" s="32" t="s">
        <v>628</v>
      </c>
      <c r="E218" s="32" t="s">
        <v>258</v>
      </c>
      <c r="F218" s="32" t="s">
        <v>16</v>
      </c>
      <c r="G218" s="32" t="s">
        <v>37</v>
      </c>
      <c r="H218" s="32" t="s">
        <v>15</v>
      </c>
      <c r="I218" s="32" t="s">
        <v>519</v>
      </c>
      <c r="J218" s="32" t="s">
        <v>520</v>
      </c>
      <c r="K218" s="32" t="s">
        <v>442</v>
      </c>
      <c r="L218" s="32" t="s">
        <v>169</v>
      </c>
      <c r="M218" s="32" t="str">
        <f>IF(Table2[[#This Row],[Stage]]="Closed","Closed","Open")</f>
        <v>Closed</v>
      </c>
      <c r="N218" s="32" t="s">
        <v>521</v>
      </c>
      <c r="O218" s="32">
        <f ca="1">SUMIFS(Table3[Days with], Table3[Ref], Table2[[#This Row],[Ref]],Table3[Who With],"Legal")</f>
        <v>4</v>
      </c>
      <c r="P218" s="34">
        <f>SUMIFS(Table3[Total Cycle Time],Table3[Ref],Table2[[#This Row],[Ref]])</f>
        <v>4</v>
      </c>
    </row>
    <row r="219" spans="1:16" hidden="1" x14ac:dyDescent="0.25">
      <c r="A219" s="39" t="str">
        <f>IF(Table2[[#This Row],[Date Received]]="","",_xlfn.CONCAT(Table2[[#This Row],[Counterparty]]," - ",Table2[[#This Row],[Contract Name]]))</f>
        <v>Improve International Limited - Wet Lab services contract</v>
      </c>
      <c r="B219" s="33">
        <v>44958</v>
      </c>
      <c r="C219" s="32" t="s">
        <v>510</v>
      </c>
      <c r="D219" s="32" t="s">
        <v>677</v>
      </c>
      <c r="E219" s="32"/>
      <c r="F219" s="32" t="s">
        <v>12</v>
      </c>
      <c r="G219" s="32" t="s">
        <v>510</v>
      </c>
      <c r="H219" s="32" t="s">
        <v>17</v>
      </c>
      <c r="I219" s="32" t="s">
        <v>678</v>
      </c>
      <c r="J219" s="32" t="s">
        <v>589</v>
      </c>
      <c r="K219" s="32" t="s">
        <v>12</v>
      </c>
      <c r="L219" s="32" t="s">
        <v>169</v>
      </c>
      <c r="M219" s="32" t="str">
        <f>IF(Table2[[#This Row],[Stage]]="Closed","Closed","Open")</f>
        <v>Closed</v>
      </c>
      <c r="N219" s="32" t="s">
        <v>679</v>
      </c>
      <c r="O219" s="32">
        <f ca="1">SUMIFS(Table3[Days with], Table3[Ref], Table2[[#This Row],[Ref]],Table3[Who With],"Legal")</f>
        <v>78</v>
      </c>
      <c r="P219" s="34">
        <f>SUMIFS(Table3[Total Cycle Time],Table3[Ref],Table2[[#This Row],[Ref]])</f>
        <v>78</v>
      </c>
    </row>
    <row r="220" spans="1:16" hidden="1" x14ac:dyDescent="0.25">
      <c r="A220" s="39" t="str">
        <f>IF(Table2[[#This Row],[Date Received]]="","",_xlfn.CONCAT(Table2[[#This Row],[Counterparty]]," - ",Table2[[#This Row],[Contract Name]]))</f>
        <v>Thermo Fisher Scientific - Equipment renewal contract</v>
      </c>
      <c r="B220" s="33">
        <v>44958</v>
      </c>
      <c r="C220" s="32" t="s">
        <v>510</v>
      </c>
      <c r="D220" s="32" t="s">
        <v>680</v>
      </c>
      <c r="E220" s="32"/>
      <c r="F220" s="32" t="s">
        <v>12</v>
      </c>
      <c r="G220" s="32" t="s">
        <v>510</v>
      </c>
      <c r="H220" s="32" t="s">
        <v>17</v>
      </c>
      <c r="I220" s="32" t="s">
        <v>681</v>
      </c>
      <c r="J220" s="32" t="s">
        <v>589</v>
      </c>
      <c r="K220" s="32" t="s">
        <v>589</v>
      </c>
      <c r="L220" s="32" t="s">
        <v>169</v>
      </c>
      <c r="M220" s="32" t="str">
        <f>IF(Table2[[#This Row],[Stage]]="Closed","Closed","Open")</f>
        <v>Closed</v>
      </c>
      <c r="N220" s="32" t="s">
        <v>531</v>
      </c>
      <c r="O220" s="32">
        <f ca="1">SUMIFS(Table3[Days with], Table3[Ref], Table2[[#This Row],[Ref]],Table3[Who With],"Legal")</f>
        <v>78</v>
      </c>
      <c r="P220" s="34">
        <f>SUMIFS(Table3[Total Cycle Time],Table3[Ref],Table2[[#This Row],[Ref]])</f>
        <v>78</v>
      </c>
    </row>
    <row r="221" spans="1:16" hidden="1" x14ac:dyDescent="0.25">
      <c r="A221" s="39" t="str">
        <f>IF(Table2[[#This Row],[Date Received]]="","",_xlfn.CONCAT(Table2[[#This Row],[Counterparty]]," - ",Table2[[#This Row],[Contract Name]]))</f>
        <v>Shire Leasing - Services Agreement</v>
      </c>
      <c r="B221" s="33">
        <v>44960</v>
      </c>
      <c r="C221" s="32" t="s">
        <v>11</v>
      </c>
      <c r="D221" s="32" t="s">
        <v>629</v>
      </c>
      <c r="E221" s="32" t="s">
        <v>630</v>
      </c>
      <c r="F221" s="32" t="s">
        <v>16</v>
      </c>
      <c r="G221" s="32" t="s">
        <v>29</v>
      </c>
      <c r="H221" s="32" t="s">
        <v>17</v>
      </c>
      <c r="I221" s="32" t="s">
        <v>32</v>
      </c>
      <c r="J221" s="32" t="s">
        <v>323</v>
      </c>
      <c r="K221" s="32" t="s">
        <v>28</v>
      </c>
      <c r="L221" s="32" t="s">
        <v>169</v>
      </c>
      <c r="M221" s="32" t="str">
        <f>IF(Table2[[#This Row],[Stage]]="Closed","Closed","Open")</f>
        <v>Closed</v>
      </c>
      <c r="N221" s="32" t="s">
        <v>500</v>
      </c>
      <c r="O221" s="32">
        <f ca="1">SUMIFS(Table3[Days with], Table3[Ref], Table2[[#This Row],[Ref]],Table3[Who With],"Legal")</f>
        <v>13</v>
      </c>
      <c r="P221" s="34">
        <f>SUMIFS(Table3[Total Cycle Time],Table3[Ref],Table2[[#This Row],[Ref]])</f>
        <v>13</v>
      </c>
    </row>
    <row r="222" spans="1:16" hidden="1" x14ac:dyDescent="0.25">
      <c r="A222" s="39" t="str">
        <f>IF(Table2[[#This Row],[Date Received]]="","",_xlfn.CONCAT(Table2[[#This Row],[Counterparty]]," - ",Table2[[#This Row],[Contract Name]]))</f>
        <v>Corpaul - Branch Partnership Agreement</v>
      </c>
      <c r="B222" s="33">
        <v>44961</v>
      </c>
      <c r="C222" s="32" t="s">
        <v>11</v>
      </c>
      <c r="D222" s="32" t="s">
        <v>845</v>
      </c>
      <c r="E222" s="32" t="s">
        <v>485</v>
      </c>
      <c r="F222" s="32" t="s">
        <v>12</v>
      </c>
      <c r="G222" s="32" t="s">
        <v>425</v>
      </c>
      <c r="H222" s="32" t="s">
        <v>425</v>
      </c>
      <c r="I222" s="32" t="s">
        <v>768</v>
      </c>
      <c r="J222" s="32" t="s">
        <v>452</v>
      </c>
      <c r="K222" s="32" t="s">
        <v>12</v>
      </c>
      <c r="L222" s="32" t="s">
        <v>169</v>
      </c>
      <c r="M222" s="32" t="str">
        <f>IF(Table2[[#This Row],[Stage]]="Closed","Closed","Open")</f>
        <v>Closed</v>
      </c>
      <c r="N222" s="32" t="s">
        <v>453</v>
      </c>
      <c r="O222" s="32">
        <f ca="1">SUMIFS(Table3[Days with], Table3[Ref], Table2[[#This Row],[Ref]],Table3[Who With],"Legal")</f>
        <v>209</v>
      </c>
      <c r="P222" s="34">
        <f>SUMIFS(Table3[Total Cycle Time],Table3[Ref],Table2[[#This Row],[Ref]])</f>
        <v>209</v>
      </c>
    </row>
    <row r="223" spans="1:16" hidden="1" x14ac:dyDescent="0.25">
      <c r="A223" s="39" t="str">
        <f>IF(Table2[[#This Row],[Date Received]]="","",_xlfn.CONCAT(Table2[[#This Row],[Counterparty]]," - ",Table2[[#This Row],[Contract Name]]))</f>
        <v>Aston Clinton Vendors - Settlement Agreement</v>
      </c>
      <c r="B223" s="33">
        <v>44965</v>
      </c>
      <c r="C223" s="32" t="s">
        <v>11</v>
      </c>
      <c r="D223" s="32" t="s">
        <v>631</v>
      </c>
      <c r="E223" s="32" t="s">
        <v>632</v>
      </c>
      <c r="F223" s="32" t="s">
        <v>16</v>
      </c>
      <c r="G223" s="32" t="s">
        <v>37</v>
      </c>
      <c r="H223" s="32" t="s">
        <v>15</v>
      </c>
      <c r="I223" s="32" t="s">
        <v>519</v>
      </c>
      <c r="J223" s="32" t="s">
        <v>520</v>
      </c>
      <c r="K223" s="32" t="s">
        <v>442</v>
      </c>
      <c r="L223" s="32" t="s">
        <v>169</v>
      </c>
      <c r="M223" s="32" t="str">
        <f>IF(Table2[[#This Row],[Stage]]="Closed","Closed","Open")</f>
        <v>Closed</v>
      </c>
      <c r="N223" s="32" t="s">
        <v>521</v>
      </c>
      <c r="O223" s="32">
        <f ca="1">SUMIFS(Table3[Days with], Table3[Ref], Table2[[#This Row],[Ref]],Table3[Who With],"Legal")</f>
        <v>6</v>
      </c>
      <c r="P223" s="34">
        <f>SUMIFS(Table3[Total Cycle Time],Table3[Ref],Table2[[#This Row],[Ref]])</f>
        <v>6</v>
      </c>
    </row>
    <row r="224" spans="1:16" hidden="1" x14ac:dyDescent="0.25">
      <c r="A224" s="39" t="str">
        <f>IF(Table2[[#This Row],[Date Received]]="","",_xlfn.CONCAT(Table2[[#This Row],[Counterparty]]," - ",Table2[[#This Row],[Contract Name]]))</f>
        <v>Emergency Vetcare Vendors - Settlement Agreement</v>
      </c>
      <c r="B224" s="33">
        <v>44965</v>
      </c>
      <c r="C224" s="32" t="s">
        <v>11</v>
      </c>
      <c r="D224" s="32" t="s">
        <v>633</v>
      </c>
      <c r="E224" s="32" t="s">
        <v>634</v>
      </c>
      <c r="F224" s="32" t="s">
        <v>16</v>
      </c>
      <c r="G224" s="32" t="s">
        <v>37</v>
      </c>
      <c r="H224" s="32" t="s">
        <v>15</v>
      </c>
      <c r="I224" s="32" t="s">
        <v>519</v>
      </c>
      <c r="J224" s="32" t="s">
        <v>520</v>
      </c>
      <c r="K224" s="32" t="s">
        <v>442</v>
      </c>
      <c r="L224" s="32" t="s">
        <v>169</v>
      </c>
      <c r="M224" s="32" t="str">
        <f>IF(Table2[[#This Row],[Stage]]="Closed","Closed","Open")</f>
        <v>Closed</v>
      </c>
      <c r="N224" s="32" t="s">
        <v>521</v>
      </c>
      <c r="O224" s="32">
        <f ca="1">SUMIFS(Table3[Days with], Table3[Ref], Table2[[#This Row],[Ref]],Table3[Who With],"Legal")</f>
        <v>6</v>
      </c>
      <c r="P224" s="34">
        <f>SUMIFS(Table3[Total Cycle Time],Table3[Ref],Table2[[#This Row],[Ref]])</f>
        <v>6</v>
      </c>
    </row>
    <row r="225" spans="1:16" hidden="1" x14ac:dyDescent="0.25">
      <c r="A225" s="39" t="str">
        <f>IF(Table2[[#This Row],[Date Received]]="","",_xlfn.CONCAT(Table2[[#This Row],[Counterparty]]," - ",Table2[[#This Row],[Contract Name]]))</f>
        <v>Valley Vets Vendors - Settlement Agreement</v>
      </c>
      <c r="B225" s="33">
        <v>44965</v>
      </c>
      <c r="C225" s="32" t="s">
        <v>11</v>
      </c>
      <c r="D225" s="32" t="s">
        <v>635</v>
      </c>
      <c r="E225" s="32" t="s">
        <v>636</v>
      </c>
      <c r="F225" s="32" t="s">
        <v>16</v>
      </c>
      <c r="G225" s="32" t="s">
        <v>37</v>
      </c>
      <c r="H225" s="32" t="s">
        <v>15</v>
      </c>
      <c r="I225" s="32" t="s">
        <v>519</v>
      </c>
      <c r="J225" s="32" t="s">
        <v>520</v>
      </c>
      <c r="K225" s="32" t="s">
        <v>442</v>
      </c>
      <c r="L225" s="32" t="s">
        <v>169</v>
      </c>
      <c r="M225" s="32" t="str">
        <f>IF(Table2[[#This Row],[Stage]]="Closed","Closed","Open")</f>
        <v>Closed</v>
      </c>
      <c r="N225" s="32" t="s">
        <v>521</v>
      </c>
      <c r="O225" s="32">
        <f ca="1">SUMIFS(Table3[Days with], Table3[Ref], Table2[[#This Row],[Ref]],Table3[Who With],"Legal")</f>
        <v>6</v>
      </c>
      <c r="P225" s="34">
        <f>SUMIFS(Table3[Total Cycle Time],Table3[Ref],Table2[[#This Row],[Ref]])</f>
        <v>6</v>
      </c>
    </row>
    <row r="226" spans="1:16" hidden="1" x14ac:dyDescent="0.25">
      <c r="A226" s="39" t="str">
        <f>IF(Table2[[#This Row],[Date Received]]="","",_xlfn.CONCAT(Table2[[#This Row],[Counterparty]]," - ",Table2[[#This Row],[Contract Name]]))</f>
        <v>NEC  - Services Agreement</v>
      </c>
      <c r="B226" s="33">
        <v>44965</v>
      </c>
      <c r="C226" s="32" t="s">
        <v>11</v>
      </c>
      <c r="D226" s="32" t="s">
        <v>654</v>
      </c>
      <c r="E226" s="32" t="s">
        <v>655</v>
      </c>
      <c r="F226" s="32" t="s">
        <v>16</v>
      </c>
      <c r="G226" s="32" t="s">
        <v>29</v>
      </c>
      <c r="H226" s="32" t="s">
        <v>17</v>
      </c>
      <c r="I226" s="32" t="s">
        <v>32</v>
      </c>
      <c r="J226" s="32" t="s">
        <v>323</v>
      </c>
      <c r="K226" s="32" t="s">
        <v>28</v>
      </c>
      <c r="L226" s="32" t="s">
        <v>169</v>
      </c>
      <c r="M226" s="32" t="str">
        <f>IF(Table2[[#This Row],[Stage]]="Closed","Closed","Open")</f>
        <v>Closed</v>
      </c>
      <c r="N226" s="32" t="s">
        <v>500</v>
      </c>
      <c r="O226" s="32">
        <f ca="1">SUMIFS(Table3[Days with], Table3[Ref], Table2[[#This Row],[Ref]],Table3[Who With],"Legal")</f>
        <v>8</v>
      </c>
      <c r="P226" s="34">
        <f>SUMIFS(Table3[Total Cycle Time],Table3[Ref],Table2[[#This Row],[Ref]])</f>
        <v>8</v>
      </c>
    </row>
    <row r="227" spans="1:16" hidden="1" x14ac:dyDescent="0.25">
      <c r="A227" s="39" t="str">
        <f>IF(Table2[[#This Row],[Date Received]]="","",_xlfn.CONCAT(Table2[[#This Row],[Counterparty]]," - ",Table2[[#This Row],[Contract Name]]))</f>
        <v>I T Kalogera Vendors - Settlement Agreement</v>
      </c>
      <c r="B227" s="33">
        <v>44966</v>
      </c>
      <c r="C227" s="32" t="s">
        <v>11</v>
      </c>
      <c r="D227" s="32" t="s">
        <v>656</v>
      </c>
      <c r="E227" s="32" t="s">
        <v>657</v>
      </c>
      <c r="F227" s="32" t="s">
        <v>16</v>
      </c>
      <c r="G227" s="32" t="s">
        <v>37</v>
      </c>
      <c r="H227" s="32" t="s">
        <v>15</v>
      </c>
      <c r="I227" s="32" t="s">
        <v>519</v>
      </c>
      <c r="J227" s="32" t="s">
        <v>520</v>
      </c>
      <c r="K227" s="32" t="s">
        <v>442</v>
      </c>
      <c r="L227" s="32" t="s">
        <v>169</v>
      </c>
      <c r="M227" s="32" t="str">
        <f>IF(Table2[[#This Row],[Stage]]="Closed","Closed","Open")</f>
        <v>Closed</v>
      </c>
      <c r="N227" s="32" t="s">
        <v>521</v>
      </c>
      <c r="O227" s="32">
        <f ca="1">SUMIFS(Table3[Days with], Table3[Ref], Table2[[#This Row],[Ref]],Table3[Who With],"Legal")</f>
        <v>5</v>
      </c>
      <c r="P227" s="34">
        <f>SUMIFS(Table3[Total Cycle Time],Table3[Ref],Table2[[#This Row],[Ref]])</f>
        <v>5</v>
      </c>
    </row>
    <row r="228" spans="1:16" hidden="1" x14ac:dyDescent="0.25">
      <c r="A228" s="39" t="str">
        <f>IF(Table2[[#This Row],[Date Received]]="","",_xlfn.CONCAT(Table2[[#This Row],[Counterparty]]," - ",Table2[[#This Row],[Contract Name]]))</f>
        <v>Arigon &amp; Florido - Employment and Earn Out dispute</v>
      </c>
      <c r="B228" s="33">
        <v>44970</v>
      </c>
      <c r="C228" s="32" t="s">
        <v>11</v>
      </c>
      <c r="D228" s="32" t="s">
        <v>746</v>
      </c>
      <c r="E228" s="32" t="s">
        <v>747</v>
      </c>
      <c r="F228" s="32" t="s">
        <v>12</v>
      </c>
      <c r="G228" s="32" t="s">
        <v>30</v>
      </c>
      <c r="H228" s="32" t="s">
        <v>425</v>
      </c>
      <c r="I228" s="32" t="s">
        <v>743</v>
      </c>
      <c r="J228" s="32" t="s">
        <v>689</v>
      </c>
      <c r="K228" s="32" t="s">
        <v>12</v>
      </c>
      <c r="L228" s="32" t="s">
        <v>169</v>
      </c>
      <c r="M228" s="32" t="str">
        <f>IF(Table2[[#This Row],[Stage]]="Closed","Closed","Open")</f>
        <v>Closed</v>
      </c>
      <c r="N228" s="32" t="s">
        <v>748</v>
      </c>
      <c r="O228" s="32">
        <f ca="1">SUMIFS(Table3[Days with], Table3[Ref], Table2[[#This Row],[Ref]],Table3[Who With],"Legal")</f>
        <v>129</v>
      </c>
      <c r="P228" s="34">
        <f>SUMIFS(Table3[Total Cycle Time],Table3[Ref],Table2[[#This Row],[Ref]])</f>
        <v>129</v>
      </c>
    </row>
    <row r="229" spans="1:16" hidden="1" x14ac:dyDescent="0.25">
      <c r="A229" s="39" t="str">
        <f>IF(Table2[[#This Row],[Date Received]]="","",_xlfn.CONCAT(Table2[[#This Row],[Counterparty]]," - ",Table2[[#This Row],[Contract Name]]))</f>
        <v>Vu - Consultancy Agreement 1</v>
      </c>
      <c r="B229" s="33">
        <v>44970</v>
      </c>
      <c r="C229" s="32" t="s">
        <v>11</v>
      </c>
      <c r="D229" s="32" t="s">
        <v>572</v>
      </c>
      <c r="E229" s="32"/>
      <c r="F229" s="32" t="s">
        <v>12</v>
      </c>
      <c r="G229" s="32" t="s">
        <v>34</v>
      </c>
      <c r="H229" s="32" t="s">
        <v>15</v>
      </c>
      <c r="I229" s="32" t="s">
        <v>1483</v>
      </c>
      <c r="J229" s="32" t="s">
        <v>35</v>
      </c>
      <c r="K229" s="32" t="s">
        <v>12</v>
      </c>
      <c r="L229" s="32" t="s">
        <v>169</v>
      </c>
      <c r="M229" s="32" t="str">
        <f>IF(Table2[[#This Row],[Stage]]="Closed","Closed","Open")</f>
        <v>Closed</v>
      </c>
      <c r="N229" s="32" t="s">
        <v>573</v>
      </c>
      <c r="O229" s="32">
        <f ca="1">SUMIFS(Table3[Days with], Table3[Ref], Table2[[#This Row],[Ref]],Table3[Who With],"Legal")</f>
        <v>4</v>
      </c>
      <c r="P229" s="34">
        <f>SUMIFS(Table3[Total Cycle Time],Table3[Ref],Table2[[#This Row],[Ref]])</f>
        <v>4</v>
      </c>
    </row>
    <row r="230" spans="1:16" hidden="1" x14ac:dyDescent="0.25">
      <c r="A230" s="39" t="str">
        <f>IF(Table2[[#This Row],[Date Received]]="","",_xlfn.CONCAT(Table2[[#This Row],[Counterparty]]," - ",Table2[[#This Row],[Contract Name]]))</f>
        <v>Tollbarn Vets - OOH Agreement</v>
      </c>
      <c r="B230" s="33">
        <v>44971</v>
      </c>
      <c r="C230" s="32" t="s">
        <v>11</v>
      </c>
      <c r="D230" s="32" t="s">
        <v>644</v>
      </c>
      <c r="E230" s="32"/>
      <c r="F230" s="32" t="s">
        <v>12</v>
      </c>
      <c r="G230" s="32" t="s">
        <v>36</v>
      </c>
      <c r="H230" s="32" t="s">
        <v>17</v>
      </c>
      <c r="I230" s="32" t="s">
        <v>276</v>
      </c>
      <c r="J230" s="32" t="s">
        <v>626</v>
      </c>
      <c r="K230" s="32" t="s">
        <v>59</v>
      </c>
      <c r="L230" s="32" t="s">
        <v>169</v>
      </c>
      <c r="M230" s="32" t="str">
        <f>IF(Table2[[#This Row],[Stage]]="Closed","Closed","Open")</f>
        <v>Closed</v>
      </c>
      <c r="N230" s="32" t="s">
        <v>645</v>
      </c>
      <c r="O230" s="32">
        <f ca="1">SUMIFS(Table3[Days with], Table3[Ref], Table2[[#This Row],[Ref]],Table3[Who With],"Legal")</f>
        <v>24</v>
      </c>
      <c r="P230" s="34">
        <f>SUMIFS(Table3[Total Cycle Time],Table3[Ref],Table2[[#This Row],[Ref]])</f>
        <v>24</v>
      </c>
    </row>
    <row r="231" spans="1:16" hidden="1" x14ac:dyDescent="0.25">
      <c r="A231" s="39" t="str">
        <f>IF(Table2[[#This Row],[Date Received]]="","",_xlfn.CONCAT(Table2[[#This Row],[Counterparty]]," - ",Table2[[#This Row],[Contract Name]]))</f>
        <v>MykindaCrowd - Ambassor recruitment contract</v>
      </c>
      <c r="B231" s="33">
        <v>44971</v>
      </c>
      <c r="C231" s="32" t="s">
        <v>11</v>
      </c>
      <c r="D231" s="32" t="s">
        <v>651</v>
      </c>
      <c r="E231" s="32"/>
      <c r="F231" s="32" t="s">
        <v>12</v>
      </c>
      <c r="G231" s="32" t="s">
        <v>30</v>
      </c>
      <c r="H231" s="32" t="s">
        <v>17</v>
      </c>
      <c r="I231" s="32" t="s">
        <v>652</v>
      </c>
      <c r="J231" s="32" t="s">
        <v>290</v>
      </c>
      <c r="K231" s="32" t="s">
        <v>12</v>
      </c>
      <c r="L231" s="32" t="s">
        <v>169</v>
      </c>
      <c r="M231" s="32" t="str">
        <f>IF(Table2[[#This Row],[Stage]]="Closed","Closed","Open")</f>
        <v>Closed</v>
      </c>
      <c r="N231" s="32" t="s">
        <v>653</v>
      </c>
      <c r="O231" s="32">
        <f ca="1">SUMIFS(Table3[Days with], Table3[Ref], Table2[[#This Row],[Ref]],Table3[Who With],"Legal")</f>
        <v>30</v>
      </c>
      <c r="P231" s="34">
        <f>SUMIFS(Table3[Total Cycle Time],Table3[Ref],Table2[[#This Row],[Ref]])</f>
        <v>30</v>
      </c>
    </row>
    <row r="232" spans="1:16" hidden="1" x14ac:dyDescent="0.25">
      <c r="A232" s="39" t="str">
        <f>IF(Table2[[#This Row],[Date Received]]="","",_xlfn.CONCAT(Table2[[#This Row],[Counterparty]]," - ",Table2[[#This Row],[Contract Name]]))</f>
        <v>Universiry of Surrey - Student training contract</v>
      </c>
      <c r="B232" s="33">
        <v>44971</v>
      </c>
      <c r="C232" s="32" t="s">
        <v>11</v>
      </c>
      <c r="D232" s="32" t="s">
        <v>796</v>
      </c>
      <c r="E232" s="32" t="s">
        <v>797</v>
      </c>
      <c r="F232" s="32" t="s">
        <v>12</v>
      </c>
      <c r="G232" s="32" t="s">
        <v>36</v>
      </c>
      <c r="H232" s="32" t="s">
        <v>17</v>
      </c>
      <c r="I232" s="32" t="s">
        <v>798</v>
      </c>
      <c r="J232" s="32" t="s">
        <v>290</v>
      </c>
      <c r="K232" s="32" t="s">
        <v>12</v>
      </c>
      <c r="L232" s="32" t="s">
        <v>169</v>
      </c>
      <c r="M232" s="32" t="str">
        <f>IF(Table2[[#This Row],[Stage]]="Closed","Closed","Open")</f>
        <v>Closed</v>
      </c>
      <c r="N232" s="32" t="s">
        <v>645</v>
      </c>
      <c r="O232" s="32">
        <f ca="1">SUMIFS(Table3[Days with], Table3[Ref], Table2[[#This Row],[Ref]],Table3[Who With],"Legal")</f>
        <v>164</v>
      </c>
      <c r="P232" s="34">
        <f>SUMIFS(Table3[Total Cycle Time],Table3[Ref],Table2[[#This Row],[Ref]])</f>
        <v>164</v>
      </c>
    </row>
    <row r="233" spans="1:16" hidden="1" x14ac:dyDescent="0.25">
      <c r="A233" s="39" t="str">
        <f>IF(Table2[[#This Row],[Date Received]]="","",_xlfn.CONCAT(Table2[[#This Row],[Counterparty]]," - ",Table2[[#This Row],[Contract Name]]))</f>
        <v>Marches Vets Vendors - Settlement Agreement</v>
      </c>
      <c r="B233" s="33">
        <v>44972</v>
      </c>
      <c r="C233" s="32" t="s">
        <v>11</v>
      </c>
      <c r="D233" s="32" t="s">
        <v>663</v>
      </c>
      <c r="E233" s="32" t="s">
        <v>664</v>
      </c>
      <c r="F233" s="32" t="s">
        <v>16</v>
      </c>
      <c r="G233" s="32" t="s">
        <v>37</v>
      </c>
      <c r="H233" s="32" t="s">
        <v>15</v>
      </c>
      <c r="I233" s="32" t="s">
        <v>519</v>
      </c>
      <c r="J233" s="32" t="s">
        <v>520</v>
      </c>
      <c r="K233" s="32" t="s">
        <v>442</v>
      </c>
      <c r="L233" s="32" t="s">
        <v>169</v>
      </c>
      <c r="M233" s="32" t="str">
        <f>IF(Table2[[#This Row],[Stage]]="Closed","Closed","Open")</f>
        <v>Closed</v>
      </c>
      <c r="N233" s="32" t="s">
        <v>521</v>
      </c>
      <c r="O233" s="32">
        <f ca="1">SUMIFS(Table3[Days with], Table3[Ref], Table2[[#This Row],[Ref]],Table3[Who With],"Legal")</f>
        <v>6</v>
      </c>
      <c r="P233" s="34">
        <f>SUMIFS(Table3[Total Cycle Time],Table3[Ref],Table2[[#This Row],[Ref]])</f>
        <v>6</v>
      </c>
    </row>
    <row r="234" spans="1:16" hidden="1" x14ac:dyDescent="0.25">
      <c r="A234" s="39" t="str">
        <f>IF(Table2[[#This Row],[Date Received]]="","",_xlfn.CONCAT(Table2[[#This Row],[Counterparty]]," - ",Table2[[#This Row],[Contract Name]]))</f>
        <v>Walton Lodge Vendors - Settlement Agreement</v>
      </c>
      <c r="B234" s="33">
        <v>44972</v>
      </c>
      <c r="C234" s="32" t="s">
        <v>11</v>
      </c>
      <c r="D234" s="32" t="s">
        <v>665</v>
      </c>
      <c r="E234" s="32" t="s">
        <v>666</v>
      </c>
      <c r="F234" s="32" t="s">
        <v>16</v>
      </c>
      <c r="G234" s="32" t="s">
        <v>37</v>
      </c>
      <c r="H234" s="32" t="s">
        <v>15</v>
      </c>
      <c r="I234" s="32" t="s">
        <v>519</v>
      </c>
      <c r="J234" s="32" t="s">
        <v>520</v>
      </c>
      <c r="K234" s="32" t="s">
        <v>442</v>
      </c>
      <c r="L234" s="32" t="s">
        <v>169</v>
      </c>
      <c r="M234" s="32" t="str">
        <f>IF(Table2[[#This Row],[Stage]]="Closed","Closed","Open")</f>
        <v>Closed</v>
      </c>
      <c r="N234" s="32" t="s">
        <v>521</v>
      </c>
      <c r="O234" s="32">
        <f ca="1">SUMIFS(Table3[Days with], Table3[Ref], Table2[[#This Row],[Ref]],Table3[Who With],"Legal")</f>
        <v>6</v>
      </c>
      <c r="P234" s="34">
        <f>SUMIFS(Table3[Total Cycle Time],Table3[Ref],Table2[[#This Row],[Ref]])</f>
        <v>6</v>
      </c>
    </row>
    <row r="235" spans="1:16" hidden="1" x14ac:dyDescent="0.25">
      <c r="A235" s="39" t="str">
        <f>IF(Table2[[#This Row],[Date Received]]="","",_xlfn.CONCAT(Table2[[#This Row],[Counterparty]]," - ",Table2[[#This Row],[Contract Name]]))</f>
        <v>Blythewood - OOH Agreement</v>
      </c>
      <c r="B235" s="33">
        <v>44973</v>
      </c>
      <c r="C235" s="32" t="s">
        <v>11</v>
      </c>
      <c r="D235" s="32" t="s">
        <v>667</v>
      </c>
      <c r="E235" s="32" t="s">
        <v>610</v>
      </c>
      <c r="F235" s="32" t="s">
        <v>16</v>
      </c>
      <c r="G235" s="32" t="s">
        <v>3</v>
      </c>
      <c r="H235" s="32" t="s">
        <v>17</v>
      </c>
      <c r="I235" s="32" t="s">
        <v>276</v>
      </c>
      <c r="J235" s="32" t="s">
        <v>611</v>
      </c>
      <c r="K235" s="32" t="s">
        <v>612</v>
      </c>
      <c r="L235" s="32" t="s">
        <v>169</v>
      </c>
      <c r="M235" s="32" t="str">
        <f>IF(Table2[[#This Row],[Stage]]="Closed","Closed","Open")</f>
        <v>Closed</v>
      </c>
      <c r="N235" s="32" t="s">
        <v>613</v>
      </c>
      <c r="O235" s="32">
        <f ca="1">SUMIFS(Table3[Days with], Table3[Ref], Table2[[#This Row],[Ref]],Table3[Who With],"Legal")</f>
        <v>63</v>
      </c>
      <c r="P235" s="34">
        <f>SUMIFS(Table3[Total Cycle Time],Table3[Ref],Table2[[#This Row],[Ref]])</f>
        <v>63</v>
      </c>
    </row>
    <row r="236" spans="1:16" hidden="1" x14ac:dyDescent="0.25">
      <c r="A236" s="39" t="str">
        <f>IF(Table2[[#This Row],[Date Received]]="","",_xlfn.CONCAT(Table2[[#This Row],[Counterparty]]," - ",Table2[[#This Row],[Contract Name]]))</f>
        <v>College of Animal Welfare Limited - Payment of invoice query</v>
      </c>
      <c r="B236" s="33">
        <v>44974</v>
      </c>
      <c r="C236" s="32" t="s">
        <v>11</v>
      </c>
      <c r="D236" s="32" t="s">
        <v>749</v>
      </c>
      <c r="E236" s="32"/>
      <c r="F236" s="32" t="s">
        <v>12</v>
      </c>
      <c r="G236" s="32" t="s">
        <v>289</v>
      </c>
      <c r="H236" s="32" t="s">
        <v>17</v>
      </c>
      <c r="I236" s="32" t="s">
        <v>750</v>
      </c>
      <c r="J236" s="32" t="s">
        <v>751</v>
      </c>
      <c r="K236" s="32" t="s">
        <v>12</v>
      </c>
      <c r="L236" s="32" t="s">
        <v>169</v>
      </c>
      <c r="M236" s="32" t="str">
        <f>IF(Table2[[#This Row],[Stage]]="Closed","Closed","Open")</f>
        <v>Closed</v>
      </c>
      <c r="N236" s="32" t="s">
        <v>752</v>
      </c>
      <c r="O236" s="32">
        <f ca="1">SUMIFS(Table3[Days with], Table3[Ref], Table2[[#This Row],[Ref]],Table3[Who With],"Legal")</f>
        <v>125</v>
      </c>
      <c r="P236" s="34">
        <f>SUMIFS(Table3[Total Cycle Time],Table3[Ref],Table2[[#This Row],[Ref]])</f>
        <v>125</v>
      </c>
    </row>
    <row r="237" spans="1:16" hidden="1" x14ac:dyDescent="0.25">
      <c r="A237" s="39" t="str">
        <f>IF(Table2[[#This Row],[Date Received]]="","",_xlfn.CONCAT(Table2[[#This Row],[Counterparty]]," - ",Table2[[#This Row],[Contract Name]]))</f>
        <v>Hillcrest Vendors - Settlement Agreement</v>
      </c>
      <c r="B237" s="33">
        <v>44977</v>
      </c>
      <c r="C237" s="32" t="s">
        <v>11</v>
      </c>
      <c r="D237" s="32" t="s">
        <v>668</v>
      </c>
      <c r="E237" s="32" t="s">
        <v>669</v>
      </c>
      <c r="F237" s="32" t="s">
        <v>16</v>
      </c>
      <c r="G237" s="32" t="s">
        <v>37</v>
      </c>
      <c r="H237" s="32" t="s">
        <v>15</v>
      </c>
      <c r="I237" s="32" t="s">
        <v>519</v>
      </c>
      <c r="J237" s="32" t="s">
        <v>520</v>
      </c>
      <c r="K237" s="32" t="s">
        <v>442</v>
      </c>
      <c r="L237" s="32" t="s">
        <v>169</v>
      </c>
      <c r="M237" s="32" t="str">
        <f>IF(Table2[[#This Row],[Stage]]="Closed","Closed","Open")</f>
        <v>Closed</v>
      </c>
      <c r="N237" s="32" t="s">
        <v>521</v>
      </c>
      <c r="O237" s="32">
        <f ca="1">SUMIFS(Table3[Days with], Table3[Ref], Table2[[#This Row],[Ref]],Table3[Who With],"Legal")</f>
        <v>36</v>
      </c>
      <c r="P237" s="34">
        <f>SUMIFS(Table3[Total Cycle Time],Table3[Ref],Table2[[#This Row],[Ref]])</f>
        <v>36</v>
      </c>
    </row>
    <row r="238" spans="1:16" hidden="1" x14ac:dyDescent="0.25">
      <c r="A238" s="39" t="str">
        <f>IF(Table2[[#This Row],[Date Received]]="","",_xlfn.CONCAT(Table2[[#This Row],[Counterparty]]," - ",Table2[[#This Row],[Contract Name]]))</f>
        <v>UKAS - Accreditation Customer agreement</v>
      </c>
      <c r="B238" s="33">
        <v>44978</v>
      </c>
      <c r="C238" s="32" t="s">
        <v>510</v>
      </c>
      <c r="D238" s="32" t="s">
        <v>623</v>
      </c>
      <c r="E238" s="32"/>
      <c r="F238" s="32" t="s">
        <v>12</v>
      </c>
      <c r="G238" s="32" t="s">
        <v>510</v>
      </c>
      <c r="H238" s="32" t="s">
        <v>17</v>
      </c>
      <c r="I238" s="32" t="s">
        <v>624</v>
      </c>
      <c r="J238" s="32" t="s">
        <v>512</v>
      </c>
      <c r="K238" s="32" t="s">
        <v>12</v>
      </c>
      <c r="L238" s="32" t="s">
        <v>169</v>
      </c>
      <c r="M238" s="32" t="str">
        <f>IF(Table2[[#This Row],[Stage]]="Closed","Closed","Open")</f>
        <v>Closed</v>
      </c>
      <c r="N238" s="32" t="s">
        <v>453</v>
      </c>
      <c r="O238" s="32">
        <f ca="1">SUMIFS(Table3[Days with], Table3[Ref], Table2[[#This Row],[Ref]],Table3[Who With],"Legal")</f>
        <v>9</v>
      </c>
      <c r="P238" s="34">
        <f>SUMIFS(Table3[Total Cycle Time],Table3[Ref],Table2[[#This Row],[Ref]])</f>
        <v>9</v>
      </c>
    </row>
    <row r="239" spans="1:16" hidden="1" x14ac:dyDescent="0.25">
      <c r="A239" s="39" t="str">
        <f>IF(Table2[[#This Row],[Date Received]]="","",_xlfn.CONCAT(Table2[[#This Row],[Counterparty]]," - ",Table2[[#This Row],[Contract Name]]))</f>
        <v>Woodley Equipment Company Ltd - Service Contract</v>
      </c>
      <c r="B239" s="33">
        <v>44978</v>
      </c>
      <c r="C239" s="32" t="s">
        <v>510</v>
      </c>
      <c r="D239" s="32" t="s">
        <v>684</v>
      </c>
      <c r="E239" s="32"/>
      <c r="F239" s="32" t="s">
        <v>12</v>
      </c>
      <c r="G239" s="32" t="s">
        <v>510</v>
      </c>
      <c r="H239" s="32" t="s">
        <v>17</v>
      </c>
      <c r="I239" s="32" t="s">
        <v>61</v>
      </c>
      <c r="J239" s="32" t="s">
        <v>512</v>
      </c>
      <c r="K239" s="32" t="s">
        <v>12</v>
      </c>
      <c r="L239" s="32" t="s">
        <v>169</v>
      </c>
      <c r="M239" s="32" t="str">
        <f>IF(Table2[[#This Row],[Stage]]="Closed","Closed","Open")</f>
        <v>Closed</v>
      </c>
      <c r="N239" s="32"/>
      <c r="O239" s="32">
        <f ca="1">SUMIFS(Table3[Days with], Table3[Ref], Table2[[#This Row],[Ref]],Table3[Who With],"Legal")</f>
        <v>58</v>
      </c>
      <c r="P239" s="34">
        <f>SUMIFS(Table3[Total Cycle Time],Table3[Ref],Table2[[#This Row],[Ref]])</f>
        <v>58</v>
      </c>
    </row>
    <row r="240" spans="1:16" hidden="1" x14ac:dyDescent="0.25">
      <c r="A240" s="39" t="str">
        <f>IF(Table2[[#This Row],[Date Received]]="","",_xlfn.CONCAT(Table2[[#This Row],[Counterparty]]," - ",Table2[[#This Row],[Contract Name]]))</f>
        <v>Brookmans Park - OOH Agreement</v>
      </c>
      <c r="B240" s="33">
        <v>44981</v>
      </c>
      <c r="C240" s="32" t="s">
        <v>11</v>
      </c>
      <c r="D240" s="32" t="s">
        <v>625</v>
      </c>
      <c r="E240" s="32"/>
      <c r="F240" s="32" t="s">
        <v>12</v>
      </c>
      <c r="G240" s="32" t="s">
        <v>36</v>
      </c>
      <c r="H240" s="32" t="s">
        <v>17</v>
      </c>
      <c r="I240" s="32" t="s">
        <v>276</v>
      </c>
      <c r="J240" s="32" t="s">
        <v>626</v>
      </c>
      <c r="K240" s="32" t="s">
        <v>348</v>
      </c>
      <c r="L240" s="32" t="s">
        <v>169</v>
      </c>
      <c r="M240" s="32" t="str">
        <f>IF(Table2[[#This Row],[Stage]]="Closed","Closed","Open")</f>
        <v>Closed</v>
      </c>
      <c r="N240" s="32" t="s">
        <v>627</v>
      </c>
      <c r="O240" s="32">
        <f ca="1">SUMIFS(Table3[Days with], Table3[Ref], Table2[[#This Row],[Ref]],Table3[Who With],"Legal")</f>
        <v>6</v>
      </c>
      <c r="P240" s="34">
        <f>SUMIFS(Table3[Total Cycle Time],Table3[Ref],Table2[[#This Row],[Ref]])</f>
        <v>6</v>
      </c>
    </row>
    <row r="241" spans="1:16" hidden="1" x14ac:dyDescent="0.25">
      <c r="A241" s="39" t="str">
        <f>IF(Table2[[#This Row],[Date Received]]="","",_xlfn.CONCAT(Table2[[#This Row],[Counterparty]]," - ",Table2[[#This Row],[Contract Name]]))</f>
        <v xml:space="preserve"> - Intra-group loan agreement</v>
      </c>
      <c r="B241" s="33">
        <v>44981</v>
      </c>
      <c r="C241" s="32" t="s">
        <v>11</v>
      </c>
      <c r="D241" s="32"/>
      <c r="E241" s="32"/>
      <c r="F241" s="32" t="s">
        <v>12</v>
      </c>
      <c r="G241" s="32" t="s">
        <v>418</v>
      </c>
      <c r="H241" s="32" t="s">
        <v>15</v>
      </c>
      <c r="I241" s="32" t="s">
        <v>661</v>
      </c>
      <c r="J241" s="32" t="s">
        <v>394</v>
      </c>
      <c r="K241" s="32" t="s">
        <v>394</v>
      </c>
      <c r="L241" s="32" t="s">
        <v>169</v>
      </c>
      <c r="M241" s="32" t="str">
        <f>IF(Table2[[#This Row],[Stage]]="Closed","Closed","Open")</f>
        <v>Closed</v>
      </c>
      <c r="N241" s="32" t="s">
        <v>662</v>
      </c>
      <c r="O241" s="32">
        <f ca="1">SUMIFS(Table3[Days with], Table3[Ref], Table2[[#This Row],[Ref]],Table3[Who With],"Legal")</f>
        <v>27</v>
      </c>
      <c r="P241" s="34">
        <f>SUMIFS(Table3[Total Cycle Time],Table3[Ref],Table2[[#This Row],[Ref]])</f>
        <v>27</v>
      </c>
    </row>
    <row r="242" spans="1:16" hidden="1" x14ac:dyDescent="0.25">
      <c r="A242" s="39" t="str">
        <f>IF(Table2[[#This Row],[Date Received]]="","",_xlfn.CONCAT(Table2[[#This Row],[Counterparty]]," - ",Table2[[#This Row],[Contract Name]]))</f>
        <v>MRMC couriers - Lab courier contract</v>
      </c>
      <c r="B242" s="33">
        <v>44981</v>
      </c>
      <c r="C242" s="32" t="s">
        <v>11</v>
      </c>
      <c r="D242" s="32" t="s">
        <v>108</v>
      </c>
      <c r="E242" s="32"/>
      <c r="F242" s="32" t="s">
        <v>12</v>
      </c>
      <c r="G242" s="32" t="s">
        <v>14</v>
      </c>
      <c r="H242" s="32" t="s">
        <v>17</v>
      </c>
      <c r="I242" s="32" t="s">
        <v>109</v>
      </c>
      <c r="J242" s="32" t="s">
        <v>31</v>
      </c>
      <c r="K242" s="32" t="s">
        <v>24</v>
      </c>
      <c r="L242" s="32"/>
      <c r="M242" s="32" t="str">
        <f>IF(Table2[[#This Row],[Stage]]="Closed","Closed","Open")</f>
        <v>Open</v>
      </c>
      <c r="N242" s="32" t="s">
        <v>110</v>
      </c>
      <c r="O242" s="32">
        <f>SUMIFS(Table3[Days with], Table3[Ref], Table2[[#This Row],[Ref]],Table3[Who With],"Legal")</f>
        <v>0</v>
      </c>
      <c r="P242" s="34">
        <f>SUMIFS(Table3[Total Cycle Time],Table3[Ref],Table2[[#This Row],[Ref]])</f>
        <v>0</v>
      </c>
    </row>
    <row r="243" spans="1:16" hidden="1" x14ac:dyDescent="0.25">
      <c r="A243" s="39" t="str">
        <f>IF(Table2[[#This Row],[Date Received]]="","",_xlfn.CONCAT(Table2[[#This Row],[Counterparty]]," - ",Table2[[#This Row],[Contract Name]]))</f>
        <v>BVA - Sponsorship Agreement</v>
      </c>
      <c r="B243" s="33">
        <v>44984</v>
      </c>
      <c r="C243" s="32" t="s">
        <v>11</v>
      </c>
      <c r="D243" s="32" t="s">
        <v>646</v>
      </c>
      <c r="E243" s="32"/>
      <c r="F243" s="32" t="s">
        <v>12</v>
      </c>
      <c r="G243" s="32" t="s">
        <v>233</v>
      </c>
      <c r="H243" s="32" t="s">
        <v>17</v>
      </c>
      <c r="I243" s="32" t="s">
        <v>234</v>
      </c>
      <c r="J243" s="32" t="s">
        <v>647</v>
      </c>
      <c r="K243" s="32" t="s">
        <v>647</v>
      </c>
      <c r="L243" s="32" t="s">
        <v>169</v>
      </c>
      <c r="M243" s="32" t="str">
        <f>IF(Table2[[#This Row],[Stage]]="Closed","Closed","Open")</f>
        <v>Closed</v>
      </c>
      <c r="N243" s="32" t="s">
        <v>648</v>
      </c>
      <c r="O243" s="32">
        <f ca="1">SUMIFS(Table3[Days with], Table3[Ref], Table2[[#This Row],[Ref]],Table3[Who With],"Legal")</f>
        <v>11</v>
      </c>
      <c r="P243" s="34">
        <f>SUMIFS(Table3[Total Cycle Time],Table3[Ref],Table2[[#This Row],[Ref]])</f>
        <v>11</v>
      </c>
    </row>
    <row r="244" spans="1:16" hidden="1" x14ac:dyDescent="0.25">
      <c r="A244" s="39" t="str">
        <f>IF(Table2[[#This Row],[Date Received]]="","",_xlfn.CONCAT(Table2[[#This Row],[Counterparty]]," - ",Table2[[#This Row],[Contract Name]]))</f>
        <v>Stephen Putnam - Partnership Agreement</v>
      </c>
      <c r="B244" s="33">
        <v>44987</v>
      </c>
      <c r="C244" s="32" t="s">
        <v>11</v>
      </c>
      <c r="D244" s="32" t="s">
        <v>685</v>
      </c>
      <c r="E244" s="32" t="s">
        <v>686</v>
      </c>
      <c r="F244" s="32" t="s">
        <v>12</v>
      </c>
      <c r="G244" s="32" t="s">
        <v>687</v>
      </c>
      <c r="H244" s="32" t="s">
        <v>425</v>
      </c>
      <c r="I244" s="32" t="s">
        <v>688</v>
      </c>
      <c r="J244" s="32" t="s">
        <v>689</v>
      </c>
      <c r="K244" s="32" t="s">
        <v>12</v>
      </c>
      <c r="L244" s="32" t="s">
        <v>169</v>
      </c>
      <c r="M244" s="32" t="str">
        <f>IF(Table2[[#This Row],[Stage]]="Closed","Closed","Open")</f>
        <v>Closed</v>
      </c>
      <c r="N244" s="32" t="s">
        <v>690</v>
      </c>
      <c r="O244" s="32">
        <f ca="1">SUMIFS(Table3[Days with], Table3[Ref], Table2[[#This Row],[Ref]],Table3[Who With],"Legal")</f>
        <v>49</v>
      </c>
      <c r="P244" s="34">
        <f>SUMIFS(Table3[Total Cycle Time],Table3[Ref],Table2[[#This Row],[Ref]])</f>
        <v>49</v>
      </c>
    </row>
    <row r="245" spans="1:16" hidden="1" x14ac:dyDescent="0.25">
      <c r="A245" s="39" t="str">
        <f>IF(Table2[[#This Row],[Date Received]]="","",_xlfn.CONCAT(Table2[[#This Row],[Counterparty]]," - ",Table2[[#This Row],[Contract Name]]))</f>
        <v>Beckerlegge and Waibel  - Deed of Variation</v>
      </c>
      <c r="B245" s="33">
        <v>44987</v>
      </c>
      <c r="C245" s="32" t="s">
        <v>11</v>
      </c>
      <c r="D245" s="32" t="s">
        <v>707</v>
      </c>
      <c r="E245" s="32" t="s">
        <v>708</v>
      </c>
      <c r="F245" s="32" t="s">
        <v>12</v>
      </c>
      <c r="G245" s="32" t="s">
        <v>425</v>
      </c>
      <c r="H245" s="32" t="s">
        <v>425</v>
      </c>
      <c r="I245" s="32" t="s">
        <v>709</v>
      </c>
      <c r="J245" s="32" t="s">
        <v>427</v>
      </c>
      <c r="K245" s="32" t="s">
        <v>12</v>
      </c>
      <c r="L245" s="32" t="s">
        <v>169</v>
      </c>
      <c r="M245" s="32" t="str">
        <f>IF(Table2[[#This Row],[Stage]]="Closed","Closed","Open")</f>
        <v>Closed</v>
      </c>
      <c r="N245" s="32" t="s">
        <v>412</v>
      </c>
      <c r="O245" s="32">
        <f ca="1">SUMIFS(Table3[Days with], Table3[Ref], Table2[[#This Row],[Ref]],Table3[Who With],"Legal")</f>
        <v>61</v>
      </c>
      <c r="P245" s="34">
        <f>SUMIFS(Table3[Total Cycle Time],Table3[Ref],Table2[[#This Row],[Ref]])</f>
        <v>61</v>
      </c>
    </row>
    <row r="246" spans="1:16" hidden="1" x14ac:dyDescent="0.25">
      <c r="A246" s="39" t="str">
        <f>IF(Table2[[#This Row],[Date Received]]="","",_xlfn.CONCAT(Table2[[#This Row],[Counterparty]]," - ",Table2[[#This Row],[Contract Name]]))</f>
        <v>Oldham - Consultancy Agreement 1</v>
      </c>
      <c r="B246" s="33">
        <v>44987</v>
      </c>
      <c r="C246" s="32" t="s">
        <v>11</v>
      </c>
      <c r="D246" s="32" t="s">
        <v>649</v>
      </c>
      <c r="E246" s="32"/>
      <c r="F246" s="32" t="s">
        <v>12</v>
      </c>
      <c r="G246" s="32" t="s">
        <v>36</v>
      </c>
      <c r="H246" s="32" t="s">
        <v>15</v>
      </c>
      <c r="I246" s="32" t="s">
        <v>1483</v>
      </c>
      <c r="J246" s="32" t="s">
        <v>452</v>
      </c>
      <c r="K246" s="32" t="s">
        <v>348</v>
      </c>
      <c r="L246" s="32" t="s">
        <v>169</v>
      </c>
      <c r="M246" s="32" t="str">
        <f>IF(Table2[[#This Row],[Stage]]="Closed","Closed","Open")</f>
        <v>Closed</v>
      </c>
      <c r="N246" s="32" t="s">
        <v>650</v>
      </c>
      <c r="O246" s="32">
        <f ca="1">SUMIFS(Table3[Days with], Table3[Ref], Table2[[#This Row],[Ref]],Table3[Who With],"Legal")</f>
        <v>8</v>
      </c>
      <c r="P246" s="34">
        <f>SUMIFS(Table3[Total Cycle Time],Table3[Ref],Table2[[#This Row],[Ref]])</f>
        <v>8</v>
      </c>
    </row>
    <row r="247" spans="1:16" hidden="1" x14ac:dyDescent="0.25">
      <c r="A247" s="39" t="str">
        <f>IF(Table2[[#This Row],[Date Received]]="","",_xlfn.CONCAT(Table2[[#This Row],[Counterparty]]," - ",Table2[[#This Row],[Contract Name]]))</f>
        <v>Inspired Energy - Letter of Authority and Terms of Business</v>
      </c>
      <c r="B247" s="33">
        <v>44992</v>
      </c>
      <c r="C247" s="32" t="s">
        <v>11</v>
      </c>
      <c r="D247" s="32" t="s">
        <v>62</v>
      </c>
      <c r="E247" s="32"/>
      <c r="F247" s="32" t="s">
        <v>12</v>
      </c>
      <c r="G247" s="32" t="s">
        <v>14</v>
      </c>
      <c r="H247" s="32" t="s">
        <v>17</v>
      </c>
      <c r="I247" s="32" t="s">
        <v>691</v>
      </c>
      <c r="J247" s="32" t="s">
        <v>414</v>
      </c>
      <c r="K247" s="32" t="s">
        <v>348</v>
      </c>
      <c r="L247" s="32" t="s">
        <v>169</v>
      </c>
      <c r="M247" s="32" t="str">
        <f>IF(Table2[[#This Row],[Stage]]="Closed","Closed","Open")</f>
        <v>Closed</v>
      </c>
      <c r="N247" s="32" t="s">
        <v>531</v>
      </c>
      <c r="O247" s="32">
        <f ca="1">SUMIFS(Table3[Days with], Table3[Ref], Table2[[#This Row],[Ref]],Table3[Who With],"Legal")</f>
        <v>44</v>
      </c>
      <c r="P247" s="34">
        <f>SUMIFS(Table3[Total Cycle Time],Table3[Ref],Table2[[#This Row],[Ref]])</f>
        <v>44</v>
      </c>
    </row>
    <row r="248" spans="1:16" hidden="1" x14ac:dyDescent="0.25">
      <c r="A248" s="39" t="str">
        <f>IF(Table2[[#This Row],[Date Received]]="","",_xlfn.CONCAT(Table2[[#This Row],[Counterparty]]," - ",Table2[[#This Row],[Contract Name]]))</f>
        <v>Vet Station Vendors - Settlement Agreement</v>
      </c>
      <c r="B248" s="33">
        <v>44993</v>
      </c>
      <c r="C248" s="32" t="s">
        <v>11</v>
      </c>
      <c r="D248" s="32" t="s">
        <v>675</v>
      </c>
      <c r="E248" s="32" t="s">
        <v>676</v>
      </c>
      <c r="F248" s="32" t="s">
        <v>16</v>
      </c>
      <c r="G248" s="32" t="s">
        <v>37</v>
      </c>
      <c r="H248" s="32" t="s">
        <v>15</v>
      </c>
      <c r="I248" s="32" t="s">
        <v>519</v>
      </c>
      <c r="J248" s="32" t="s">
        <v>520</v>
      </c>
      <c r="K248" s="32" t="s">
        <v>442</v>
      </c>
      <c r="L248" s="32" t="s">
        <v>169</v>
      </c>
      <c r="M248" s="32" t="str">
        <f>IF(Table2[[#This Row],[Stage]]="Closed","Closed","Open")</f>
        <v>Closed</v>
      </c>
      <c r="N248" s="32" t="s">
        <v>521</v>
      </c>
      <c r="O248" s="32">
        <f ca="1">SUMIFS(Table3[Days with], Table3[Ref], Table2[[#This Row],[Ref]],Table3[Who With],"Legal")</f>
        <v>12</v>
      </c>
      <c r="P248" s="34">
        <f>SUMIFS(Table3[Total Cycle Time],Table3[Ref],Table2[[#This Row],[Ref]])</f>
        <v>12</v>
      </c>
    </row>
    <row r="249" spans="1:16" hidden="1" x14ac:dyDescent="0.25">
      <c r="A249" s="39" t="str">
        <f>IF(Table2[[#This Row],[Date Received]]="","",_xlfn.CONCAT(Table2[[#This Row],[Counterparty]]," - ",Table2[[#This Row],[Contract Name]]))</f>
        <v>Champken - Branch Parternship Agreement</v>
      </c>
      <c r="B249" s="33">
        <v>44993</v>
      </c>
      <c r="C249" s="32" t="s">
        <v>11</v>
      </c>
      <c r="D249" s="32" t="s">
        <v>753</v>
      </c>
      <c r="E249" s="32" t="s">
        <v>754</v>
      </c>
      <c r="F249" s="32" t="s">
        <v>12</v>
      </c>
      <c r="G249" s="32" t="s">
        <v>425</v>
      </c>
      <c r="H249" s="32" t="s">
        <v>425</v>
      </c>
      <c r="I249" s="32" t="s">
        <v>755</v>
      </c>
      <c r="J249" s="32" t="s">
        <v>722</v>
      </c>
      <c r="K249" s="32" t="s">
        <v>12</v>
      </c>
      <c r="L249" s="32" t="s">
        <v>169</v>
      </c>
      <c r="M249" s="32" t="str">
        <f>IF(Table2[[#This Row],[Stage]]="Closed","Closed","Open")</f>
        <v>Closed</v>
      </c>
      <c r="N249" s="32" t="s">
        <v>756</v>
      </c>
      <c r="O249" s="32">
        <f ca="1">SUMIFS(Table3[Days with], Table3[Ref], Table2[[#This Row],[Ref]],Table3[Who With],"Legal")</f>
        <v>106</v>
      </c>
      <c r="P249" s="34">
        <f>SUMIFS(Table3[Total Cycle Time],Table3[Ref],Table2[[#This Row],[Ref]])</f>
        <v>106</v>
      </c>
    </row>
    <row r="250" spans="1:16" hidden="1" x14ac:dyDescent="0.25">
      <c r="A250" s="39" t="str">
        <f>IF(Table2[[#This Row],[Date Received]]="","",_xlfn.CONCAT(Table2[[#This Row],[Counterparty]]," - ",Table2[[#This Row],[Contract Name]]))</f>
        <v>UCLan - Sponsorship Agreement</v>
      </c>
      <c r="B250" s="33">
        <v>44993</v>
      </c>
      <c r="C250" s="32" t="s">
        <v>11</v>
      </c>
      <c r="D250" s="32" t="s">
        <v>846</v>
      </c>
      <c r="E250" s="32"/>
      <c r="F250" s="32" t="s">
        <v>12</v>
      </c>
      <c r="G250" s="32" t="s">
        <v>30</v>
      </c>
      <c r="H250" s="32" t="s">
        <v>17</v>
      </c>
      <c r="I250" s="32" t="s">
        <v>234</v>
      </c>
      <c r="J250" s="32" t="s">
        <v>290</v>
      </c>
      <c r="K250" s="32" t="s">
        <v>12</v>
      </c>
      <c r="L250" s="32" t="s">
        <v>169</v>
      </c>
      <c r="M250" s="32" t="str">
        <f>IF(Table2[[#This Row],[Stage]]="Closed","Closed","Open")</f>
        <v>Closed</v>
      </c>
      <c r="N250" s="32" t="s">
        <v>453</v>
      </c>
      <c r="O250" s="32">
        <f ca="1">SUMIFS(Table3[Days with], Table3[Ref], Table2[[#This Row],[Ref]],Table3[Who With],"Legal")</f>
        <v>177</v>
      </c>
      <c r="P250" s="34">
        <f>SUMIFS(Table3[Total Cycle Time],Table3[Ref],Table2[[#This Row],[Ref]])</f>
        <v>177</v>
      </c>
    </row>
    <row r="251" spans="1:16" hidden="1" x14ac:dyDescent="0.25">
      <c r="A251" s="39" t="str">
        <f>IF(Table2[[#This Row],[Date Received]]="","",_xlfn.CONCAT(Table2[[#This Row],[Counterparty]]," - ",Table2[[#This Row],[Contract Name]]))</f>
        <v>Assisi Vets Vendors - Settlement Agreement</v>
      </c>
      <c r="B251" s="33">
        <v>45000</v>
      </c>
      <c r="C251" s="32" t="s">
        <v>11</v>
      </c>
      <c r="D251" s="32" t="s">
        <v>682</v>
      </c>
      <c r="E251" s="32" t="s">
        <v>683</v>
      </c>
      <c r="F251" s="32" t="s">
        <v>16</v>
      </c>
      <c r="G251" s="32" t="s">
        <v>37</v>
      </c>
      <c r="H251" s="32" t="s">
        <v>15</v>
      </c>
      <c r="I251" s="32" t="s">
        <v>519</v>
      </c>
      <c r="J251" s="32" t="s">
        <v>520</v>
      </c>
      <c r="K251" s="32" t="s">
        <v>442</v>
      </c>
      <c r="L251" s="32" t="s">
        <v>169</v>
      </c>
      <c r="M251" s="32" t="str">
        <f>IF(Table2[[#This Row],[Stage]]="Closed","Closed","Open")</f>
        <v>Closed</v>
      </c>
      <c r="N251" s="32" t="s">
        <v>521</v>
      </c>
      <c r="O251" s="32">
        <f ca="1">SUMIFS(Table3[Days with], Table3[Ref], Table2[[#This Row],[Ref]],Table3[Who With],"Legal")</f>
        <v>13</v>
      </c>
      <c r="P251" s="34">
        <f>SUMIFS(Table3[Total Cycle Time],Table3[Ref],Table2[[#This Row],[Ref]])</f>
        <v>13</v>
      </c>
    </row>
    <row r="252" spans="1:16" hidden="1" x14ac:dyDescent="0.25">
      <c r="A252" s="39" t="str">
        <f>IF(Table2[[#This Row],[Date Received]]="","",_xlfn.CONCAT(Table2[[#This Row],[Counterparty]]," - ",Table2[[#This Row],[Contract Name]]))</f>
        <v>Easy Direct Debit - Indemnity</v>
      </c>
      <c r="B252" s="33">
        <v>45000</v>
      </c>
      <c r="C252" s="32" t="s">
        <v>11</v>
      </c>
      <c r="D252" s="32" t="s">
        <v>692</v>
      </c>
      <c r="E252" s="32" t="s">
        <v>686</v>
      </c>
      <c r="F252" s="32" t="s">
        <v>12</v>
      </c>
      <c r="G252" s="32" t="s">
        <v>29</v>
      </c>
      <c r="H252" s="32" t="s">
        <v>17</v>
      </c>
      <c r="I252" s="32" t="s">
        <v>693</v>
      </c>
      <c r="J252" s="32" t="s">
        <v>42</v>
      </c>
      <c r="K252" s="32" t="s">
        <v>12</v>
      </c>
      <c r="L252" s="32" t="s">
        <v>169</v>
      </c>
      <c r="M252" s="32" t="str">
        <f>IF(Table2[[#This Row],[Stage]]="Closed","Closed","Open")</f>
        <v>Closed</v>
      </c>
      <c r="N252" s="32" t="s">
        <v>694</v>
      </c>
      <c r="O252" s="32">
        <f ca="1">SUMIFS(Table3[Days with], Table3[Ref], Table2[[#This Row],[Ref]],Table3[Who With],"Legal")</f>
        <v>36</v>
      </c>
      <c r="P252" s="34">
        <f>SUMIFS(Table3[Total Cycle Time],Table3[Ref],Table2[[#This Row],[Ref]])</f>
        <v>36</v>
      </c>
    </row>
    <row r="253" spans="1:16" hidden="1" x14ac:dyDescent="0.25">
      <c r="A253" s="39" t="str">
        <f>IF(Table2[[#This Row],[Date Received]]="","",_xlfn.CONCAT(Table2[[#This Row],[Counterparty]]," - ",Table2[[#This Row],[Contract Name]]))</f>
        <v xml:space="preserve"> - Rebate Agreement</v>
      </c>
      <c r="B253" s="33">
        <v>45001</v>
      </c>
      <c r="C253" s="32" t="s">
        <v>11</v>
      </c>
      <c r="D253" s="32"/>
      <c r="E253" s="32"/>
      <c r="F253" s="32" t="s">
        <v>12</v>
      </c>
      <c r="G253" s="32" t="s">
        <v>14</v>
      </c>
      <c r="H253" s="32" t="s">
        <v>15</v>
      </c>
      <c r="I253" s="32" t="s">
        <v>48</v>
      </c>
      <c r="J253" s="32" t="s">
        <v>63</v>
      </c>
      <c r="K253" s="32" t="s">
        <v>12</v>
      </c>
      <c r="L253" s="32" t="s">
        <v>169</v>
      </c>
      <c r="M253" s="32" t="str">
        <f>IF(Table2[[#This Row],[Stage]]="Closed","Closed","Open")</f>
        <v>Closed</v>
      </c>
      <c r="N253" s="32"/>
      <c r="O253" s="32">
        <f ca="1">SUMIFS(Table3[Days with], Table3[Ref], Table2[[#This Row],[Ref]],Table3[Who With],"Legal")</f>
        <v>35</v>
      </c>
      <c r="P253" s="34">
        <f>SUMIFS(Table3[Total Cycle Time],Table3[Ref],Table2[[#This Row],[Ref]])</f>
        <v>35</v>
      </c>
    </row>
    <row r="254" spans="1:16" hidden="1" x14ac:dyDescent="0.25">
      <c r="A254" s="39" t="str">
        <f>IF(Table2[[#This Row],[Date Received]]="","",_xlfn.CONCAT(Table2[[#This Row],[Counterparty]]," - ",Table2[[#This Row],[Contract Name]]))</f>
        <v>Bytes - Variation Agreement</v>
      </c>
      <c r="B254" s="33">
        <v>45001</v>
      </c>
      <c r="C254" s="32" t="s">
        <v>11</v>
      </c>
      <c r="D254" s="32" t="s">
        <v>695</v>
      </c>
      <c r="E254" s="32"/>
      <c r="F254" s="32" t="s">
        <v>12</v>
      </c>
      <c r="G254" s="32" t="s">
        <v>34</v>
      </c>
      <c r="H254" s="32" t="s">
        <v>17</v>
      </c>
      <c r="I254" s="32" t="s">
        <v>696</v>
      </c>
      <c r="J254" s="32" t="s">
        <v>389</v>
      </c>
      <c r="K254" s="32" t="s">
        <v>12</v>
      </c>
      <c r="L254" s="32" t="s">
        <v>169</v>
      </c>
      <c r="M254" s="32" t="str">
        <f>IF(Table2[[#This Row],[Stage]]="Closed","Closed","Open")</f>
        <v>Closed</v>
      </c>
      <c r="N254" s="32"/>
      <c r="O254" s="32">
        <f ca="1">SUMIFS(Table3[Days with], Table3[Ref], Table2[[#This Row],[Ref]],Table3[Who With],"Legal")</f>
        <v>35</v>
      </c>
      <c r="P254" s="34">
        <f>SUMIFS(Table3[Total Cycle Time],Table3[Ref],Table2[[#This Row],[Ref]])</f>
        <v>35</v>
      </c>
    </row>
    <row r="255" spans="1:16" hidden="1" x14ac:dyDescent="0.25">
      <c r="A255" s="39" t="str">
        <f>IF(Table2[[#This Row],[Date Received]]="","",_xlfn.CONCAT(Table2[[#This Row],[Counterparty]]," - ",Table2[[#This Row],[Contract Name]]))</f>
        <v>Delaware - MSA and SOW</v>
      </c>
      <c r="B255" s="33">
        <v>45001</v>
      </c>
      <c r="C255" s="32" t="s">
        <v>11</v>
      </c>
      <c r="D255" s="32" t="s">
        <v>863</v>
      </c>
      <c r="E255" s="32"/>
      <c r="F255" s="32" t="s">
        <v>12</v>
      </c>
      <c r="G255" s="32" t="s">
        <v>27</v>
      </c>
      <c r="H255" s="32" t="s">
        <v>17</v>
      </c>
      <c r="I255" s="32" t="s">
        <v>864</v>
      </c>
      <c r="J255" s="32" t="s">
        <v>28</v>
      </c>
      <c r="K255" s="32" t="s">
        <v>12</v>
      </c>
      <c r="L255" s="32" t="s">
        <v>169</v>
      </c>
      <c r="M255" s="32" t="str">
        <f>IF(Table2[[#This Row],[Stage]]="Closed","Closed","Open")</f>
        <v>Closed</v>
      </c>
      <c r="N255" s="32" t="s">
        <v>865</v>
      </c>
      <c r="O255" s="32">
        <f ca="1">SUMIFS(Table3[Days with], Table3[Ref], Table2[[#This Row],[Ref]],Table3[Who With],"Legal")</f>
        <v>210</v>
      </c>
      <c r="P255" s="34">
        <f>SUMIFS(Table3[Total Cycle Time],Table3[Ref],Table2[[#This Row],[Ref]])</f>
        <v>210</v>
      </c>
    </row>
    <row r="256" spans="1:16" hidden="1" x14ac:dyDescent="0.25">
      <c r="A256" s="39" t="str">
        <f>IF(Table2[[#This Row],[Date Received]]="","",_xlfn.CONCAT(Table2[[#This Row],[Counterparty]]," - ",Table2[[#This Row],[Contract Name]]))</f>
        <v>Viking - Variation Agreement</v>
      </c>
      <c r="B256" s="33">
        <v>45005</v>
      </c>
      <c r="C256" s="32" t="s">
        <v>11</v>
      </c>
      <c r="D256" s="32" t="s">
        <v>447</v>
      </c>
      <c r="E256" s="32"/>
      <c r="F256" s="32" t="s">
        <v>12</v>
      </c>
      <c r="G256" s="32" t="s">
        <v>14</v>
      </c>
      <c r="H256" s="32" t="s">
        <v>17</v>
      </c>
      <c r="I256" s="32" t="s">
        <v>696</v>
      </c>
      <c r="J256" s="32" t="s">
        <v>414</v>
      </c>
      <c r="K256" s="32" t="s">
        <v>348</v>
      </c>
      <c r="L256" s="32" t="s">
        <v>169</v>
      </c>
      <c r="M256" s="32" t="str">
        <f>IF(Table2[[#This Row],[Stage]]="Closed","Closed","Open")</f>
        <v>Closed</v>
      </c>
      <c r="N256" s="32" t="s">
        <v>712</v>
      </c>
      <c r="O256" s="32">
        <f ca="1">SUMIFS(Table3[Days with], Table3[Ref], Table2[[#This Row],[Ref]],Table3[Who With],"Legal")</f>
        <v>58</v>
      </c>
      <c r="P256" s="34">
        <f>SUMIFS(Table3[Total Cycle Time],Table3[Ref],Table2[[#This Row],[Ref]])</f>
        <v>58</v>
      </c>
    </row>
    <row r="257" spans="1:16" hidden="1" x14ac:dyDescent="0.25">
      <c r="A257" s="39" t="str">
        <f>IF(Table2[[#This Row],[Date Received]]="","",_xlfn.CONCAT(Table2[[#This Row],[Counterparty]]," - ",Table2[[#This Row],[Contract Name]]))</f>
        <v>Lintbells - Rebate Agreement 2</v>
      </c>
      <c r="B257" s="33">
        <v>45007</v>
      </c>
      <c r="C257" s="32" t="s">
        <v>11</v>
      </c>
      <c r="D257" s="32" t="s">
        <v>56</v>
      </c>
      <c r="E257" s="32"/>
      <c r="F257" s="32" t="s">
        <v>12</v>
      </c>
      <c r="G257" s="32" t="s">
        <v>14</v>
      </c>
      <c r="H257" s="32" t="s">
        <v>17</v>
      </c>
      <c r="I257" s="32" t="s">
        <v>1479</v>
      </c>
      <c r="J257" s="32" t="s">
        <v>31</v>
      </c>
      <c r="K257" s="32" t="s">
        <v>12</v>
      </c>
      <c r="L257" s="32" t="s">
        <v>169</v>
      </c>
      <c r="M257" s="32" t="str">
        <f>IF(Table2[[#This Row],[Stage]]="Closed","Closed","Open")</f>
        <v>Closed</v>
      </c>
      <c r="N257" s="32" t="s">
        <v>453</v>
      </c>
      <c r="O257" s="32">
        <f ca="1">SUMIFS(Table3[Days with], Table3[Ref], Table2[[#This Row],[Ref]],Table3[Who With],"Legal")</f>
        <v>728</v>
      </c>
      <c r="P257" s="34">
        <f>SUMIFS(Table3[Total Cycle Time],Table3[Ref],Table2[[#This Row],[Ref]])</f>
        <v>0</v>
      </c>
    </row>
    <row r="258" spans="1:16" hidden="1" x14ac:dyDescent="0.25">
      <c r="A258" s="39" t="str">
        <f>IF(Table2[[#This Row],[Date Received]]="","",_xlfn.CONCAT(Table2[[#This Row],[Counterparty]]," - ",Table2[[#This Row],[Contract Name]]))</f>
        <v>Cardiff Cat Clinic Vendors - Settlement Agreement</v>
      </c>
      <c r="B258" s="33">
        <v>45008</v>
      </c>
      <c r="C258" s="32" t="s">
        <v>11</v>
      </c>
      <c r="D258" s="32" t="s">
        <v>698</v>
      </c>
      <c r="E258" s="32" t="s">
        <v>434</v>
      </c>
      <c r="F258" s="32" t="s">
        <v>16</v>
      </c>
      <c r="G258" s="32" t="s">
        <v>37</v>
      </c>
      <c r="H258" s="32" t="s">
        <v>15</v>
      </c>
      <c r="I258" s="32" t="s">
        <v>519</v>
      </c>
      <c r="J258" s="32" t="s">
        <v>520</v>
      </c>
      <c r="K258" s="32" t="s">
        <v>442</v>
      </c>
      <c r="L258" s="32" t="s">
        <v>169</v>
      </c>
      <c r="M258" s="32" t="str">
        <f>IF(Table2[[#This Row],[Stage]]="Closed","Closed","Open")</f>
        <v>Closed</v>
      </c>
      <c r="N258" s="32" t="s">
        <v>521</v>
      </c>
      <c r="O258" s="32">
        <f ca="1">SUMIFS(Table3[Days with], Table3[Ref], Table2[[#This Row],[Ref]],Table3[Who With],"Legal")</f>
        <v>5</v>
      </c>
      <c r="P258" s="34">
        <f>SUMIFS(Table3[Total Cycle Time],Table3[Ref],Table2[[#This Row],[Ref]])</f>
        <v>5</v>
      </c>
    </row>
    <row r="259" spans="1:16" hidden="1" x14ac:dyDescent="0.25">
      <c r="A259" s="39" t="str">
        <f>IF(Table2[[#This Row],[Date Received]]="","",_xlfn.CONCAT(Table2[[#This Row],[Counterparty]]," - ",Table2[[#This Row],[Contract Name]]))</f>
        <v>Chertsey Vets Vendors - Settlement Agreement</v>
      </c>
      <c r="B259" s="33">
        <v>45014</v>
      </c>
      <c r="C259" s="32" t="s">
        <v>1086</v>
      </c>
      <c r="D259" s="32" t="s">
        <v>699</v>
      </c>
      <c r="E259" s="32" t="s">
        <v>700</v>
      </c>
      <c r="F259" s="32" t="s">
        <v>16</v>
      </c>
      <c r="G259" s="32" t="s">
        <v>37</v>
      </c>
      <c r="H259" s="32" t="s">
        <v>15</v>
      </c>
      <c r="I259" s="32" t="s">
        <v>519</v>
      </c>
      <c r="J259" s="32" t="s">
        <v>520</v>
      </c>
      <c r="K259" s="32" t="s">
        <v>442</v>
      </c>
      <c r="L259" s="32" t="s">
        <v>169</v>
      </c>
      <c r="M259" s="32" t="str">
        <f>IF(Table2[[#This Row],[Stage]]="Closed","Closed","Open")</f>
        <v>Closed</v>
      </c>
      <c r="N259" s="32" t="s">
        <v>521</v>
      </c>
      <c r="O259" s="32">
        <f ca="1">SUMIFS(Table3[Days with], Table3[Ref], Table2[[#This Row],[Ref]],Table3[Who With],"Legal")</f>
        <v>2</v>
      </c>
      <c r="P259" s="34">
        <f>SUMIFS(Table3[Total Cycle Time],Table3[Ref],Table2[[#This Row],[Ref]])</f>
        <v>2</v>
      </c>
    </row>
    <row r="260" spans="1:16" hidden="1" x14ac:dyDescent="0.25">
      <c r="A260" s="39" t="str">
        <f>IF(Table2[[#This Row],[Date Received]]="","",_xlfn.CONCAT(Table2[[#This Row],[Counterparty]]," - ",Table2[[#This Row],[Contract Name]]))</f>
        <v>MSDAH intervet  - Rebate Agreement</v>
      </c>
      <c r="B260" s="33">
        <v>45019</v>
      </c>
      <c r="C260" s="32" t="s">
        <v>11</v>
      </c>
      <c r="D260" s="32" t="s">
        <v>713</v>
      </c>
      <c r="E260" s="32"/>
      <c r="F260" s="32" t="s">
        <v>12</v>
      </c>
      <c r="G260" s="32" t="s">
        <v>14</v>
      </c>
      <c r="H260" s="32" t="s">
        <v>17</v>
      </c>
      <c r="I260" s="32" t="s">
        <v>48</v>
      </c>
      <c r="J260" s="32" t="s">
        <v>31</v>
      </c>
      <c r="K260" s="32" t="s">
        <v>12</v>
      </c>
      <c r="L260" s="32" t="s">
        <v>169</v>
      </c>
      <c r="M260" s="32" t="str">
        <f>IF(Table2[[#This Row],[Stage]]="Closed","Closed","Open")</f>
        <v>Closed</v>
      </c>
      <c r="N260" s="32" t="s">
        <v>531</v>
      </c>
      <c r="O260" s="32">
        <f ca="1">SUMIFS(Table3[Days with], Table3[Ref], Table2[[#This Row],[Ref]],Table3[Who With],"Legal")</f>
        <v>46</v>
      </c>
      <c r="P260" s="34">
        <f>SUMIFS(Table3[Total Cycle Time],Table3[Ref],Table2[[#This Row],[Ref]])</f>
        <v>46</v>
      </c>
    </row>
    <row r="261" spans="1:16" hidden="1" x14ac:dyDescent="0.25">
      <c r="A261" s="39" t="str">
        <f>IF(Table2[[#This Row],[Date Received]]="","",_xlfn.CONCAT(Table2[[#This Row],[Counterparty]]," - ",Table2[[#This Row],[Contract Name]]))</f>
        <v>Band Vets - Settlement Agreement</v>
      </c>
      <c r="B261" s="33">
        <v>45027</v>
      </c>
      <c r="C261" s="32" t="s">
        <v>11</v>
      </c>
      <c r="D261" s="32" t="s">
        <v>701</v>
      </c>
      <c r="E261" s="32" t="s">
        <v>701</v>
      </c>
      <c r="F261" s="32" t="s">
        <v>16</v>
      </c>
      <c r="G261" s="32" t="s">
        <v>37</v>
      </c>
      <c r="H261" s="32" t="s">
        <v>15</v>
      </c>
      <c r="I261" s="32" t="s">
        <v>519</v>
      </c>
      <c r="J261" s="32" t="s">
        <v>520</v>
      </c>
      <c r="K261" s="32" t="s">
        <v>442</v>
      </c>
      <c r="L261" s="32" t="s">
        <v>169</v>
      </c>
      <c r="M261" s="32" t="str">
        <f>IF(Table2[[#This Row],[Stage]]="Closed","Closed","Open")</f>
        <v>Closed</v>
      </c>
      <c r="N261" s="32" t="s">
        <v>521</v>
      </c>
      <c r="O261" s="32">
        <f ca="1">SUMIFS(Table3[Days with], Table3[Ref], Table2[[#This Row],[Ref]],Table3[Who With],"Legal")</f>
        <v>14</v>
      </c>
      <c r="P261" s="34">
        <f>SUMIFS(Table3[Total Cycle Time],Table3[Ref],Table2[[#This Row],[Ref]])</f>
        <v>14</v>
      </c>
    </row>
    <row r="262" spans="1:16" hidden="1" x14ac:dyDescent="0.25">
      <c r="A262" s="39" t="str">
        <f>IF(Table2[[#This Row],[Date Received]]="","",_xlfn.CONCAT(Table2[[#This Row],[Counterparty]]," - ",Table2[[#This Row],[Contract Name]]))</f>
        <v>Betavet - Settlement Agreement</v>
      </c>
      <c r="B262" s="33">
        <v>45027</v>
      </c>
      <c r="C262" s="32" t="s">
        <v>11</v>
      </c>
      <c r="D262" s="32" t="s">
        <v>702</v>
      </c>
      <c r="E262" s="32" t="s">
        <v>702</v>
      </c>
      <c r="F262" s="32" t="s">
        <v>16</v>
      </c>
      <c r="G262" s="32" t="s">
        <v>37</v>
      </c>
      <c r="H262" s="32" t="s">
        <v>15</v>
      </c>
      <c r="I262" s="32" t="s">
        <v>519</v>
      </c>
      <c r="J262" s="32" t="s">
        <v>520</v>
      </c>
      <c r="K262" s="32" t="s">
        <v>442</v>
      </c>
      <c r="L262" s="32" t="s">
        <v>169</v>
      </c>
      <c r="M262" s="32" t="str">
        <f>IF(Table2[[#This Row],[Stage]]="Closed","Closed","Open")</f>
        <v>Closed</v>
      </c>
      <c r="N262" s="32" t="s">
        <v>521</v>
      </c>
      <c r="O262" s="32">
        <f ca="1">SUMIFS(Table3[Days with], Table3[Ref], Table2[[#This Row],[Ref]],Table3[Who With],"Legal")</f>
        <v>14</v>
      </c>
      <c r="P262" s="34">
        <f>SUMIFS(Table3[Total Cycle Time],Table3[Ref],Table2[[#This Row],[Ref]])</f>
        <v>14</v>
      </c>
    </row>
    <row r="263" spans="1:16" hidden="1" x14ac:dyDescent="0.25">
      <c r="A263" s="39" t="str">
        <f>IF(Table2[[#This Row],[Date Received]]="","",_xlfn.CONCAT(Table2[[#This Row],[Counterparty]]," - ",Table2[[#This Row],[Contract Name]]))</f>
        <v>Blakemere - Settlement Agreement</v>
      </c>
      <c r="B263" s="33">
        <v>45027</v>
      </c>
      <c r="C263" s="32" t="s">
        <v>11</v>
      </c>
      <c r="D263" s="32" t="s">
        <v>54</v>
      </c>
      <c r="E263" s="32" t="s">
        <v>54</v>
      </c>
      <c r="F263" s="32" t="s">
        <v>16</v>
      </c>
      <c r="G263" s="32" t="s">
        <v>37</v>
      </c>
      <c r="H263" s="32" t="s">
        <v>15</v>
      </c>
      <c r="I263" s="32" t="s">
        <v>519</v>
      </c>
      <c r="J263" s="32" t="s">
        <v>520</v>
      </c>
      <c r="K263" s="32" t="s">
        <v>442</v>
      </c>
      <c r="L263" s="32" t="s">
        <v>169</v>
      </c>
      <c r="M263" s="32" t="str">
        <f>IF(Table2[[#This Row],[Stage]]="Closed","Closed","Open")</f>
        <v>Closed</v>
      </c>
      <c r="N263" s="32" t="s">
        <v>521</v>
      </c>
      <c r="O263" s="32">
        <f ca="1">SUMIFS(Table3[Days with], Table3[Ref], Table2[[#This Row],[Ref]],Table3[Who With],"Legal")</f>
        <v>14</v>
      </c>
      <c r="P263" s="34">
        <f>SUMIFS(Table3[Total Cycle Time],Table3[Ref],Table2[[#This Row],[Ref]])</f>
        <v>14</v>
      </c>
    </row>
    <row r="264" spans="1:16" hidden="1" x14ac:dyDescent="0.25">
      <c r="A264" s="39" t="str">
        <f>IF(Table2[[#This Row],[Date Received]]="","",_xlfn.CONCAT(Table2[[#This Row],[Counterparty]]," - ",Table2[[#This Row],[Contract Name]]))</f>
        <v>Workday - SaaS contract</v>
      </c>
      <c r="B264" s="33">
        <v>45027</v>
      </c>
      <c r="C264" s="32" t="s">
        <v>11</v>
      </c>
      <c r="D264" s="32" t="s">
        <v>757</v>
      </c>
      <c r="E264" s="32"/>
      <c r="F264" s="32" t="s">
        <v>12</v>
      </c>
      <c r="G264" s="32" t="s">
        <v>30</v>
      </c>
      <c r="H264" s="32" t="s">
        <v>17</v>
      </c>
      <c r="I264" s="32" t="s">
        <v>60</v>
      </c>
      <c r="J264" s="32" t="s">
        <v>758</v>
      </c>
      <c r="K264" s="32" t="s">
        <v>12</v>
      </c>
      <c r="L264" s="32" t="s">
        <v>169</v>
      </c>
      <c r="M264" s="32" t="str">
        <f>IF(Table2[[#This Row],[Stage]]="Closed","Closed","Open")</f>
        <v>Closed</v>
      </c>
      <c r="N264" s="32" t="s">
        <v>759</v>
      </c>
      <c r="O264" s="32">
        <f ca="1">SUMIFS(Table3[Days with], Table3[Ref], Table2[[#This Row],[Ref]],Table3[Who With],"Legal")</f>
        <v>72</v>
      </c>
      <c r="P264" s="34">
        <f>SUMIFS(Table3[Total Cycle Time],Table3[Ref],Table2[[#This Row],[Ref]])</f>
        <v>72</v>
      </c>
    </row>
    <row r="265" spans="1:16" hidden="1" x14ac:dyDescent="0.25">
      <c r="A265" s="39" t="str">
        <f>IF(Table2[[#This Row],[Date Received]]="","",_xlfn.CONCAT(Table2[[#This Row],[Counterparty]]," - ",Table2[[#This Row],[Contract Name]]))</f>
        <v>Woodley Equipment Company Ltd - Services contract</v>
      </c>
      <c r="B265" s="33">
        <v>45028</v>
      </c>
      <c r="C265" s="32" t="s">
        <v>11</v>
      </c>
      <c r="D265" s="32" t="s">
        <v>684</v>
      </c>
      <c r="E265" s="32" t="s">
        <v>697</v>
      </c>
      <c r="F265" s="32" t="s">
        <v>12</v>
      </c>
      <c r="G265" s="32" t="s">
        <v>14</v>
      </c>
      <c r="H265" s="32" t="s">
        <v>17</v>
      </c>
      <c r="I265" s="32" t="s">
        <v>588</v>
      </c>
      <c r="J265" s="32" t="s">
        <v>51</v>
      </c>
      <c r="K265" s="32" t="s">
        <v>12</v>
      </c>
      <c r="L265" s="32" t="s">
        <v>169</v>
      </c>
      <c r="M265" s="32" t="str">
        <f>IF(Table2[[#This Row],[Stage]]="Closed","Closed","Open")</f>
        <v>Closed</v>
      </c>
      <c r="N265" s="32"/>
      <c r="O265" s="32">
        <f ca="1">SUMIFS(Table3[Days with], Table3[Ref], Table2[[#This Row],[Ref]],Table3[Who With],"Legal")</f>
        <v>8</v>
      </c>
      <c r="P265" s="34">
        <f>SUMIFS(Table3[Total Cycle Time],Table3[Ref],Table2[[#This Row],[Ref]])</f>
        <v>8</v>
      </c>
    </row>
    <row r="266" spans="1:16" hidden="1" x14ac:dyDescent="0.25">
      <c r="A266" s="39" t="str">
        <f>IF(Table2[[#This Row],[Date Received]]="","",_xlfn.CONCAT(Table2[[#This Row],[Counterparty]]," - ",Table2[[#This Row],[Contract Name]]))</f>
        <v>Andy McVee - Employment contract</v>
      </c>
      <c r="B266" s="33">
        <v>45028</v>
      </c>
      <c r="C266" s="32" t="s">
        <v>11</v>
      </c>
      <c r="D266" s="32" t="s">
        <v>773</v>
      </c>
      <c r="E266" s="32"/>
      <c r="F266" s="32" t="s">
        <v>12</v>
      </c>
      <c r="G266" s="32" t="s">
        <v>425</v>
      </c>
      <c r="H266" s="32" t="s">
        <v>425</v>
      </c>
      <c r="I266" s="32" t="s">
        <v>774</v>
      </c>
      <c r="J266" s="32" t="s">
        <v>452</v>
      </c>
      <c r="K266" s="32" t="s">
        <v>12</v>
      </c>
      <c r="L266" s="32" t="s">
        <v>169</v>
      </c>
      <c r="M266" s="32" t="str">
        <f>IF(Table2[[#This Row],[Stage]]="Closed","Closed","Open")</f>
        <v>Closed</v>
      </c>
      <c r="N266" s="32" t="s">
        <v>775</v>
      </c>
      <c r="O266" s="32">
        <f ca="1">SUMIFS(Table3[Days with], Table3[Ref], Table2[[#This Row],[Ref]],Table3[Who With],"Legal")</f>
        <v>92</v>
      </c>
      <c r="P266" s="34">
        <f>SUMIFS(Table3[Total Cycle Time],Table3[Ref],Table2[[#This Row],[Ref]])</f>
        <v>92</v>
      </c>
    </row>
    <row r="267" spans="1:16" hidden="1" x14ac:dyDescent="0.25">
      <c r="A267" s="39" t="str">
        <f>IF(Table2[[#This Row],[Date Received]]="","",_xlfn.CONCAT(Table2[[#This Row],[Counterparty]]," - ",Table2[[#This Row],[Contract Name]]))</f>
        <v>Ines Serrao - Branch Partnership Agreement</v>
      </c>
      <c r="B267" s="33">
        <v>45028</v>
      </c>
      <c r="C267" s="32" t="s">
        <v>11</v>
      </c>
      <c r="D267" s="32" t="s">
        <v>808</v>
      </c>
      <c r="E267" s="32" t="s">
        <v>809</v>
      </c>
      <c r="F267" s="32" t="s">
        <v>12</v>
      </c>
      <c r="G267" s="32" t="s">
        <v>425</v>
      </c>
      <c r="H267" s="32" t="s">
        <v>425</v>
      </c>
      <c r="I267" s="32" t="s">
        <v>768</v>
      </c>
      <c r="J267" s="32" t="s">
        <v>427</v>
      </c>
      <c r="K267" s="32" t="s">
        <v>427</v>
      </c>
      <c r="L267" s="32" t="s">
        <v>169</v>
      </c>
      <c r="M267" s="32" t="str">
        <f>IF(Table2[[#This Row],[Stage]]="Closed","Closed","Open")</f>
        <v>Closed</v>
      </c>
      <c r="N267" s="32" t="s">
        <v>810</v>
      </c>
      <c r="O267" s="32">
        <f ca="1">SUMIFS(Table3[Days with], Table3[Ref], Table2[[#This Row],[Ref]],Table3[Who With],"Legal")</f>
        <v>114</v>
      </c>
      <c r="P267" s="34">
        <f>SUMIFS(Table3[Total Cycle Time],Table3[Ref],Table2[[#This Row],[Ref]])</f>
        <v>114</v>
      </c>
    </row>
    <row r="268" spans="1:16" hidden="1" x14ac:dyDescent="0.25">
      <c r="A268" s="39" t="str">
        <f>IF(Table2[[#This Row],[Date Received]]="","",_xlfn.CONCAT(Table2[[#This Row],[Counterparty]]," - ",Table2[[#This Row],[Contract Name]]))</f>
        <v>Pink Squid - Onboarding contract</v>
      </c>
      <c r="B268" s="33">
        <v>45028</v>
      </c>
      <c r="C268" s="32" t="s">
        <v>11</v>
      </c>
      <c r="D268" s="32" t="s">
        <v>866</v>
      </c>
      <c r="E268" s="32"/>
      <c r="F268" s="32" t="s">
        <v>12</v>
      </c>
      <c r="G268" s="32" t="s">
        <v>30</v>
      </c>
      <c r="H268" s="32" t="s">
        <v>17</v>
      </c>
      <c r="I268" s="32" t="s">
        <v>867</v>
      </c>
      <c r="J268" s="32" t="s">
        <v>772</v>
      </c>
      <c r="K268" s="32" t="s">
        <v>12</v>
      </c>
      <c r="L268" s="32" t="s">
        <v>169</v>
      </c>
      <c r="M268" s="32" t="str">
        <f>IF(Table2[[#This Row],[Stage]]="Closed","Closed","Open")</f>
        <v>Closed</v>
      </c>
      <c r="N268" s="32" t="s">
        <v>865</v>
      </c>
      <c r="O268" s="32">
        <f ca="1">SUMIFS(Table3[Days with], Table3[Ref], Table2[[#This Row],[Ref]],Table3[Who With],"Legal")</f>
        <v>183</v>
      </c>
      <c r="P268" s="34">
        <f>SUMIFS(Table3[Total Cycle Time],Table3[Ref],Table2[[#This Row],[Ref]])</f>
        <v>183</v>
      </c>
    </row>
    <row r="269" spans="1:16" hidden="1" x14ac:dyDescent="0.25">
      <c r="A269" s="39" t="str">
        <f>IF(Table2[[#This Row],[Date Received]]="","",_xlfn.CONCAT(Table2[[#This Row],[Counterparty]]," - ",Table2[[#This Row],[Contract Name]]))</f>
        <v>Alex Llorens - Branch Partnership Agreement</v>
      </c>
      <c r="B269" s="33">
        <v>45028</v>
      </c>
      <c r="C269" s="32" t="s">
        <v>11</v>
      </c>
      <c r="D269" s="32" t="s">
        <v>997</v>
      </c>
      <c r="E269" s="32" t="s">
        <v>998</v>
      </c>
      <c r="F269" s="32" t="s">
        <v>12</v>
      </c>
      <c r="G269" s="32" t="s">
        <v>425</v>
      </c>
      <c r="H269" s="32" t="s">
        <v>425</v>
      </c>
      <c r="I269" s="32" t="s">
        <v>768</v>
      </c>
      <c r="J269" s="32" t="s">
        <v>950</v>
      </c>
      <c r="K269" s="32" t="s">
        <v>950</v>
      </c>
      <c r="L269" s="32" t="s">
        <v>169</v>
      </c>
      <c r="M269" s="32" t="str">
        <f>IF(Table2[[#This Row],[Stage]]="Closed","Closed","Open")</f>
        <v>Closed</v>
      </c>
      <c r="N269" s="32" t="s">
        <v>999</v>
      </c>
      <c r="O269" s="32">
        <f ca="1">SUMIFS(Table3[Days with], Table3[Ref], Table2[[#This Row],[Ref]],Table3[Who With],"Legal")</f>
        <v>406</v>
      </c>
      <c r="P269" s="34">
        <f>SUMIFS(Table3[Total Cycle Time],Table3[Ref],Table2[[#This Row],[Ref]])</f>
        <v>406</v>
      </c>
    </row>
    <row r="270" spans="1:16" hidden="1" x14ac:dyDescent="0.25">
      <c r="A270" s="39" t="str">
        <f>IF(Table2[[#This Row],[Date Received]]="","",_xlfn.CONCAT(Table2[[#This Row],[Counterparty]]," - ",Table2[[#This Row],[Contract Name]]))</f>
        <v>KPMG - Engagement letter 5</v>
      </c>
      <c r="B270" s="33">
        <v>45033</v>
      </c>
      <c r="C270" s="32" t="s">
        <v>11</v>
      </c>
      <c r="D270" s="32" t="s">
        <v>197</v>
      </c>
      <c r="E270" s="32"/>
      <c r="F270" s="32" t="s">
        <v>12</v>
      </c>
      <c r="G270" s="32" t="s">
        <v>27</v>
      </c>
      <c r="H270" s="32" t="s">
        <v>17</v>
      </c>
      <c r="I270" s="32" t="s">
        <v>1509</v>
      </c>
      <c r="J270" s="32" t="s">
        <v>211</v>
      </c>
      <c r="K270" s="32" t="s">
        <v>12</v>
      </c>
      <c r="L270" s="32" t="s">
        <v>169</v>
      </c>
      <c r="M270" s="32" t="str">
        <f>IF(Table2[[#This Row],[Stage]]="Closed","Closed","Open")</f>
        <v>Closed</v>
      </c>
      <c r="N270" s="32" t="s">
        <v>453</v>
      </c>
      <c r="O270" s="32">
        <f ca="1">SUMIFS(Table3[Days with], Table3[Ref], Table2[[#This Row],[Ref]],Table3[Who With],"Legal")</f>
        <v>15</v>
      </c>
      <c r="P270" s="34">
        <f>SUMIFS(Table3[Total Cycle Time],Table3[Ref],Table2[[#This Row],[Ref]])</f>
        <v>15</v>
      </c>
    </row>
    <row r="271" spans="1:16" hidden="1" x14ac:dyDescent="0.25">
      <c r="A271" s="39" t="str">
        <f>IF(Table2[[#This Row],[Date Received]]="","",_xlfn.CONCAT(Table2[[#This Row],[Counterparty]]," - ",Table2[[#This Row],[Contract Name]]))</f>
        <v>Elanco UK AH Limited   - Rebate Extension</v>
      </c>
      <c r="B271" s="33">
        <v>45033</v>
      </c>
      <c r="C271" s="32" t="s">
        <v>11</v>
      </c>
      <c r="D271" s="32" t="s">
        <v>64</v>
      </c>
      <c r="E271" s="32" t="s">
        <v>13</v>
      </c>
      <c r="F271" s="32" t="s">
        <v>16</v>
      </c>
      <c r="G271" s="32" t="s">
        <v>14</v>
      </c>
      <c r="H271" s="32" t="s">
        <v>15</v>
      </c>
      <c r="I271" s="32" t="s">
        <v>714</v>
      </c>
      <c r="J271" s="32" t="s">
        <v>63</v>
      </c>
      <c r="K271" s="32" t="s">
        <v>442</v>
      </c>
      <c r="L271" s="32" t="s">
        <v>169</v>
      </c>
      <c r="M271" s="32" t="str">
        <f>IF(Table2[[#This Row],[Stage]]="Closed","Closed","Open")</f>
        <v>Closed</v>
      </c>
      <c r="N271" s="32" t="s">
        <v>715</v>
      </c>
      <c r="O271" s="32">
        <f ca="1">SUMIFS(Table3[Days with], Table3[Ref], Table2[[#This Row],[Ref]],Table3[Who With],"Legal")</f>
        <v>58</v>
      </c>
      <c r="P271" s="34">
        <f>SUMIFS(Table3[Total Cycle Time],Table3[Ref],Table2[[#This Row],[Ref]])</f>
        <v>58</v>
      </c>
    </row>
    <row r="272" spans="1:16" hidden="1" x14ac:dyDescent="0.25">
      <c r="A272" s="39" t="str">
        <f>IF(Table2[[#This Row],[Date Received]]="","",_xlfn.CONCAT(Table2[[#This Row],[Counterparty]]," - ",Table2[[#This Row],[Contract Name]]))</f>
        <v>G9 Chemicals Ltd - Rebate Extension</v>
      </c>
      <c r="B272" s="33">
        <v>45033</v>
      </c>
      <c r="C272" s="32" t="s">
        <v>11</v>
      </c>
      <c r="D272" s="32" t="s">
        <v>716</v>
      </c>
      <c r="E272" s="32" t="s">
        <v>13</v>
      </c>
      <c r="F272" s="32" t="s">
        <v>16</v>
      </c>
      <c r="G272" s="32" t="s">
        <v>14</v>
      </c>
      <c r="H272" s="32" t="s">
        <v>15</v>
      </c>
      <c r="I272" s="32" t="s">
        <v>714</v>
      </c>
      <c r="J272" s="32" t="s">
        <v>63</v>
      </c>
      <c r="K272" s="32" t="s">
        <v>442</v>
      </c>
      <c r="L272" s="32" t="s">
        <v>169</v>
      </c>
      <c r="M272" s="32" t="str">
        <f>IF(Table2[[#This Row],[Stage]]="Closed","Closed","Open")</f>
        <v>Closed</v>
      </c>
      <c r="N272" s="32" t="s">
        <v>715</v>
      </c>
      <c r="O272" s="32">
        <f ca="1">SUMIFS(Table3[Days with], Table3[Ref], Table2[[#This Row],[Ref]],Table3[Who With],"Legal")</f>
        <v>58</v>
      </c>
      <c r="P272" s="34">
        <f>SUMIFS(Table3[Total Cycle Time],Table3[Ref],Table2[[#This Row],[Ref]])</f>
        <v>58</v>
      </c>
    </row>
    <row r="273" spans="1:16" hidden="1" x14ac:dyDescent="0.25">
      <c r="A273" s="39" t="str">
        <f>IF(Table2[[#This Row],[Date Received]]="","",_xlfn.CONCAT(Table2[[#This Row],[Counterparty]]," - ",Table2[[#This Row],[Contract Name]]))</f>
        <v>E-bate Limited - SaaS contract</v>
      </c>
      <c r="B273" s="33">
        <v>45033</v>
      </c>
      <c r="C273" s="32" t="s">
        <v>11</v>
      </c>
      <c r="D273" s="32" t="s">
        <v>760</v>
      </c>
      <c r="E273" s="32"/>
      <c r="F273" s="32" t="s">
        <v>12</v>
      </c>
      <c r="G273" s="32" t="s">
        <v>14</v>
      </c>
      <c r="H273" s="32" t="s">
        <v>17</v>
      </c>
      <c r="I273" s="32" t="s">
        <v>60</v>
      </c>
      <c r="J273" s="32" t="s">
        <v>31</v>
      </c>
      <c r="K273" s="32" t="s">
        <v>12</v>
      </c>
      <c r="L273" s="32" t="s">
        <v>169</v>
      </c>
      <c r="M273" s="32" t="str">
        <f>IF(Table2[[#This Row],[Stage]]="Closed","Closed","Open")</f>
        <v>Closed</v>
      </c>
      <c r="N273" s="32" t="s">
        <v>761</v>
      </c>
      <c r="O273" s="32">
        <f ca="1">SUMIFS(Table3[Days with], Table3[Ref], Table2[[#This Row],[Ref]],Table3[Who With],"Legal")</f>
        <v>66</v>
      </c>
      <c r="P273" s="34">
        <f>SUMIFS(Table3[Total Cycle Time],Table3[Ref],Table2[[#This Row],[Ref]])</f>
        <v>66</v>
      </c>
    </row>
    <row r="274" spans="1:16" hidden="1" x14ac:dyDescent="0.25">
      <c r="A274" s="39" t="str">
        <f>IF(Table2[[#This Row],[Date Received]]="","",_xlfn.CONCAT(Table2[[#This Row],[Counterparty]]," - ",Table2[[#This Row],[Contract Name]]))</f>
        <v>EDF - Energy Meter contract</v>
      </c>
      <c r="B274" s="33">
        <v>45035</v>
      </c>
      <c r="C274" s="32" t="s">
        <v>11</v>
      </c>
      <c r="D274" s="32" t="s">
        <v>67</v>
      </c>
      <c r="E274" s="32"/>
      <c r="F274" s="32" t="s">
        <v>12</v>
      </c>
      <c r="G274" s="32" t="s">
        <v>14</v>
      </c>
      <c r="H274" s="32" t="s">
        <v>17</v>
      </c>
      <c r="I274" s="32" t="s">
        <v>776</v>
      </c>
      <c r="J274" s="32" t="s">
        <v>777</v>
      </c>
      <c r="K274" s="32" t="s">
        <v>12</v>
      </c>
      <c r="L274" s="32" t="s">
        <v>169</v>
      </c>
      <c r="M274" s="32" t="str">
        <f>IF(Table2[[#This Row],[Stage]]="Closed","Closed","Open")</f>
        <v>Closed</v>
      </c>
      <c r="N274" s="32" t="s">
        <v>778</v>
      </c>
      <c r="O274" s="32">
        <f ca="1">SUMIFS(Table3[Days with], Table3[Ref], Table2[[#This Row],[Ref]],Table3[Who With],"Legal")</f>
        <v>85</v>
      </c>
      <c r="P274" s="34">
        <f>SUMIFS(Table3[Total Cycle Time],Table3[Ref],Table2[[#This Row],[Ref]])</f>
        <v>85</v>
      </c>
    </row>
    <row r="275" spans="1:16" hidden="1" x14ac:dyDescent="0.25">
      <c r="A275" s="39" t="str">
        <f>IF(Table2[[#This Row],[Date Received]]="","",_xlfn.CONCAT(Table2[[#This Row],[Counterparty]]," - ",Table2[[#This Row],[Contract Name]]))</f>
        <v>Orcom Civvals Limited - Engagement Letter</v>
      </c>
      <c r="B275" s="33">
        <v>45048</v>
      </c>
      <c r="C275" s="32" t="s">
        <v>11</v>
      </c>
      <c r="D275" s="32" t="s">
        <v>762</v>
      </c>
      <c r="E275" s="32"/>
      <c r="F275" s="32" t="s">
        <v>12</v>
      </c>
      <c r="G275" s="32" t="s">
        <v>27</v>
      </c>
      <c r="H275" s="32" t="s">
        <v>17</v>
      </c>
      <c r="I275" s="32" t="s">
        <v>198</v>
      </c>
      <c r="J275" s="32" t="s">
        <v>28</v>
      </c>
      <c r="K275" s="32" t="s">
        <v>12</v>
      </c>
      <c r="L275" s="32" t="s">
        <v>169</v>
      </c>
      <c r="M275" s="32" t="str">
        <f>IF(Table2[[#This Row],[Stage]]="Closed","Closed","Open")</f>
        <v>Closed</v>
      </c>
      <c r="N275" s="32" t="s">
        <v>763</v>
      </c>
      <c r="O275" s="32">
        <f ca="1">SUMIFS(Table3[Days with], Table3[Ref], Table2[[#This Row],[Ref]],Table3[Who With],"Legal")</f>
        <v>51</v>
      </c>
      <c r="P275" s="34">
        <f>SUMIFS(Table3[Total Cycle Time],Table3[Ref],Table2[[#This Row],[Ref]])</f>
        <v>51</v>
      </c>
    </row>
    <row r="276" spans="1:16" hidden="1" x14ac:dyDescent="0.25">
      <c r="A276" s="39" t="str">
        <f>IF(Table2[[#This Row],[Date Received]]="","",_xlfn.CONCAT(Table2[[#This Row],[Counterparty]]," - ",Table2[[#This Row],[Contract Name]]))</f>
        <v>SAP Concur - SAP Concur Data Processing Agreement</v>
      </c>
      <c r="B276" s="33">
        <v>45058</v>
      </c>
      <c r="C276" s="32" t="s">
        <v>11</v>
      </c>
      <c r="D276" s="32" t="s">
        <v>717</v>
      </c>
      <c r="E276" s="32" t="s">
        <v>13</v>
      </c>
      <c r="F276" s="32" t="s">
        <v>16</v>
      </c>
      <c r="G276" s="32" t="s">
        <v>34</v>
      </c>
      <c r="H276" s="32" t="s">
        <v>17</v>
      </c>
      <c r="I276" s="32" t="s">
        <v>718</v>
      </c>
      <c r="J276" s="32" t="s">
        <v>719</v>
      </c>
      <c r="K276" s="32" t="s">
        <v>442</v>
      </c>
      <c r="L276" s="32" t="s">
        <v>169</v>
      </c>
      <c r="M276" s="32" t="str">
        <f>IF(Table2[[#This Row],[Stage]]="Closed","Closed","Open")</f>
        <v>Closed</v>
      </c>
      <c r="N276" s="32" t="s">
        <v>720</v>
      </c>
      <c r="O276" s="32">
        <f ca="1">SUMIFS(Table3[Days with], Table3[Ref], Table2[[#This Row],[Ref]],Table3[Who With],"Legal")</f>
        <v>18</v>
      </c>
      <c r="P276" s="34">
        <f>SUMIFS(Table3[Total Cycle Time],Table3[Ref],Table2[[#This Row],[Ref]])</f>
        <v>18</v>
      </c>
    </row>
    <row r="277" spans="1:16" hidden="1" x14ac:dyDescent="0.25">
      <c r="A277" s="39" t="str">
        <f>IF(Table2[[#This Row],[Date Received]]="","",_xlfn.CONCAT(Table2[[#This Row],[Counterparty]]," - ",Table2[[#This Row],[Contract Name]]))</f>
        <v>PJS Services - Services Agreement</v>
      </c>
      <c r="B277" s="33">
        <v>45058</v>
      </c>
      <c r="C277" s="32" t="s">
        <v>510</v>
      </c>
      <c r="D277" s="32" t="s">
        <v>724</v>
      </c>
      <c r="E277" s="32" t="s">
        <v>13</v>
      </c>
      <c r="F277" s="32" t="s">
        <v>16</v>
      </c>
      <c r="G277" s="32" t="s">
        <v>510</v>
      </c>
      <c r="H277" s="32" t="s">
        <v>17</v>
      </c>
      <c r="I277" s="32" t="s">
        <v>32</v>
      </c>
      <c r="J277" s="32" t="s">
        <v>512</v>
      </c>
      <c r="K277" s="32" t="s">
        <v>512</v>
      </c>
      <c r="L277" s="32" t="s">
        <v>169</v>
      </c>
      <c r="M277" s="32" t="str">
        <f>IF(Table2[[#This Row],[Stage]]="Closed","Closed","Open")</f>
        <v>Closed</v>
      </c>
      <c r="N277" s="32" t="s">
        <v>725</v>
      </c>
      <c r="O277" s="32">
        <f ca="1">SUMIFS(Table3[Days with], Table3[Ref], Table2[[#This Row],[Ref]],Table3[Who With],"Legal")</f>
        <v>25</v>
      </c>
      <c r="P277" s="34">
        <f>SUMIFS(Table3[Total Cycle Time],Table3[Ref],Table2[[#This Row],[Ref]])</f>
        <v>25</v>
      </c>
    </row>
    <row r="278" spans="1:16" hidden="1" x14ac:dyDescent="0.25">
      <c r="A278" s="39" t="str">
        <f>IF(Table2[[#This Row],[Date Received]]="","",_xlfn.CONCAT(Table2[[#This Row],[Counterparty]]," - ",Table2[[#This Row],[Contract Name]]))</f>
        <v>Animalcare - Rebate Extension</v>
      </c>
      <c r="B278" s="33">
        <v>45061</v>
      </c>
      <c r="C278" s="32" t="s">
        <v>11</v>
      </c>
      <c r="D278" s="32" t="s">
        <v>50</v>
      </c>
      <c r="E278" s="32" t="s">
        <v>13</v>
      </c>
      <c r="F278" s="32" t="s">
        <v>16</v>
      </c>
      <c r="G278" s="32" t="s">
        <v>14</v>
      </c>
      <c r="H278" s="32" t="s">
        <v>15</v>
      </c>
      <c r="I278" s="32" t="s">
        <v>714</v>
      </c>
      <c r="J278" s="32" t="s">
        <v>63</v>
      </c>
      <c r="K278" s="32" t="s">
        <v>442</v>
      </c>
      <c r="L278" s="32" t="s">
        <v>169</v>
      </c>
      <c r="M278" s="32" t="str">
        <f>IF(Table2[[#This Row],[Stage]]="Closed","Closed","Open")</f>
        <v>Closed</v>
      </c>
      <c r="N278" s="32" t="s">
        <v>715</v>
      </c>
      <c r="O278" s="32">
        <f ca="1">SUMIFS(Table3[Days with], Table3[Ref], Table2[[#This Row],[Ref]],Table3[Who With],"Legal")</f>
        <v>30</v>
      </c>
      <c r="P278" s="34">
        <f>SUMIFS(Table3[Total Cycle Time],Table3[Ref],Table2[[#This Row],[Ref]])</f>
        <v>30</v>
      </c>
    </row>
    <row r="279" spans="1:16" hidden="1" x14ac:dyDescent="0.25">
      <c r="A279" s="39" t="str">
        <f>IF(Table2[[#This Row],[Date Received]]="","",_xlfn.CONCAT(Table2[[#This Row],[Counterparty]]," - ",Table2[[#This Row],[Contract Name]]))</f>
        <v>Dechra - Rebate Extension</v>
      </c>
      <c r="B279" s="33">
        <v>45061</v>
      </c>
      <c r="C279" s="32" t="s">
        <v>11</v>
      </c>
      <c r="D279" s="32" t="s">
        <v>402</v>
      </c>
      <c r="E279" s="32" t="s">
        <v>13</v>
      </c>
      <c r="F279" s="32" t="s">
        <v>16</v>
      </c>
      <c r="G279" s="32" t="s">
        <v>14</v>
      </c>
      <c r="H279" s="32" t="s">
        <v>15</v>
      </c>
      <c r="I279" s="32" t="s">
        <v>714</v>
      </c>
      <c r="J279" s="32" t="s">
        <v>63</v>
      </c>
      <c r="K279" s="32" t="s">
        <v>442</v>
      </c>
      <c r="L279" s="32" t="s">
        <v>169</v>
      </c>
      <c r="M279" s="32" t="str">
        <f>IF(Table2[[#This Row],[Stage]]="Closed","Closed","Open")</f>
        <v>Closed</v>
      </c>
      <c r="N279" s="32" t="s">
        <v>715</v>
      </c>
      <c r="O279" s="32">
        <f ca="1">SUMIFS(Table3[Days with], Table3[Ref], Table2[[#This Row],[Ref]],Table3[Who With],"Legal")</f>
        <v>30</v>
      </c>
      <c r="P279" s="34">
        <f>SUMIFS(Table3[Total Cycle Time],Table3[Ref],Table2[[#This Row],[Ref]])</f>
        <v>30</v>
      </c>
    </row>
    <row r="280" spans="1:16" hidden="1" x14ac:dyDescent="0.25">
      <c r="A280" s="39" t="str">
        <f>IF(Table2[[#This Row],[Date Received]]="","",_xlfn.CONCAT(Table2[[#This Row],[Counterparty]]," - ",Table2[[#This Row],[Contract Name]]))</f>
        <v>Duggan Veterinary Supplies   - Rebate Agreement</v>
      </c>
      <c r="B280" s="33">
        <v>45063</v>
      </c>
      <c r="C280" s="32" t="s">
        <v>11</v>
      </c>
      <c r="D280" s="32" t="s">
        <v>726</v>
      </c>
      <c r="E280" s="32" t="s">
        <v>13</v>
      </c>
      <c r="F280" s="32" t="s">
        <v>16</v>
      </c>
      <c r="G280" s="32" t="s">
        <v>14</v>
      </c>
      <c r="H280" s="32" t="s">
        <v>15</v>
      </c>
      <c r="I280" s="32" t="s">
        <v>48</v>
      </c>
      <c r="J280" s="32" t="s">
        <v>63</v>
      </c>
      <c r="K280" s="32" t="s">
        <v>442</v>
      </c>
      <c r="L280" s="32" t="s">
        <v>169</v>
      </c>
      <c r="M280" s="32" t="str">
        <f>IF(Table2[[#This Row],[Stage]]="Closed","Closed","Open")</f>
        <v>Closed</v>
      </c>
      <c r="N280" s="32" t="s">
        <v>727</v>
      </c>
      <c r="O280" s="32">
        <f ca="1">SUMIFS(Table3[Days with], Table3[Ref], Table2[[#This Row],[Ref]],Table3[Who With],"Legal")</f>
        <v>71</v>
      </c>
      <c r="P280" s="34">
        <f>SUMIFS(Table3[Total Cycle Time],Table3[Ref],Table2[[#This Row],[Ref]])</f>
        <v>71</v>
      </c>
    </row>
    <row r="281" spans="1:16" hidden="1" x14ac:dyDescent="0.25">
      <c r="A281" s="39" t="str">
        <f>IF(Table2[[#This Row],[Date Received]]="","",_xlfn.CONCAT(Table2[[#This Row],[Counterparty]]," - ",Table2[[#This Row],[Contract Name]]))</f>
        <v>Merkle - MarTech contract</v>
      </c>
      <c r="B281" s="33">
        <v>45063</v>
      </c>
      <c r="C281" s="32" t="s">
        <v>11</v>
      </c>
      <c r="D281" s="32" t="s">
        <v>764</v>
      </c>
      <c r="E281" s="32"/>
      <c r="F281" s="32" t="s">
        <v>12</v>
      </c>
      <c r="G281" s="32" t="s">
        <v>34</v>
      </c>
      <c r="H281" s="32" t="s">
        <v>17</v>
      </c>
      <c r="I281" s="32" t="s">
        <v>765</v>
      </c>
      <c r="J281" s="32" t="s">
        <v>35</v>
      </c>
      <c r="K281" s="32" t="s">
        <v>12</v>
      </c>
      <c r="L281" s="32" t="s">
        <v>169</v>
      </c>
      <c r="M281" s="32" t="str">
        <f>IF(Table2[[#This Row],[Stage]]="Closed","Closed","Open")</f>
        <v>Closed</v>
      </c>
      <c r="N281" s="32"/>
      <c r="O281" s="32">
        <f ca="1">SUMIFS(Table3[Days with], Table3[Ref], Table2[[#This Row],[Ref]],Table3[Who With],"Legal")</f>
        <v>36</v>
      </c>
      <c r="P281" s="34">
        <f>SUMIFS(Table3[Total Cycle Time],Table3[Ref],Table2[[#This Row],[Ref]])</f>
        <v>36</v>
      </c>
    </row>
    <row r="282" spans="1:16" hidden="1" x14ac:dyDescent="0.25">
      <c r="A282" s="39" t="str">
        <f>IF(Table2[[#This Row],[Date Received]]="","",_xlfn.CONCAT(Table2[[#This Row],[Counterparty]]," - ",Table2[[#This Row],[Contract Name]]))</f>
        <v>Connectr - HR mentoring Sass contract</v>
      </c>
      <c r="B282" s="33">
        <v>45063</v>
      </c>
      <c r="C282" s="32" t="s">
        <v>11</v>
      </c>
      <c r="D282" s="32" t="s">
        <v>311</v>
      </c>
      <c r="E282" s="32"/>
      <c r="F282" s="32" t="s">
        <v>12</v>
      </c>
      <c r="G282" s="32" t="s">
        <v>30</v>
      </c>
      <c r="H282" s="32" t="s">
        <v>17</v>
      </c>
      <c r="I282" s="32" t="s">
        <v>855</v>
      </c>
      <c r="J282" s="32" t="s">
        <v>313</v>
      </c>
      <c r="K282" s="32" t="s">
        <v>12</v>
      </c>
      <c r="L282" s="32" t="s">
        <v>169</v>
      </c>
      <c r="M282" s="32" t="str">
        <f>IF(Table2[[#This Row],[Stage]]="Closed","Closed","Open")</f>
        <v>Closed</v>
      </c>
      <c r="N282" s="32" t="s">
        <v>856</v>
      </c>
      <c r="O282" s="32">
        <f ca="1">SUMIFS(Table3[Days with], Table3[Ref], Table2[[#This Row],[Ref]],Table3[Who With],"Legal")</f>
        <v>142</v>
      </c>
      <c r="P282" s="34">
        <f>SUMIFS(Table3[Total Cycle Time],Table3[Ref],Table2[[#This Row],[Ref]])</f>
        <v>142</v>
      </c>
    </row>
    <row r="283" spans="1:16" hidden="1" x14ac:dyDescent="0.25">
      <c r="A283" s="39" t="str">
        <f>IF(Table2[[#This Row],[Date Received]]="","",_xlfn.CONCAT(Table2[[#This Row],[Counterparty]]," - ",Table2[[#This Row],[Contract Name]]))</f>
        <v>Varian - Branch Partnership Agreement</v>
      </c>
      <c r="B283" s="33">
        <v>45063</v>
      </c>
      <c r="C283" s="32" t="s">
        <v>11</v>
      </c>
      <c r="D283" s="32" t="s">
        <v>958</v>
      </c>
      <c r="E283" s="32" t="s">
        <v>959</v>
      </c>
      <c r="F283" s="32" t="s">
        <v>12</v>
      </c>
      <c r="G283" s="32" t="s">
        <v>425</v>
      </c>
      <c r="H283" s="32" t="s">
        <v>15</v>
      </c>
      <c r="I283" s="32" t="s">
        <v>768</v>
      </c>
      <c r="J283" s="32" t="s">
        <v>950</v>
      </c>
      <c r="K283" s="32" t="s">
        <v>348</v>
      </c>
      <c r="L283" s="32" t="s">
        <v>169</v>
      </c>
      <c r="M283" s="32" t="str">
        <f>IF(Table2[[#This Row],[Stage]]="Closed","Closed","Open")</f>
        <v>Closed</v>
      </c>
      <c r="N283" s="32" t="s">
        <v>645</v>
      </c>
      <c r="O283" s="32">
        <f ca="1">SUMIFS(Table3[Days with], Table3[Ref], Table2[[#This Row],[Ref]],Table3[Who With],"Legal")</f>
        <v>268</v>
      </c>
      <c r="P283" s="34">
        <f>SUMIFS(Table3[Total Cycle Time],Table3[Ref],Table2[[#This Row],[Ref]])</f>
        <v>268</v>
      </c>
    </row>
    <row r="284" spans="1:16" hidden="1" x14ac:dyDescent="0.25">
      <c r="A284" s="39" t="str">
        <f>IF(Table2[[#This Row],[Date Received]]="","",_xlfn.CONCAT(Table2[[#This Row],[Counterparty]]," - ",Table2[[#This Row],[Contract Name]]))</f>
        <v>St Leonards - Settlement Agreement</v>
      </c>
      <c r="B284" s="33">
        <v>45064</v>
      </c>
      <c r="C284" s="32" t="s">
        <v>11</v>
      </c>
      <c r="D284" s="32" t="s">
        <v>728</v>
      </c>
      <c r="E284" s="32" t="s">
        <v>728</v>
      </c>
      <c r="F284" s="32" t="s">
        <v>16</v>
      </c>
      <c r="G284" s="32" t="s">
        <v>37</v>
      </c>
      <c r="H284" s="32" t="s">
        <v>15</v>
      </c>
      <c r="I284" s="32" t="s">
        <v>519</v>
      </c>
      <c r="J284" s="32" t="s">
        <v>520</v>
      </c>
      <c r="K284" s="32" t="s">
        <v>442</v>
      </c>
      <c r="L284" s="32" t="s">
        <v>169</v>
      </c>
      <c r="M284" s="32" t="str">
        <f>IF(Table2[[#This Row],[Stage]]="Closed","Closed","Open")</f>
        <v>Closed</v>
      </c>
      <c r="N284" s="32" t="s">
        <v>521</v>
      </c>
      <c r="O284" s="32">
        <f ca="1">SUMIFS(Table3[Days with], Table3[Ref], Table2[[#This Row],[Ref]],Table3[Who With],"Legal")</f>
        <v>6</v>
      </c>
      <c r="P284" s="34">
        <f>SUMIFS(Table3[Total Cycle Time],Table3[Ref],Table2[[#This Row],[Ref]])</f>
        <v>6</v>
      </c>
    </row>
    <row r="285" spans="1:16" hidden="1" x14ac:dyDescent="0.25">
      <c r="A285" s="39" t="str">
        <f>IF(Table2[[#This Row],[Date Received]]="","",_xlfn.CONCAT(Table2[[#This Row],[Counterparty]]," - ",Table2[[#This Row],[Contract Name]]))</f>
        <v>IM3 - Service Contract</v>
      </c>
      <c r="B285" s="33">
        <v>45064</v>
      </c>
      <c r="C285" s="32" t="s">
        <v>11</v>
      </c>
      <c r="D285" s="32" t="s">
        <v>111</v>
      </c>
      <c r="E285" s="32"/>
      <c r="F285" s="32" t="s">
        <v>12</v>
      </c>
      <c r="G285" s="32" t="s">
        <v>14</v>
      </c>
      <c r="H285" s="32" t="s">
        <v>17</v>
      </c>
      <c r="I285" s="32" t="s">
        <v>61</v>
      </c>
      <c r="J285" s="32" t="s">
        <v>31</v>
      </c>
      <c r="K285" s="32" t="s">
        <v>24</v>
      </c>
      <c r="L285" s="32"/>
      <c r="M285" s="32" t="str">
        <f>IF(Table2[[#This Row],[Stage]]="Closed","Closed","Open")</f>
        <v>Open</v>
      </c>
      <c r="N285" s="32" t="s">
        <v>112</v>
      </c>
      <c r="O285" s="32">
        <f>SUMIFS(Table3[Days with], Table3[Ref], Table2[[#This Row],[Ref]],Table3[Who With],"Legal")</f>
        <v>0</v>
      </c>
      <c r="P285" s="34">
        <f>SUMIFS(Table3[Total Cycle Time],Table3[Ref],Table2[[#This Row],[Ref]])</f>
        <v>0</v>
      </c>
    </row>
    <row r="286" spans="1:16" hidden="1" x14ac:dyDescent="0.25">
      <c r="A286" s="39" t="str">
        <f>IF(Table2[[#This Row],[Date Received]]="","",_xlfn.CONCAT(Table2[[#This Row],[Counterparty]]," - ",Table2[[#This Row],[Contract Name]]))</f>
        <v>Ferring Street - Settlement Agreement</v>
      </c>
      <c r="B286" s="33">
        <v>45065</v>
      </c>
      <c r="C286" s="32" t="s">
        <v>11</v>
      </c>
      <c r="D286" s="32" t="s">
        <v>730</v>
      </c>
      <c r="E286" s="32" t="s">
        <v>404</v>
      </c>
      <c r="F286" s="32" t="s">
        <v>16</v>
      </c>
      <c r="G286" s="32" t="s">
        <v>37</v>
      </c>
      <c r="H286" s="32" t="s">
        <v>15</v>
      </c>
      <c r="I286" s="32" t="s">
        <v>519</v>
      </c>
      <c r="J286" s="32" t="s">
        <v>520</v>
      </c>
      <c r="K286" s="32" t="s">
        <v>442</v>
      </c>
      <c r="L286" s="32" t="s">
        <v>169</v>
      </c>
      <c r="M286" s="32" t="str">
        <f>IF(Table2[[#This Row],[Stage]]="Closed","Closed","Open")</f>
        <v>Closed</v>
      </c>
      <c r="N286" s="32" t="s">
        <v>521</v>
      </c>
      <c r="O286" s="32">
        <f ca="1">SUMIFS(Table3[Days with], Table3[Ref], Table2[[#This Row],[Ref]],Table3[Who With],"Legal")</f>
        <v>5</v>
      </c>
      <c r="P286" s="34">
        <f>SUMIFS(Table3[Total Cycle Time],Table3[Ref],Table2[[#This Row],[Ref]])</f>
        <v>5</v>
      </c>
    </row>
    <row r="287" spans="1:16" hidden="1" x14ac:dyDescent="0.25">
      <c r="A287" s="39" t="str">
        <f>IF(Table2[[#This Row],[Date Received]]="","",_xlfn.CONCAT(Table2[[#This Row],[Counterparty]]," - ",Table2[[#This Row],[Contract Name]]))</f>
        <v>Tyldesley and Standish - Settlement Agreement</v>
      </c>
      <c r="B287" s="33">
        <v>45071</v>
      </c>
      <c r="C287" s="32" t="s">
        <v>11</v>
      </c>
      <c r="D287" s="32" t="s">
        <v>731</v>
      </c>
      <c r="E287" s="32" t="s">
        <v>731</v>
      </c>
      <c r="F287" s="32" t="s">
        <v>16</v>
      </c>
      <c r="G287" s="32" t="s">
        <v>37</v>
      </c>
      <c r="H287" s="32" t="s">
        <v>15</v>
      </c>
      <c r="I287" s="32" t="s">
        <v>519</v>
      </c>
      <c r="J287" s="32" t="s">
        <v>520</v>
      </c>
      <c r="K287" s="32" t="s">
        <v>442</v>
      </c>
      <c r="L287" s="32" t="s">
        <v>169</v>
      </c>
      <c r="M287" s="32" t="str">
        <f>IF(Table2[[#This Row],[Stage]]="Closed","Closed","Open")</f>
        <v>Closed</v>
      </c>
      <c r="N287" s="32" t="s">
        <v>521</v>
      </c>
      <c r="O287" s="32">
        <f ca="1">SUMIFS(Table3[Days with], Table3[Ref], Table2[[#This Row],[Ref]],Table3[Who With],"Legal")</f>
        <v>8</v>
      </c>
      <c r="P287" s="34">
        <f>SUMIFS(Table3[Total Cycle Time],Table3[Ref],Table2[[#This Row],[Ref]])</f>
        <v>8</v>
      </c>
    </row>
    <row r="288" spans="1:16" hidden="1" x14ac:dyDescent="0.25">
      <c r="A288" s="39" t="str">
        <f>IF(Table2[[#This Row],[Date Received]]="","",_xlfn.CONCAT(Table2[[#This Row],[Counterparty]]," - ",Table2[[#This Row],[Contract Name]]))</f>
        <v>Edenbridge - Settlement Agreement</v>
      </c>
      <c r="B288" s="33">
        <v>45071</v>
      </c>
      <c r="C288" s="32" t="s">
        <v>11</v>
      </c>
      <c r="D288" s="32" t="s">
        <v>66</v>
      </c>
      <c r="E288" s="32" t="s">
        <v>66</v>
      </c>
      <c r="F288" s="32" t="s">
        <v>16</v>
      </c>
      <c r="G288" s="32" t="s">
        <v>37</v>
      </c>
      <c r="H288" s="32" t="s">
        <v>15</v>
      </c>
      <c r="I288" s="32" t="s">
        <v>519</v>
      </c>
      <c r="J288" s="32" t="s">
        <v>520</v>
      </c>
      <c r="K288" s="32" t="s">
        <v>442</v>
      </c>
      <c r="L288" s="32" t="s">
        <v>169</v>
      </c>
      <c r="M288" s="32" t="str">
        <f>IF(Table2[[#This Row],[Stage]]="Closed","Closed","Open")</f>
        <v>Closed</v>
      </c>
      <c r="N288" s="32" t="s">
        <v>521</v>
      </c>
      <c r="O288" s="32">
        <f ca="1">SUMIFS(Table3[Days with], Table3[Ref], Table2[[#This Row],[Ref]],Table3[Who With],"Legal")</f>
        <v>11</v>
      </c>
      <c r="P288" s="34">
        <f>SUMIFS(Table3[Total Cycle Time],Table3[Ref],Table2[[#This Row],[Ref]])</f>
        <v>11</v>
      </c>
    </row>
    <row r="289" spans="1:16" hidden="1" x14ac:dyDescent="0.25">
      <c r="A289" s="39" t="str">
        <f>IF(Table2[[#This Row],[Date Received]]="","",_xlfn.CONCAT(Table2[[#This Row],[Counterparty]]," - ",Table2[[#This Row],[Contract Name]]))</f>
        <v>Pype Hayes - Settlement Agreement</v>
      </c>
      <c r="B289" s="33">
        <v>45072</v>
      </c>
      <c r="C289" s="32" t="s">
        <v>11</v>
      </c>
      <c r="D289" s="32" t="s">
        <v>732</v>
      </c>
      <c r="E289" s="32" t="s">
        <v>732</v>
      </c>
      <c r="F289" s="32" t="s">
        <v>16</v>
      </c>
      <c r="G289" s="32" t="s">
        <v>37</v>
      </c>
      <c r="H289" s="32" t="s">
        <v>15</v>
      </c>
      <c r="I289" s="32" t="s">
        <v>519</v>
      </c>
      <c r="J289" s="32" t="s">
        <v>520</v>
      </c>
      <c r="K289" s="32" t="s">
        <v>442</v>
      </c>
      <c r="L289" s="32" t="s">
        <v>169</v>
      </c>
      <c r="M289" s="32" t="str">
        <f>IF(Table2[[#This Row],[Stage]]="Closed","Closed","Open")</f>
        <v>Closed</v>
      </c>
      <c r="N289" s="32" t="s">
        <v>521</v>
      </c>
      <c r="O289" s="32">
        <f ca="1">SUMIFS(Table3[Days with], Table3[Ref], Table2[[#This Row],[Ref]],Table3[Who With],"Legal")</f>
        <v>7</v>
      </c>
      <c r="P289" s="34">
        <f>SUMIFS(Table3[Total Cycle Time],Table3[Ref],Table2[[#This Row],[Ref]])</f>
        <v>7</v>
      </c>
    </row>
    <row r="290" spans="1:16" hidden="1" x14ac:dyDescent="0.25">
      <c r="A290" s="39" t="str">
        <f>IF(Table2[[#This Row],[Date Received]]="","",_xlfn.CONCAT(Table2[[#This Row],[Counterparty]]," - ",Table2[[#This Row],[Contract Name]]))</f>
        <v>Zoetis - Rebate Extension</v>
      </c>
      <c r="B290" s="33">
        <v>45076</v>
      </c>
      <c r="C290" s="32" t="s">
        <v>11</v>
      </c>
      <c r="D290" s="32" t="s">
        <v>733</v>
      </c>
      <c r="E290" s="32" t="s">
        <v>13</v>
      </c>
      <c r="F290" s="32" t="s">
        <v>16</v>
      </c>
      <c r="G290" s="32" t="s">
        <v>14</v>
      </c>
      <c r="H290" s="32" t="s">
        <v>15</v>
      </c>
      <c r="I290" s="32" t="s">
        <v>714</v>
      </c>
      <c r="J290" s="32" t="s">
        <v>63</v>
      </c>
      <c r="K290" s="32" t="s">
        <v>442</v>
      </c>
      <c r="L290" s="32" t="s">
        <v>169</v>
      </c>
      <c r="M290" s="32" t="str">
        <f>IF(Table2[[#This Row],[Stage]]="Closed","Closed","Open")</f>
        <v>Closed</v>
      </c>
      <c r="N290" s="32" t="s">
        <v>715</v>
      </c>
      <c r="O290" s="32">
        <f ca="1">SUMIFS(Table3[Days with], Table3[Ref], Table2[[#This Row],[Ref]],Table3[Who With],"Legal")</f>
        <v>15</v>
      </c>
      <c r="P290" s="34">
        <f>SUMIFS(Table3[Total Cycle Time],Table3[Ref],Table2[[#This Row],[Ref]])</f>
        <v>15</v>
      </c>
    </row>
    <row r="291" spans="1:16" hidden="1" x14ac:dyDescent="0.25">
      <c r="A291" s="39" t="str">
        <f>IF(Table2[[#This Row],[Date Received]]="","",_xlfn.CONCAT(Table2[[#This Row],[Counterparty]]," - ",Table2[[#This Row],[Contract Name]]))</f>
        <v>Norbrook - Rebate Extension</v>
      </c>
      <c r="B291" s="33">
        <v>45077</v>
      </c>
      <c r="C291" s="32" t="s">
        <v>11</v>
      </c>
      <c r="D291" s="32" t="s">
        <v>58</v>
      </c>
      <c r="E291" s="32" t="s">
        <v>13</v>
      </c>
      <c r="F291" s="32" t="s">
        <v>16</v>
      </c>
      <c r="G291" s="32" t="s">
        <v>14</v>
      </c>
      <c r="H291" s="32" t="s">
        <v>15</v>
      </c>
      <c r="I291" s="32" t="s">
        <v>714</v>
      </c>
      <c r="J291" s="32" t="s">
        <v>63</v>
      </c>
      <c r="K291" s="32" t="s">
        <v>442</v>
      </c>
      <c r="L291" s="32" t="s">
        <v>169</v>
      </c>
      <c r="M291" s="32" t="str">
        <f>IF(Table2[[#This Row],[Stage]]="Closed","Closed","Open")</f>
        <v>Closed</v>
      </c>
      <c r="N291" s="32" t="s">
        <v>715</v>
      </c>
      <c r="O291" s="32">
        <f ca="1">SUMIFS(Table3[Days with], Table3[Ref], Table2[[#This Row],[Ref]],Table3[Who With],"Legal")</f>
        <v>14</v>
      </c>
      <c r="P291" s="34">
        <f>SUMIFS(Table3[Total Cycle Time],Table3[Ref],Table2[[#This Row],[Ref]])</f>
        <v>14</v>
      </c>
    </row>
    <row r="292" spans="1:16" hidden="1" x14ac:dyDescent="0.25">
      <c r="A292" s="39" t="str">
        <f>IF(Table2[[#This Row],[Date Received]]="","",_xlfn.CONCAT(Table2[[#This Row],[Counterparty]]," - ",Table2[[#This Row],[Contract Name]]))</f>
        <v>Vetoquinol  - Rebate Extension</v>
      </c>
      <c r="B292" s="33">
        <v>45077</v>
      </c>
      <c r="C292" s="32" t="s">
        <v>11</v>
      </c>
      <c r="D292" s="32" t="s">
        <v>57</v>
      </c>
      <c r="E292" s="32" t="s">
        <v>13</v>
      </c>
      <c r="F292" s="32" t="s">
        <v>16</v>
      </c>
      <c r="G292" s="32" t="s">
        <v>14</v>
      </c>
      <c r="H292" s="32" t="s">
        <v>15</v>
      </c>
      <c r="I292" s="32" t="s">
        <v>714</v>
      </c>
      <c r="J292" s="32" t="s">
        <v>63</v>
      </c>
      <c r="K292" s="32" t="s">
        <v>442</v>
      </c>
      <c r="L292" s="32" t="s">
        <v>169</v>
      </c>
      <c r="M292" s="32" t="str">
        <f>IF(Table2[[#This Row],[Stage]]="Closed","Closed","Open")</f>
        <v>Closed</v>
      </c>
      <c r="N292" s="32" t="s">
        <v>715</v>
      </c>
      <c r="O292" s="32">
        <f ca="1">SUMIFS(Table3[Days with], Table3[Ref], Table2[[#This Row],[Ref]],Table3[Who With],"Legal")</f>
        <v>14</v>
      </c>
      <c r="P292" s="34">
        <f>SUMIFS(Table3[Total Cycle Time],Table3[Ref],Table2[[#This Row],[Ref]])</f>
        <v>14</v>
      </c>
    </row>
    <row r="293" spans="1:16" hidden="1" x14ac:dyDescent="0.25">
      <c r="A293" s="39" t="str">
        <f>IF(Table2[[#This Row],[Date Received]]="","",_xlfn.CONCAT(Table2[[#This Row],[Counterparty]]," - ",Table2[[#This Row],[Contract Name]]))</f>
        <v>TVM - Rebate Extension</v>
      </c>
      <c r="B293" s="33">
        <v>45077</v>
      </c>
      <c r="C293" s="32" t="s">
        <v>11</v>
      </c>
      <c r="D293" s="32" t="s">
        <v>372</v>
      </c>
      <c r="E293" s="32" t="s">
        <v>13</v>
      </c>
      <c r="F293" s="32" t="s">
        <v>16</v>
      </c>
      <c r="G293" s="32" t="s">
        <v>14</v>
      </c>
      <c r="H293" s="32" t="s">
        <v>15</v>
      </c>
      <c r="I293" s="32" t="s">
        <v>714</v>
      </c>
      <c r="J293" s="32" t="s">
        <v>63</v>
      </c>
      <c r="K293" s="32" t="s">
        <v>442</v>
      </c>
      <c r="L293" s="32" t="s">
        <v>169</v>
      </c>
      <c r="M293" s="32" t="str">
        <f>IF(Table2[[#This Row],[Stage]]="Closed","Closed","Open")</f>
        <v>Closed</v>
      </c>
      <c r="N293" s="32" t="s">
        <v>48</v>
      </c>
      <c r="O293" s="32">
        <f ca="1">SUMIFS(Table3[Days with], Table3[Ref], Table2[[#This Row],[Ref]],Table3[Who With],"Legal")</f>
        <v>57</v>
      </c>
      <c r="P293" s="34">
        <f>SUMIFS(Table3[Total Cycle Time],Table3[Ref],Table2[[#This Row],[Ref]])</f>
        <v>57</v>
      </c>
    </row>
    <row r="294" spans="1:16" hidden="1" x14ac:dyDescent="0.25">
      <c r="A294" s="39" t="str">
        <f>IF(Table2[[#This Row],[Date Received]]="","",_xlfn.CONCAT(Table2[[#This Row],[Counterparty]]," - ",Table2[[#This Row],[Contract Name]]))</f>
        <v>Lintbells - Rebate Variation</v>
      </c>
      <c r="B294" s="33">
        <v>45077</v>
      </c>
      <c r="C294" s="32" t="s">
        <v>11</v>
      </c>
      <c r="D294" s="32" t="s">
        <v>56</v>
      </c>
      <c r="E294" s="32" t="s">
        <v>13</v>
      </c>
      <c r="F294" s="32" t="s">
        <v>16</v>
      </c>
      <c r="G294" s="32" t="s">
        <v>14</v>
      </c>
      <c r="H294" s="32" t="s">
        <v>15</v>
      </c>
      <c r="I294" s="32" t="s">
        <v>734</v>
      </c>
      <c r="J294" s="32" t="s">
        <v>63</v>
      </c>
      <c r="K294" s="32" t="s">
        <v>63</v>
      </c>
      <c r="L294" s="32" t="s">
        <v>169</v>
      </c>
      <c r="M294" s="32" t="str">
        <f>IF(Table2[[#This Row],[Stage]]="Closed","Closed","Open")</f>
        <v>Closed</v>
      </c>
      <c r="N294" s="32" t="s">
        <v>735</v>
      </c>
      <c r="O294" s="32">
        <f ca="1">SUMIFS(Table3[Days with], Table3[Ref], Table2[[#This Row],[Ref]],Table3[Who With],"Legal")</f>
        <v>135</v>
      </c>
      <c r="P294" s="34">
        <f>SUMIFS(Table3[Total Cycle Time],Table3[Ref],Table2[[#This Row],[Ref]])</f>
        <v>135</v>
      </c>
    </row>
    <row r="295" spans="1:16" hidden="1" x14ac:dyDescent="0.25">
      <c r="A295" s="39" t="str">
        <f>IF(Table2[[#This Row],[Date Received]]="","",_xlfn.CONCAT(Table2[[#This Row],[Counterparty]]," - ",Table2[[#This Row],[Contract Name]]))</f>
        <v>Hansa - NDA</v>
      </c>
      <c r="B295" s="33">
        <v>45078</v>
      </c>
      <c r="C295" s="32" t="s">
        <v>11</v>
      </c>
      <c r="D295" s="32" t="s">
        <v>736</v>
      </c>
      <c r="E295" s="32"/>
      <c r="F295" s="32" t="s">
        <v>12</v>
      </c>
      <c r="G295" s="32" t="s">
        <v>37</v>
      </c>
      <c r="H295" s="32" t="s">
        <v>17</v>
      </c>
      <c r="I295" s="32" t="s">
        <v>264</v>
      </c>
      <c r="J295" s="32" t="s">
        <v>737</v>
      </c>
      <c r="K295" s="32" t="s">
        <v>348</v>
      </c>
      <c r="L295" s="32" t="s">
        <v>169</v>
      </c>
      <c r="M295" s="32" t="str">
        <f>IF(Table2[[#This Row],[Stage]]="Closed","Closed","Open")</f>
        <v>Closed</v>
      </c>
      <c r="N295" s="32" t="s">
        <v>738</v>
      </c>
      <c r="O295" s="32">
        <f ca="1">SUMIFS(Table3[Days with], Table3[Ref], Table2[[#This Row],[Ref]],Table3[Who With],"Legal")</f>
        <v>19</v>
      </c>
      <c r="P295" s="34">
        <f>SUMIFS(Table3[Total Cycle Time],Table3[Ref],Table2[[#This Row],[Ref]])</f>
        <v>19</v>
      </c>
    </row>
    <row r="296" spans="1:16" hidden="1" x14ac:dyDescent="0.25">
      <c r="A296" s="39" t="str">
        <f>IF(Table2[[#This Row],[Date Received]]="","",_xlfn.CONCAT(Table2[[#This Row],[Counterparty]]," - ",Table2[[#This Row],[Contract Name]]))</f>
        <v>Patel - Branch Partnership Agreement</v>
      </c>
      <c r="B296" s="33">
        <v>45078</v>
      </c>
      <c r="C296" s="32" t="s">
        <v>11</v>
      </c>
      <c r="D296" s="32" t="s">
        <v>766</v>
      </c>
      <c r="E296" s="32" t="s">
        <v>767</v>
      </c>
      <c r="F296" s="32" t="s">
        <v>12</v>
      </c>
      <c r="G296" s="32" t="s">
        <v>425</v>
      </c>
      <c r="H296" s="32" t="s">
        <v>15</v>
      </c>
      <c r="I296" s="32" t="s">
        <v>768</v>
      </c>
      <c r="J296" s="32" t="s">
        <v>452</v>
      </c>
      <c r="K296" s="32" t="s">
        <v>12</v>
      </c>
      <c r="L296" s="32" t="s">
        <v>169</v>
      </c>
      <c r="M296" s="32" t="str">
        <f>IF(Table2[[#This Row],[Stage]]="Closed","Closed","Open")</f>
        <v>Closed</v>
      </c>
      <c r="N296" s="32" t="s">
        <v>453</v>
      </c>
      <c r="O296" s="32">
        <f ca="1">SUMIFS(Table3[Days with], Table3[Ref], Table2[[#This Row],[Ref]],Table3[Who With],"Legal")</f>
        <v>21</v>
      </c>
      <c r="P296" s="34">
        <f>SUMIFS(Table3[Total Cycle Time],Table3[Ref],Table2[[#This Row],[Ref]])</f>
        <v>21</v>
      </c>
    </row>
    <row r="297" spans="1:16" hidden="1" x14ac:dyDescent="0.25">
      <c r="A297" s="39" t="str">
        <f>IF(Table2[[#This Row],[Date Received]]="","",_xlfn.CONCAT(Table2[[#This Row],[Counterparty]]," - ",Table2[[#This Row],[Contract Name]]))</f>
        <v>Jurox - Rebate Extension</v>
      </c>
      <c r="B297" s="33">
        <v>45078</v>
      </c>
      <c r="C297" s="32" t="s">
        <v>11</v>
      </c>
      <c r="D297" s="32" t="s">
        <v>769</v>
      </c>
      <c r="E297" s="32" t="s">
        <v>13</v>
      </c>
      <c r="F297" s="32" t="s">
        <v>16</v>
      </c>
      <c r="G297" s="32" t="s">
        <v>14</v>
      </c>
      <c r="H297" s="32" t="s">
        <v>15</v>
      </c>
      <c r="I297" s="32" t="s">
        <v>714</v>
      </c>
      <c r="J297" s="32" t="s">
        <v>63</v>
      </c>
      <c r="K297" s="32" t="s">
        <v>442</v>
      </c>
      <c r="L297" s="32" t="s">
        <v>169</v>
      </c>
      <c r="M297" s="32" t="str">
        <f>IF(Table2[[#This Row],[Stage]]="Closed","Closed","Open")</f>
        <v>Closed</v>
      </c>
      <c r="N297" s="32" t="s">
        <v>715</v>
      </c>
      <c r="O297" s="32">
        <f ca="1">SUMIFS(Table3[Days with], Table3[Ref], Table2[[#This Row],[Ref]],Table3[Who With],"Legal")</f>
        <v>13</v>
      </c>
      <c r="P297" s="34">
        <f>SUMIFS(Table3[Total Cycle Time],Table3[Ref],Table2[[#This Row],[Ref]])</f>
        <v>13</v>
      </c>
    </row>
    <row r="298" spans="1:16" hidden="1" x14ac:dyDescent="0.25">
      <c r="A298" s="39" t="str">
        <f>IF(Table2[[#This Row],[Date Received]]="","",_xlfn.CONCAT(Table2[[#This Row],[Counterparty]]," - ",Table2[[#This Row],[Contract Name]]))</f>
        <v>Various - Branch Partnership Agreement</v>
      </c>
      <c r="B298" s="33">
        <v>45078</v>
      </c>
      <c r="C298" s="32" t="s">
        <v>11</v>
      </c>
      <c r="D298" s="32" t="s">
        <v>551</v>
      </c>
      <c r="E298" s="32" t="s">
        <v>993</v>
      </c>
      <c r="F298" s="32" t="s">
        <v>12</v>
      </c>
      <c r="G298" s="32" t="s">
        <v>425</v>
      </c>
      <c r="H298" s="32" t="s">
        <v>15</v>
      </c>
      <c r="I298" s="32" t="s">
        <v>768</v>
      </c>
      <c r="J298" s="32" t="s">
        <v>51</v>
      </c>
      <c r="K298" s="32" t="s">
        <v>348</v>
      </c>
      <c r="L298" s="32" t="s">
        <v>169</v>
      </c>
      <c r="M298" s="32" t="str">
        <f>IF(Table2[[#This Row],[Stage]]="Closed","Closed","Open")</f>
        <v>Closed</v>
      </c>
      <c r="N298" s="32" t="s">
        <v>453</v>
      </c>
      <c r="O298" s="32">
        <f ca="1">SUMIFS(Table3[Days with], Table3[Ref], Table2[[#This Row],[Ref]],Table3[Who With],"Legal")</f>
        <v>343</v>
      </c>
      <c r="P298" s="34">
        <f>SUMIFS(Table3[Total Cycle Time],Table3[Ref],Table2[[#This Row],[Ref]])</f>
        <v>343</v>
      </c>
    </row>
    <row r="299" spans="1:16" hidden="1" x14ac:dyDescent="0.25">
      <c r="A299" s="39" t="str">
        <f>IF(Table2[[#This Row],[Date Received]]="","",_xlfn.CONCAT(Table2[[#This Row],[Counterparty]]," - ",Table2[[#This Row],[Contract Name]]))</f>
        <v>Oxford Cat Clinic - Settlement Agreement</v>
      </c>
      <c r="B299" s="33">
        <v>45079</v>
      </c>
      <c r="C299" s="32" t="s">
        <v>11</v>
      </c>
      <c r="D299" s="32" t="s">
        <v>770</v>
      </c>
      <c r="E299" s="32" t="s">
        <v>770</v>
      </c>
      <c r="F299" s="32" t="s">
        <v>16</v>
      </c>
      <c r="G299" s="32" t="s">
        <v>37</v>
      </c>
      <c r="H299" s="32" t="s">
        <v>15</v>
      </c>
      <c r="I299" s="32" t="s">
        <v>519</v>
      </c>
      <c r="J299" s="32" t="s">
        <v>520</v>
      </c>
      <c r="K299" s="32" t="s">
        <v>442</v>
      </c>
      <c r="L299" s="32" t="s">
        <v>169</v>
      </c>
      <c r="M299" s="32" t="str">
        <f>IF(Table2[[#This Row],[Stage]]="Closed","Closed","Open")</f>
        <v>Closed</v>
      </c>
      <c r="N299" s="32" t="s">
        <v>521</v>
      </c>
      <c r="O299" s="32">
        <f ca="1">SUMIFS(Table3[Days with], Table3[Ref], Table2[[#This Row],[Ref]],Table3[Who With],"Legal")</f>
        <v>656</v>
      </c>
      <c r="P299" s="34">
        <f>SUMIFS(Table3[Total Cycle Time],Table3[Ref],Table2[[#This Row],[Ref]])</f>
        <v>0</v>
      </c>
    </row>
    <row r="300" spans="1:16" hidden="1" x14ac:dyDescent="0.25">
      <c r="A300" s="39" t="str">
        <f>IF(Table2[[#This Row],[Date Received]]="","",_xlfn.CONCAT(Table2[[#This Row],[Counterparty]]," - ",Table2[[#This Row],[Contract Name]]))</f>
        <v>Virbac - Rebate Extension</v>
      </c>
      <c r="B300" s="33">
        <v>45079</v>
      </c>
      <c r="C300" s="32" t="s">
        <v>11</v>
      </c>
      <c r="D300" s="32" t="s">
        <v>378</v>
      </c>
      <c r="E300" s="32" t="s">
        <v>13</v>
      </c>
      <c r="F300" s="32" t="s">
        <v>16</v>
      </c>
      <c r="G300" s="32" t="s">
        <v>14</v>
      </c>
      <c r="H300" s="32" t="s">
        <v>15</v>
      </c>
      <c r="I300" s="32" t="s">
        <v>714</v>
      </c>
      <c r="J300" s="32" t="s">
        <v>63</v>
      </c>
      <c r="K300" s="32" t="s">
        <v>442</v>
      </c>
      <c r="L300" s="32" t="s">
        <v>169</v>
      </c>
      <c r="M300" s="32" t="str">
        <f>IF(Table2[[#This Row],[Stage]]="Closed","Closed","Open")</f>
        <v>Closed</v>
      </c>
      <c r="N300" s="32" t="s">
        <v>715</v>
      </c>
      <c r="O300" s="32">
        <f ca="1">SUMIFS(Table3[Days with], Table3[Ref], Table2[[#This Row],[Ref]],Table3[Who With],"Legal")</f>
        <v>12</v>
      </c>
      <c r="P300" s="34">
        <f>SUMIFS(Table3[Total Cycle Time],Table3[Ref],Table2[[#This Row],[Ref]])</f>
        <v>12</v>
      </c>
    </row>
    <row r="301" spans="1:16" hidden="1" x14ac:dyDescent="0.25">
      <c r="A301" s="39" t="str">
        <f>IF(Table2[[#This Row],[Date Received]]="","",_xlfn.CONCAT(Table2[[#This Row],[Counterparty]]," - ",Table2[[#This Row],[Contract Name]]))</f>
        <v>Village Hotels - Meeting and Beds Contract</v>
      </c>
      <c r="B301" s="33">
        <v>45079</v>
      </c>
      <c r="C301" s="32" t="s">
        <v>11</v>
      </c>
      <c r="D301" s="32" t="s">
        <v>784</v>
      </c>
      <c r="E301" s="32" t="s">
        <v>13</v>
      </c>
      <c r="F301" s="32" t="s">
        <v>16</v>
      </c>
      <c r="G301" s="32" t="s">
        <v>30</v>
      </c>
      <c r="H301" s="32" t="s">
        <v>15</v>
      </c>
      <c r="I301" s="32" t="s">
        <v>785</v>
      </c>
      <c r="J301" s="32" t="s">
        <v>400</v>
      </c>
      <c r="K301" s="32" t="s">
        <v>442</v>
      </c>
      <c r="L301" s="32" t="s">
        <v>169</v>
      </c>
      <c r="M301" s="32" t="str">
        <f>IF(Table2[[#This Row],[Stage]]="Closed","Closed","Open")</f>
        <v>Closed</v>
      </c>
      <c r="N301" s="32" t="s">
        <v>786</v>
      </c>
      <c r="O301" s="32">
        <f ca="1">SUMIFS(Table3[Days with], Table3[Ref], Table2[[#This Row],[Ref]],Table3[Who With],"Legal")</f>
        <v>27</v>
      </c>
      <c r="P301" s="34">
        <f>SUMIFS(Table3[Total Cycle Time],Table3[Ref],Table2[[#This Row],[Ref]])</f>
        <v>27</v>
      </c>
    </row>
    <row r="302" spans="1:16" hidden="1" x14ac:dyDescent="0.25">
      <c r="A302" s="39" t="str">
        <f>IF(Table2[[#This Row],[Date Received]]="","",_xlfn.CONCAT(Table2[[#This Row],[Counterparty]]," - ",Table2[[#This Row],[Contract Name]]))</f>
        <v>Mayo - Variation Agreement</v>
      </c>
      <c r="B302" s="33">
        <v>45079</v>
      </c>
      <c r="C302" s="32" t="s">
        <v>11</v>
      </c>
      <c r="D302" s="32" t="s">
        <v>847</v>
      </c>
      <c r="E302" s="32" t="s">
        <v>40</v>
      </c>
      <c r="F302" s="32" t="s">
        <v>12</v>
      </c>
      <c r="G302" s="32" t="s">
        <v>425</v>
      </c>
      <c r="H302" s="32" t="s">
        <v>425</v>
      </c>
      <c r="I302" s="32" t="s">
        <v>696</v>
      </c>
      <c r="J302" s="32" t="s">
        <v>51</v>
      </c>
      <c r="K302" s="32" t="s">
        <v>12</v>
      </c>
      <c r="L302" s="32" t="s">
        <v>169</v>
      </c>
      <c r="M302" s="32" t="str">
        <f>IF(Table2[[#This Row],[Stage]]="Closed","Closed","Open")</f>
        <v>Closed</v>
      </c>
      <c r="N302" s="32" t="s">
        <v>848</v>
      </c>
      <c r="O302" s="32">
        <f ca="1">SUMIFS(Table3[Days with], Table3[Ref], Table2[[#This Row],[Ref]],Table3[Who With],"Legal")</f>
        <v>91</v>
      </c>
      <c r="P302" s="34">
        <f>SUMIFS(Table3[Total Cycle Time],Table3[Ref],Table2[[#This Row],[Ref]])</f>
        <v>91</v>
      </c>
    </row>
    <row r="303" spans="1:16" hidden="1" x14ac:dyDescent="0.25">
      <c r="A303" s="39" t="str">
        <f>IF(Table2[[#This Row],[Date Received]]="","",_xlfn.CONCAT(Table2[[#This Row],[Counterparty]]," - ",Table2[[#This Row],[Contract Name]]))</f>
        <v>Prosper - Rebate Agreement 1</v>
      </c>
      <c r="B303" s="33">
        <v>45082</v>
      </c>
      <c r="C303" s="32" t="s">
        <v>11</v>
      </c>
      <c r="D303" s="32" t="s">
        <v>787</v>
      </c>
      <c r="E303" s="32" t="s">
        <v>13</v>
      </c>
      <c r="F303" s="32" t="s">
        <v>16</v>
      </c>
      <c r="G303" s="32" t="s">
        <v>14</v>
      </c>
      <c r="H303" s="32" t="s">
        <v>15</v>
      </c>
      <c r="I303" s="32" t="s">
        <v>1478</v>
      </c>
      <c r="J303" s="32" t="s">
        <v>63</v>
      </c>
      <c r="K303" s="32" t="s">
        <v>63</v>
      </c>
      <c r="L303" s="32" t="s">
        <v>169</v>
      </c>
      <c r="M303" s="32" t="str">
        <f>IF(Table2[[#This Row],[Stage]]="Closed","Closed","Open")</f>
        <v>Closed</v>
      </c>
      <c r="N303" s="32" t="s">
        <v>788</v>
      </c>
      <c r="O303" s="32">
        <f ca="1">SUMIFS(Table3[Days with], Table3[Ref], Table2[[#This Row],[Ref]],Table3[Who With],"Legal")</f>
        <v>653</v>
      </c>
      <c r="P303" s="34">
        <f>SUMIFS(Table3[Total Cycle Time],Table3[Ref],Table2[[#This Row],[Ref]])</f>
        <v>0</v>
      </c>
    </row>
    <row r="304" spans="1:16" hidden="1" x14ac:dyDescent="0.25">
      <c r="A304" s="39" t="str">
        <f>IF(Table2[[#This Row],[Date Received]]="","",_xlfn.CONCAT(Table2[[#This Row],[Counterparty]]," - ",Table2[[#This Row],[Contract Name]]))</f>
        <v>MSD - Sponsorship Agreement</v>
      </c>
      <c r="B304" s="33">
        <v>45085</v>
      </c>
      <c r="C304" s="32" t="s">
        <v>11</v>
      </c>
      <c r="D304" s="32" t="s">
        <v>65</v>
      </c>
      <c r="E304" s="32"/>
      <c r="F304" s="32" t="s">
        <v>12</v>
      </c>
      <c r="G304" s="32" t="s">
        <v>14</v>
      </c>
      <c r="H304" s="32" t="s">
        <v>15</v>
      </c>
      <c r="I304" s="32" t="s">
        <v>234</v>
      </c>
      <c r="J304" s="32" t="s">
        <v>63</v>
      </c>
      <c r="K304" s="32" t="s">
        <v>12</v>
      </c>
      <c r="L304" s="32" t="s">
        <v>169</v>
      </c>
      <c r="M304" s="32" t="str">
        <f>IF(Table2[[#This Row],[Stage]]="Closed","Closed","Open")</f>
        <v>Closed</v>
      </c>
      <c r="N304" s="32" t="s">
        <v>729</v>
      </c>
      <c r="O304" s="32">
        <f ca="1">SUMIFS(Table3[Days with], Table3[Ref], Table2[[#This Row],[Ref]],Table3[Who With],"Legal")</f>
        <v>1</v>
      </c>
      <c r="P304" s="34">
        <f>SUMIFS(Table3[Total Cycle Time],Table3[Ref],Table2[[#This Row],[Ref]])</f>
        <v>1</v>
      </c>
    </row>
    <row r="305" spans="1:16" hidden="1" x14ac:dyDescent="0.25">
      <c r="A305" s="39" t="str">
        <f>IF(Table2[[#This Row],[Date Received]]="","",_xlfn.CONCAT(Table2[[#This Row],[Counterparty]]," - ",Table2[[#This Row],[Contract Name]]))</f>
        <v>Whisker and Woof - OOH Agreement</v>
      </c>
      <c r="B305" s="33">
        <v>45085</v>
      </c>
      <c r="C305" s="32" t="s">
        <v>11</v>
      </c>
      <c r="D305" s="32" t="s">
        <v>789</v>
      </c>
      <c r="E305" s="32" t="s">
        <v>790</v>
      </c>
      <c r="F305" s="32" t="s">
        <v>16</v>
      </c>
      <c r="G305" s="32" t="s">
        <v>36</v>
      </c>
      <c r="H305" s="32" t="s">
        <v>17</v>
      </c>
      <c r="I305" s="32" t="s">
        <v>276</v>
      </c>
      <c r="J305" s="32" t="s">
        <v>791</v>
      </c>
      <c r="K305" s="32" t="s">
        <v>442</v>
      </c>
      <c r="L305" s="32" t="s">
        <v>169</v>
      </c>
      <c r="M305" s="32" t="str">
        <f>IF(Table2[[#This Row],[Stage]]="Closed","Closed","Open")</f>
        <v>Closed</v>
      </c>
      <c r="N305" s="32" t="s">
        <v>792</v>
      </c>
      <c r="O305" s="32">
        <f ca="1">SUMIFS(Table3[Days with], Table3[Ref], Table2[[#This Row],[Ref]],Table3[Who With],"Legal")</f>
        <v>19</v>
      </c>
      <c r="P305" s="34">
        <f>SUMIFS(Table3[Total Cycle Time],Table3[Ref],Table2[[#This Row],[Ref]])</f>
        <v>19</v>
      </c>
    </row>
    <row r="306" spans="1:16" hidden="1" x14ac:dyDescent="0.25">
      <c r="A306" s="39" t="str">
        <f>IF(Table2[[#This Row],[Date Received]]="","",_xlfn.CONCAT(Table2[[#This Row],[Counterparty]]," - ",Table2[[#This Row],[Contract Name]]))</f>
        <v>Life Technologies Limited - Agreement Addendum</v>
      </c>
      <c r="B306" s="33">
        <v>45085</v>
      </c>
      <c r="C306" s="32" t="s">
        <v>510</v>
      </c>
      <c r="D306" s="32" t="s">
        <v>574</v>
      </c>
      <c r="E306" s="32" t="s">
        <v>510</v>
      </c>
      <c r="F306" s="32" t="s">
        <v>16</v>
      </c>
      <c r="G306" s="32" t="s">
        <v>510</v>
      </c>
      <c r="H306" s="32" t="s">
        <v>17</v>
      </c>
      <c r="I306" s="32" t="s">
        <v>793</v>
      </c>
      <c r="J306" s="32" t="s">
        <v>512</v>
      </c>
      <c r="K306" s="32" t="s">
        <v>794</v>
      </c>
      <c r="L306" s="32" t="s">
        <v>169</v>
      </c>
      <c r="M306" s="32" t="str">
        <f>IF(Table2[[#This Row],[Stage]]="Closed","Closed","Open")</f>
        <v>Closed</v>
      </c>
      <c r="N306" s="32" t="s">
        <v>795</v>
      </c>
      <c r="O306" s="32">
        <f ca="1">SUMIFS(Table3[Days with], Table3[Ref], Table2[[#This Row],[Ref]],Table3[Who With],"Legal")</f>
        <v>64</v>
      </c>
      <c r="P306" s="34">
        <f>SUMIFS(Table3[Total Cycle Time],Table3[Ref],Table2[[#This Row],[Ref]])</f>
        <v>64</v>
      </c>
    </row>
    <row r="307" spans="1:16" hidden="1" x14ac:dyDescent="0.25">
      <c r="A307" s="39" t="str">
        <f>IF(Table2[[#This Row],[Date Received]]="","",_xlfn.CONCAT(Table2[[#This Row],[Counterparty]]," - ",Table2[[#This Row],[Contract Name]]))</f>
        <v>Croner-i - Engagement Letter</v>
      </c>
      <c r="B307" s="33">
        <v>45096</v>
      </c>
      <c r="C307" s="32" t="s">
        <v>11</v>
      </c>
      <c r="D307" s="32" t="s">
        <v>779</v>
      </c>
      <c r="E307" s="32"/>
      <c r="F307" s="32" t="s">
        <v>12</v>
      </c>
      <c r="G307" s="32" t="s">
        <v>418</v>
      </c>
      <c r="H307" s="32" t="s">
        <v>17</v>
      </c>
      <c r="I307" s="32" t="s">
        <v>198</v>
      </c>
      <c r="J307" s="32" t="s">
        <v>394</v>
      </c>
      <c r="K307" s="32" t="s">
        <v>12</v>
      </c>
      <c r="L307" s="32" t="s">
        <v>169</v>
      </c>
      <c r="M307" s="32" t="str">
        <f>IF(Table2[[#This Row],[Stage]]="Closed","Closed","Open")</f>
        <v>Closed</v>
      </c>
      <c r="N307" s="32" t="s">
        <v>453</v>
      </c>
      <c r="O307" s="32">
        <f ca="1">SUMIFS(Table3[Days with], Table3[Ref], Table2[[#This Row],[Ref]],Table3[Who With],"Legal")</f>
        <v>31</v>
      </c>
      <c r="P307" s="34">
        <f>SUMIFS(Table3[Total Cycle Time],Table3[Ref],Table2[[#This Row],[Ref]])</f>
        <v>31</v>
      </c>
    </row>
    <row r="308" spans="1:16" hidden="1" x14ac:dyDescent="0.25">
      <c r="A308" s="39" t="str">
        <f>IF(Table2[[#This Row],[Date Received]]="","",_xlfn.CONCAT(Table2[[#This Row],[Counterparty]]," - ",Table2[[#This Row],[Contract Name]]))</f>
        <v>Dotdigital - Services Contract</v>
      </c>
      <c r="B308" s="33">
        <v>45096</v>
      </c>
      <c r="C308" s="32" t="s">
        <v>11</v>
      </c>
      <c r="D308" s="32" t="s">
        <v>849</v>
      </c>
      <c r="E308" s="32"/>
      <c r="F308" s="32" t="s">
        <v>12</v>
      </c>
      <c r="G308" s="32" t="s">
        <v>233</v>
      </c>
      <c r="H308" s="32" t="s">
        <v>17</v>
      </c>
      <c r="I308" s="32" t="s">
        <v>71</v>
      </c>
      <c r="J308" s="32" t="s">
        <v>647</v>
      </c>
      <c r="K308" s="32" t="s">
        <v>12</v>
      </c>
      <c r="L308" s="32" t="s">
        <v>169</v>
      </c>
      <c r="M308" s="32" t="str">
        <f>IF(Table2[[#This Row],[Stage]]="Closed","Closed","Open")</f>
        <v>Closed</v>
      </c>
      <c r="N308" s="32" t="s">
        <v>850</v>
      </c>
      <c r="O308" s="32">
        <f ca="1">SUMIFS(Table3[Days with], Table3[Ref], Table2[[#This Row],[Ref]],Table3[Who With],"Legal")</f>
        <v>74</v>
      </c>
      <c r="P308" s="34">
        <f>SUMIFS(Table3[Total Cycle Time],Table3[Ref],Table2[[#This Row],[Ref]])</f>
        <v>74</v>
      </c>
    </row>
    <row r="309" spans="1:16" hidden="1" x14ac:dyDescent="0.25">
      <c r="A309" s="39" t="str">
        <f>IF(Table2[[#This Row],[Date Received]]="","",_xlfn.CONCAT(Table2[[#This Row],[Counterparty]]," - ",Table2[[#This Row],[Contract Name]]))</f>
        <v>GRG Executive Search - Engagement Letter</v>
      </c>
      <c r="B309" s="33">
        <v>45096</v>
      </c>
      <c r="C309" s="32" t="s">
        <v>11</v>
      </c>
      <c r="D309" s="32" t="s">
        <v>851</v>
      </c>
      <c r="E309" s="32"/>
      <c r="F309" s="32" t="s">
        <v>12</v>
      </c>
      <c r="G309" s="32" t="s">
        <v>36</v>
      </c>
      <c r="H309" s="32" t="s">
        <v>17</v>
      </c>
      <c r="I309" s="32" t="s">
        <v>198</v>
      </c>
      <c r="J309" s="32" t="s">
        <v>452</v>
      </c>
      <c r="K309" s="32" t="s">
        <v>12</v>
      </c>
      <c r="L309" s="32" t="s">
        <v>169</v>
      </c>
      <c r="M309" s="32" t="str">
        <f>IF(Table2[[#This Row],[Stage]]="Closed","Closed","Open")</f>
        <v>Closed</v>
      </c>
      <c r="N309" s="32" t="s">
        <v>531</v>
      </c>
      <c r="O309" s="32">
        <f ca="1">SUMIFS(Table3[Days with], Table3[Ref], Table2[[#This Row],[Ref]],Table3[Who With],"Legal")</f>
        <v>74</v>
      </c>
      <c r="P309" s="34">
        <f>SUMIFS(Table3[Total Cycle Time],Table3[Ref],Table2[[#This Row],[Ref]])</f>
        <v>74</v>
      </c>
    </row>
    <row r="310" spans="1:16" hidden="1" x14ac:dyDescent="0.25">
      <c r="A310" s="39" t="str">
        <f>IF(Table2[[#This Row],[Date Received]]="","",_xlfn.CONCAT(Table2[[#This Row],[Counterparty]]," - ",Table2[[#This Row],[Contract Name]]))</f>
        <v>MSD - Rebate Agreement</v>
      </c>
      <c r="B310" s="33">
        <v>45099</v>
      </c>
      <c r="C310" s="32" t="s">
        <v>11</v>
      </c>
      <c r="D310" s="32" t="s">
        <v>65</v>
      </c>
      <c r="E310" s="32" t="s">
        <v>13</v>
      </c>
      <c r="F310" s="32" t="s">
        <v>16</v>
      </c>
      <c r="G310" s="32" t="s">
        <v>14</v>
      </c>
      <c r="H310" s="32" t="s">
        <v>15</v>
      </c>
      <c r="I310" s="32" t="s">
        <v>48</v>
      </c>
      <c r="J310" s="32" t="s">
        <v>63</v>
      </c>
      <c r="K310" s="32" t="s">
        <v>442</v>
      </c>
      <c r="L310" s="32" t="s">
        <v>169</v>
      </c>
      <c r="M310" s="32" t="str">
        <f>IF(Table2[[#This Row],[Stage]]="Closed","Closed","Open")</f>
        <v>Closed</v>
      </c>
      <c r="N310" s="32" t="s">
        <v>788</v>
      </c>
      <c r="O310" s="32">
        <f ca="1">SUMIFS(Table3[Days with], Table3[Ref], Table2[[#This Row],[Ref]],Table3[Who With],"Legal")</f>
        <v>113</v>
      </c>
      <c r="P310" s="34">
        <f>SUMIFS(Table3[Total Cycle Time],Table3[Ref],Table2[[#This Row],[Ref]])</f>
        <v>113</v>
      </c>
    </row>
    <row r="311" spans="1:16" hidden="1" x14ac:dyDescent="0.25">
      <c r="A311" s="39" t="str">
        <f>IF(Table2[[#This Row],[Date Received]]="","",_xlfn.CONCAT(Table2[[#This Row],[Counterparty]]," - ",Table2[[#This Row],[Contract Name]]))</f>
        <v>Boroughbridge Vets Ltd - OOH Agreement</v>
      </c>
      <c r="B311" s="33">
        <v>45103</v>
      </c>
      <c r="C311" s="32" t="s">
        <v>11</v>
      </c>
      <c r="D311" s="32" t="s">
        <v>800</v>
      </c>
      <c r="E311" s="32" t="s">
        <v>801</v>
      </c>
      <c r="F311" s="32" t="s">
        <v>16</v>
      </c>
      <c r="G311" s="32" t="s">
        <v>36</v>
      </c>
      <c r="H311" s="32" t="s">
        <v>17</v>
      </c>
      <c r="I311" s="32" t="s">
        <v>276</v>
      </c>
      <c r="J311" s="32" t="s">
        <v>802</v>
      </c>
      <c r="K311" s="32" t="s">
        <v>540</v>
      </c>
      <c r="L311" s="32" t="s">
        <v>169</v>
      </c>
      <c r="M311" s="32" t="str">
        <f>IF(Table2[[#This Row],[Stage]]="Closed","Closed","Open")</f>
        <v>Closed</v>
      </c>
      <c r="N311" s="32" t="s">
        <v>803</v>
      </c>
      <c r="O311" s="32">
        <f ca="1">SUMIFS(Table3[Days with], Table3[Ref], Table2[[#This Row],[Ref]],Table3[Who With],"Legal")</f>
        <v>31</v>
      </c>
      <c r="P311" s="34">
        <f>SUMIFS(Table3[Total Cycle Time],Table3[Ref],Table2[[#This Row],[Ref]])</f>
        <v>31</v>
      </c>
    </row>
    <row r="312" spans="1:16" hidden="1" x14ac:dyDescent="0.25">
      <c r="A312" s="39" t="str">
        <f>IF(Table2[[#This Row],[Date Received]]="","",_xlfn.CONCAT(Table2[[#This Row],[Counterparty]]," - ",Table2[[#This Row],[Contract Name]]))</f>
        <v>Bond Globat - Recruitment Agreement</v>
      </c>
      <c r="B312" s="33">
        <v>45110</v>
      </c>
      <c r="C312" s="32" t="s">
        <v>11</v>
      </c>
      <c r="D312" s="32" t="s">
        <v>771</v>
      </c>
      <c r="E312" s="32"/>
      <c r="F312" s="32" t="s">
        <v>12</v>
      </c>
      <c r="G312" s="32" t="s">
        <v>30</v>
      </c>
      <c r="H312" s="32" t="s">
        <v>17</v>
      </c>
      <c r="I312" s="32" t="s">
        <v>272</v>
      </c>
      <c r="J312" s="32" t="s">
        <v>772</v>
      </c>
      <c r="K312" s="32" t="s">
        <v>12</v>
      </c>
      <c r="L312" s="32" t="s">
        <v>169</v>
      </c>
      <c r="M312" s="32" t="str">
        <f>IF(Table2[[#This Row],[Stage]]="Closed","Closed","Open")</f>
        <v>Closed</v>
      </c>
      <c r="N312" s="32"/>
      <c r="O312" s="32">
        <f ca="1">SUMIFS(Table3[Days with], Table3[Ref], Table2[[#This Row],[Ref]],Table3[Who With],"Legal")</f>
        <v>9</v>
      </c>
      <c r="P312" s="34">
        <f>SUMIFS(Table3[Total Cycle Time],Table3[Ref],Table2[[#This Row],[Ref]])</f>
        <v>9</v>
      </c>
    </row>
    <row r="313" spans="1:16" hidden="1" x14ac:dyDescent="0.25">
      <c r="A313" s="39" t="str">
        <f>IF(Table2[[#This Row],[Date Received]]="","",_xlfn.CONCAT(Table2[[#This Row],[Counterparty]]," - ",Table2[[#This Row],[Contract Name]]))</f>
        <v>Pets Naturally - Settlement Agreement</v>
      </c>
      <c r="B313" s="33">
        <v>45110</v>
      </c>
      <c r="C313" s="32" t="s">
        <v>11</v>
      </c>
      <c r="D313" s="32" t="s">
        <v>823</v>
      </c>
      <c r="E313" s="32" t="s">
        <v>823</v>
      </c>
      <c r="F313" s="32" t="s">
        <v>16</v>
      </c>
      <c r="G313" s="32" t="s">
        <v>37</v>
      </c>
      <c r="H313" s="32" t="s">
        <v>15</v>
      </c>
      <c r="I313" s="32" t="s">
        <v>519</v>
      </c>
      <c r="J313" s="32" t="s">
        <v>520</v>
      </c>
      <c r="K313" s="32" t="s">
        <v>520</v>
      </c>
      <c r="L313" s="32" t="s">
        <v>169</v>
      </c>
      <c r="M313" s="32" t="str">
        <f>IF(Table2[[#This Row],[Stage]]="Closed","Closed","Open")</f>
        <v>Closed</v>
      </c>
      <c r="N313" s="32" t="s">
        <v>521</v>
      </c>
      <c r="O313" s="32">
        <f ca="1">SUMIFS(Table3[Days with], Table3[Ref], Table2[[#This Row],[Ref]],Table3[Who With],"Legal")</f>
        <v>625</v>
      </c>
      <c r="P313" s="34">
        <f>SUMIFS(Table3[Total Cycle Time],Table3[Ref],Table2[[#This Row],[Ref]])</f>
        <v>0</v>
      </c>
    </row>
    <row r="314" spans="1:16" hidden="1" x14ac:dyDescent="0.25">
      <c r="A314" s="39" t="str">
        <f>IF(Table2[[#This Row],[Date Received]]="","",_xlfn.CONCAT(Table2[[#This Row],[Counterparty]]," - ",Table2[[#This Row],[Contract Name]]))</f>
        <v>Ritico and Duarte - BPA</v>
      </c>
      <c r="B314" s="33">
        <v>45110</v>
      </c>
      <c r="C314" s="32" t="s">
        <v>11</v>
      </c>
      <c r="D314" s="32" t="s">
        <v>946</v>
      </c>
      <c r="E314" s="32" t="s">
        <v>947</v>
      </c>
      <c r="F314" s="32" t="s">
        <v>12</v>
      </c>
      <c r="G314" s="32" t="s">
        <v>425</v>
      </c>
      <c r="H314" s="32" t="s">
        <v>425</v>
      </c>
      <c r="I314" s="32" t="s">
        <v>435</v>
      </c>
      <c r="J314" s="32" t="s">
        <v>948</v>
      </c>
      <c r="K314" s="32" t="s">
        <v>348</v>
      </c>
      <c r="L314" s="32" t="s">
        <v>169</v>
      </c>
      <c r="M314" s="32" t="str">
        <f>IF(Table2[[#This Row],[Stage]]="Closed","Closed","Open")</f>
        <v>Closed</v>
      </c>
      <c r="N314" s="32" t="s">
        <v>645</v>
      </c>
      <c r="O314" s="32">
        <f ca="1">SUMIFS(Table3[Days with], Table3[Ref], Table2[[#This Row],[Ref]],Table3[Who With],"Legal")</f>
        <v>214</v>
      </c>
      <c r="P314" s="34">
        <f>SUMIFS(Table3[Total Cycle Time],Table3[Ref],Table2[[#This Row],[Ref]])</f>
        <v>214</v>
      </c>
    </row>
    <row r="315" spans="1:16" hidden="1" x14ac:dyDescent="0.25">
      <c r="A315" s="39" t="str">
        <f>IF(Table2[[#This Row],[Date Received]]="","",_xlfn.CONCAT(Table2[[#This Row],[Counterparty]]," - ",Table2[[#This Row],[Contract Name]]))</f>
        <v>Chanelle Pharma - Rebate Extension</v>
      </c>
      <c r="B315" s="33">
        <v>45120</v>
      </c>
      <c r="C315" s="32" t="s">
        <v>11</v>
      </c>
      <c r="D315" s="32" t="s">
        <v>832</v>
      </c>
      <c r="E315" s="32" t="s">
        <v>13</v>
      </c>
      <c r="F315" s="32" t="s">
        <v>16</v>
      </c>
      <c r="G315" s="32" t="s">
        <v>14</v>
      </c>
      <c r="H315" s="32" t="s">
        <v>15</v>
      </c>
      <c r="I315" s="32" t="s">
        <v>714</v>
      </c>
      <c r="J315" s="32" t="s">
        <v>63</v>
      </c>
      <c r="K315" s="32" t="s">
        <v>442</v>
      </c>
      <c r="L315" s="32" t="s">
        <v>169</v>
      </c>
      <c r="M315" s="32" t="str">
        <f>IF(Table2[[#This Row],[Stage]]="Closed","Closed","Open")</f>
        <v>Closed</v>
      </c>
      <c r="N315" s="32" t="s">
        <v>715</v>
      </c>
      <c r="O315" s="32">
        <f ca="1">SUMIFS(Table3[Days with], Table3[Ref], Table2[[#This Row],[Ref]],Table3[Who With],"Legal")</f>
        <v>14</v>
      </c>
      <c r="P315" s="34">
        <f>SUMIFS(Table3[Total Cycle Time],Table3[Ref],Table2[[#This Row],[Ref]])</f>
        <v>14</v>
      </c>
    </row>
    <row r="316" spans="1:16" hidden="1" x14ac:dyDescent="0.25">
      <c r="A316" s="39" t="str">
        <f>IF(Table2[[#This Row],[Date Received]]="","",_xlfn.CONCAT(Table2[[#This Row],[Counterparty]]," - ",Table2[[#This Row],[Contract Name]]))</f>
        <v>Vetark - Rebate Extension</v>
      </c>
      <c r="B316" s="33">
        <v>45120</v>
      </c>
      <c r="C316" s="32" t="s">
        <v>11</v>
      </c>
      <c r="D316" s="32" t="s">
        <v>833</v>
      </c>
      <c r="E316" s="32" t="s">
        <v>13</v>
      </c>
      <c r="F316" s="32" t="s">
        <v>16</v>
      </c>
      <c r="G316" s="32" t="s">
        <v>14</v>
      </c>
      <c r="H316" s="32" t="s">
        <v>15</v>
      </c>
      <c r="I316" s="32" t="s">
        <v>714</v>
      </c>
      <c r="J316" s="32" t="s">
        <v>63</v>
      </c>
      <c r="K316" s="32" t="s">
        <v>442</v>
      </c>
      <c r="L316" s="32" t="s">
        <v>169</v>
      </c>
      <c r="M316" s="32" t="str">
        <f>IF(Table2[[#This Row],[Stage]]="Closed","Closed","Open")</f>
        <v>Closed</v>
      </c>
      <c r="N316" s="32" t="s">
        <v>715</v>
      </c>
      <c r="O316" s="32">
        <f ca="1">SUMIFS(Table3[Days with], Table3[Ref], Table2[[#This Row],[Ref]],Table3[Who With],"Legal")</f>
        <v>14</v>
      </c>
      <c r="P316" s="34">
        <f>SUMIFS(Table3[Total Cycle Time],Table3[Ref],Table2[[#This Row],[Ref]])</f>
        <v>14</v>
      </c>
    </row>
    <row r="317" spans="1:16" hidden="1" x14ac:dyDescent="0.25">
      <c r="A317" s="39" t="str">
        <f>IF(Table2[[#This Row],[Date Received]]="","",_xlfn.CONCAT(Table2[[#This Row],[Counterparty]]," - ",Table2[[#This Row],[Contract Name]]))</f>
        <v>Dean - Variation Agreement</v>
      </c>
      <c r="B317" s="33">
        <v>45123</v>
      </c>
      <c r="C317" s="32" t="s">
        <v>11</v>
      </c>
      <c r="D317" s="32" t="s">
        <v>799</v>
      </c>
      <c r="E317" s="32" t="s">
        <v>790</v>
      </c>
      <c r="F317" s="32" t="s">
        <v>12</v>
      </c>
      <c r="G317" s="32" t="s">
        <v>425</v>
      </c>
      <c r="H317" s="32" t="s">
        <v>425</v>
      </c>
      <c r="I317" s="32" t="s">
        <v>696</v>
      </c>
      <c r="J317" s="32" t="s">
        <v>427</v>
      </c>
      <c r="K317" s="32" t="s">
        <v>12</v>
      </c>
      <c r="L317" s="32" t="s">
        <v>169</v>
      </c>
      <c r="M317" s="32" t="str">
        <f>IF(Table2[[#This Row],[Stage]]="Closed","Closed","Open")</f>
        <v>Closed</v>
      </c>
      <c r="N317" s="32" t="s">
        <v>453</v>
      </c>
      <c r="O317" s="32">
        <f ca="1">SUMIFS(Table3[Days with], Table3[Ref], Table2[[#This Row],[Ref]],Table3[Who With],"Legal")</f>
        <v>12</v>
      </c>
      <c r="P317" s="34">
        <f>SUMIFS(Table3[Total Cycle Time],Table3[Ref],Table2[[#This Row],[Ref]])</f>
        <v>12</v>
      </c>
    </row>
    <row r="318" spans="1:16" hidden="1" x14ac:dyDescent="0.25">
      <c r="A318" s="39" t="str">
        <f>IF(Table2[[#This Row],[Date Received]]="","",_xlfn.CONCAT(Table2[[#This Row],[Counterparty]]," - ",Table2[[#This Row],[Contract Name]]))</f>
        <v>EDF - Utility contract 1</v>
      </c>
      <c r="B318" s="33">
        <v>45125</v>
      </c>
      <c r="C318" s="32" t="s">
        <v>11</v>
      </c>
      <c r="D318" s="32" t="s">
        <v>67</v>
      </c>
      <c r="E318" s="32"/>
      <c r="F318" s="32" t="s">
        <v>12</v>
      </c>
      <c r="G318" s="32" t="s">
        <v>14</v>
      </c>
      <c r="H318" s="32" t="s">
        <v>17</v>
      </c>
      <c r="I318" s="32" t="s">
        <v>1470</v>
      </c>
      <c r="J318" s="32" t="s">
        <v>31</v>
      </c>
      <c r="K318" s="32" t="s">
        <v>12</v>
      </c>
      <c r="L318" s="32" t="s">
        <v>169</v>
      </c>
      <c r="M318" s="32" t="str">
        <f>IF(Table2[[#This Row],[Stage]]="Closed","Closed","Open")</f>
        <v>Closed</v>
      </c>
      <c r="N318" s="32" t="s">
        <v>780</v>
      </c>
      <c r="O318" s="32">
        <f ca="1">SUMIFS(Table3[Days with], Table3[Ref], Table2[[#This Row],[Ref]],Table3[Who With],"Legal")</f>
        <v>3</v>
      </c>
      <c r="P318" s="34">
        <f>SUMIFS(Table3[Total Cycle Time],Table3[Ref],Table2[[#This Row],[Ref]])</f>
        <v>3</v>
      </c>
    </row>
    <row r="319" spans="1:16" hidden="1" x14ac:dyDescent="0.25">
      <c r="A319" s="39" t="str">
        <f>IF(Table2[[#This Row],[Date Received]]="","",_xlfn.CONCAT(Table2[[#This Row],[Counterparty]]," - ",Table2[[#This Row],[Contract Name]]))</f>
        <v>ERM - Services Agreement</v>
      </c>
      <c r="B319" s="33">
        <v>45126</v>
      </c>
      <c r="C319" s="32" t="s">
        <v>11</v>
      </c>
      <c r="D319" s="32" t="s">
        <v>781</v>
      </c>
      <c r="E319" s="32"/>
      <c r="F319" s="32" t="s">
        <v>12</v>
      </c>
      <c r="G319" s="32" t="s">
        <v>455</v>
      </c>
      <c r="H319" s="32" t="s">
        <v>17</v>
      </c>
      <c r="I319" s="32" t="s">
        <v>32</v>
      </c>
      <c r="J319" s="32" t="s">
        <v>782</v>
      </c>
      <c r="K319" s="32" t="s">
        <v>348</v>
      </c>
      <c r="L319" s="32" t="s">
        <v>169</v>
      </c>
      <c r="M319" s="32" t="str">
        <f>IF(Table2[[#This Row],[Stage]]="Closed","Closed","Open")</f>
        <v>Closed</v>
      </c>
      <c r="N319" s="32" t="s">
        <v>783</v>
      </c>
      <c r="O319" s="32">
        <f ca="1">SUMIFS(Table3[Days with], Table3[Ref], Table2[[#This Row],[Ref]],Table3[Who With],"Legal")</f>
        <v>2</v>
      </c>
      <c r="P319" s="34">
        <f>SUMIFS(Table3[Total Cycle Time],Table3[Ref],Table2[[#This Row],[Ref]])</f>
        <v>2</v>
      </c>
    </row>
    <row r="320" spans="1:16" hidden="1" x14ac:dyDescent="0.25">
      <c r="A320" s="39" t="str">
        <f>IF(Table2[[#This Row],[Date Received]]="","",_xlfn.CONCAT(Table2[[#This Row],[Counterparty]]," - ",Table2[[#This Row],[Contract Name]]))</f>
        <v>Reputation - Services Renewal Agreement</v>
      </c>
      <c r="B320" s="33">
        <v>45127</v>
      </c>
      <c r="C320" s="32" t="s">
        <v>11</v>
      </c>
      <c r="D320" s="32" t="s">
        <v>884</v>
      </c>
      <c r="E320" s="32"/>
      <c r="F320" s="32" t="s">
        <v>12</v>
      </c>
      <c r="G320" s="32" t="s">
        <v>36</v>
      </c>
      <c r="H320" s="32" t="s">
        <v>17</v>
      </c>
      <c r="I320" s="32" t="s">
        <v>885</v>
      </c>
      <c r="J320" s="32" t="s">
        <v>452</v>
      </c>
      <c r="K320" s="32" t="s">
        <v>540</v>
      </c>
      <c r="L320" s="32" t="s">
        <v>169</v>
      </c>
      <c r="M320" s="32" t="str">
        <f>IF(Table2[[#This Row],[Stage]]="Closed","Closed","Open")</f>
        <v>Closed</v>
      </c>
      <c r="N320" s="32" t="s">
        <v>453</v>
      </c>
      <c r="O320" s="32">
        <f ca="1">SUMIFS(Table3[Days with], Table3[Ref], Table2[[#This Row],[Ref]],Table3[Who With],"Legal")</f>
        <v>104</v>
      </c>
      <c r="P320" s="34">
        <f>SUMIFS(Table3[Total Cycle Time],Table3[Ref],Table2[[#This Row],[Ref]])</f>
        <v>104</v>
      </c>
    </row>
    <row r="321" spans="1:16" hidden="1" x14ac:dyDescent="0.25">
      <c r="A321" s="39" t="str">
        <f>IF(Table2[[#This Row],[Date Received]]="","",_xlfn.CONCAT(Table2[[#This Row],[Counterparty]]," - ",Table2[[#This Row],[Contract Name]]))</f>
        <v>Vethub - SaaS contract</v>
      </c>
      <c r="B321" s="33">
        <v>45132</v>
      </c>
      <c r="C321" s="32" t="s">
        <v>11</v>
      </c>
      <c r="D321" s="32" t="s">
        <v>824</v>
      </c>
      <c r="E321" s="32" t="s">
        <v>825</v>
      </c>
      <c r="F321" s="32" t="s">
        <v>12</v>
      </c>
      <c r="G321" s="32" t="s">
        <v>34</v>
      </c>
      <c r="H321" s="32" t="s">
        <v>17</v>
      </c>
      <c r="I321" s="32" t="s">
        <v>60</v>
      </c>
      <c r="J321" s="32" t="s">
        <v>826</v>
      </c>
      <c r="K321" s="32" t="s">
        <v>826</v>
      </c>
      <c r="L321" s="32" t="s">
        <v>169</v>
      </c>
      <c r="M321" s="32" t="str">
        <f>IF(Table2[[#This Row],[Stage]]="Closed","Closed","Open")</f>
        <v>Closed</v>
      </c>
      <c r="N321" s="32" t="s">
        <v>827</v>
      </c>
      <c r="O321" s="32">
        <f ca="1">SUMIFS(Table3[Days with], Table3[Ref], Table2[[#This Row],[Ref]],Table3[Who With],"Legal")</f>
        <v>15</v>
      </c>
      <c r="P321" s="34">
        <f>SUMIFS(Table3[Total Cycle Time],Table3[Ref],Table2[[#This Row],[Ref]])</f>
        <v>15</v>
      </c>
    </row>
    <row r="322" spans="1:16" hidden="1" x14ac:dyDescent="0.25">
      <c r="A322" s="39" t="str">
        <f>IF(Table2[[#This Row],[Date Received]]="","",_xlfn.CONCAT(Table2[[#This Row],[Counterparty]]," - ",Table2[[#This Row],[Contract Name]]))</f>
        <v>Worldpay - Services Agreement</v>
      </c>
      <c r="B322" s="33">
        <v>45132</v>
      </c>
      <c r="C322" s="32" t="s">
        <v>11</v>
      </c>
      <c r="D322" s="32" t="s">
        <v>978</v>
      </c>
      <c r="E322" s="32"/>
      <c r="F322" s="32" t="s">
        <v>12</v>
      </c>
      <c r="G322" s="32" t="s">
        <v>27</v>
      </c>
      <c r="H322" s="32" t="s">
        <v>17</v>
      </c>
      <c r="I322" s="32" t="s">
        <v>32</v>
      </c>
      <c r="J322" s="32" t="s">
        <v>979</v>
      </c>
      <c r="K322" s="32" t="s">
        <v>348</v>
      </c>
      <c r="L322" s="32" t="s">
        <v>169</v>
      </c>
      <c r="M322" s="32" t="str">
        <f>IF(Table2[[#This Row],[Stage]]="Closed","Closed","Open")</f>
        <v>Closed</v>
      </c>
      <c r="N322" s="32" t="s">
        <v>980</v>
      </c>
      <c r="O322" s="32">
        <f ca="1">SUMIFS(Table3[Days with], Table3[Ref], Table2[[#This Row],[Ref]],Table3[Who With],"Legal")</f>
        <v>255</v>
      </c>
      <c r="P322" s="34">
        <f>SUMIFS(Table3[Total Cycle Time],Table3[Ref],Table2[[#This Row],[Ref]])</f>
        <v>255</v>
      </c>
    </row>
    <row r="323" spans="1:16" hidden="1" x14ac:dyDescent="0.25">
      <c r="A323" s="39" t="str">
        <f>IF(Table2[[#This Row],[Date Received]]="","",_xlfn.CONCAT(Table2[[#This Row],[Counterparty]]," - ",Table2[[#This Row],[Contract Name]]))</f>
        <v>Eight Advisory - Engagement Letter</v>
      </c>
      <c r="B323" s="33">
        <v>45135</v>
      </c>
      <c r="C323" s="32" t="s">
        <v>11</v>
      </c>
      <c r="D323" s="32" t="s">
        <v>811</v>
      </c>
      <c r="E323" s="32"/>
      <c r="F323" s="32" t="s">
        <v>12</v>
      </c>
      <c r="G323" s="32" t="s">
        <v>37</v>
      </c>
      <c r="H323" s="32" t="s">
        <v>17</v>
      </c>
      <c r="I323" s="32" t="s">
        <v>198</v>
      </c>
      <c r="J323" s="32" t="s">
        <v>38</v>
      </c>
      <c r="K323" s="32" t="s">
        <v>12</v>
      </c>
      <c r="L323" s="32" t="s">
        <v>169</v>
      </c>
      <c r="M323" s="32" t="str">
        <f>IF(Table2[[#This Row],[Stage]]="Closed","Closed","Open")</f>
        <v>Closed</v>
      </c>
      <c r="N323" s="32" t="s">
        <v>70</v>
      </c>
      <c r="O323" s="32">
        <f ca="1">SUMIFS(Table3[Days with], Table3[Ref], Table2[[#This Row],[Ref]],Table3[Who With],"Legal")</f>
        <v>7</v>
      </c>
      <c r="P323" s="34">
        <f>SUMIFS(Table3[Total Cycle Time],Table3[Ref],Table2[[#This Row],[Ref]])</f>
        <v>7</v>
      </c>
    </row>
    <row r="324" spans="1:16" hidden="1" x14ac:dyDescent="0.25">
      <c r="A324" s="39" t="str">
        <f>IF(Table2[[#This Row],[Date Received]]="","",_xlfn.CONCAT(Table2[[#This Row],[Counterparty]]," - ",Table2[[#This Row],[Contract Name]]))</f>
        <v>Spectrum - Termination Advice</v>
      </c>
      <c r="B324" s="33">
        <v>45135</v>
      </c>
      <c r="C324" s="32" t="s">
        <v>11</v>
      </c>
      <c r="D324" s="32" t="s">
        <v>812</v>
      </c>
      <c r="E324" s="32"/>
      <c r="F324" s="32" t="s">
        <v>12</v>
      </c>
      <c r="G324" s="32" t="s">
        <v>14</v>
      </c>
      <c r="H324" s="32" t="s">
        <v>17</v>
      </c>
      <c r="I324" s="32" t="s">
        <v>813</v>
      </c>
      <c r="J324" s="32" t="s">
        <v>318</v>
      </c>
      <c r="K324" s="32" t="s">
        <v>12</v>
      </c>
      <c r="L324" s="32" t="s">
        <v>169</v>
      </c>
      <c r="M324" s="32" t="str">
        <f>IF(Table2[[#This Row],[Stage]]="Closed","Closed","Open")</f>
        <v>Closed</v>
      </c>
      <c r="N324" s="32" t="s">
        <v>814</v>
      </c>
      <c r="O324" s="32">
        <f ca="1">SUMIFS(Table3[Days with], Table3[Ref], Table2[[#This Row],[Ref]],Table3[Who With],"Legal")</f>
        <v>7</v>
      </c>
      <c r="P324" s="34">
        <f>SUMIFS(Table3[Total Cycle Time],Table3[Ref],Table2[[#This Row],[Ref]])</f>
        <v>7</v>
      </c>
    </row>
    <row r="325" spans="1:16" hidden="1" x14ac:dyDescent="0.25">
      <c r="A325" s="39" t="str">
        <f>IF(Table2[[#This Row],[Date Received]]="","",_xlfn.CONCAT(Table2[[#This Row],[Counterparty]]," - ",Table2[[#This Row],[Contract Name]]))</f>
        <v>Biogal - Exclusive supplier agreement</v>
      </c>
      <c r="B325" s="33">
        <v>45135</v>
      </c>
      <c r="C325" s="32" t="s">
        <v>1087</v>
      </c>
      <c r="D325" s="32" t="s">
        <v>828</v>
      </c>
      <c r="E325" s="32"/>
      <c r="F325" s="32" t="s">
        <v>12</v>
      </c>
      <c r="G325" s="32" t="s">
        <v>829</v>
      </c>
      <c r="H325" s="32" t="s">
        <v>17</v>
      </c>
      <c r="I325" s="32" t="s">
        <v>830</v>
      </c>
      <c r="J325" s="32" t="s">
        <v>831</v>
      </c>
      <c r="K325" s="32" t="s">
        <v>12</v>
      </c>
      <c r="L325" s="32" t="s">
        <v>169</v>
      </c>
      <c r="M325" s="32" t="str">
        <f>IF(Table2[[#This Row],[Stage]]="Closed","Closed","Open")</f>
        <v>Closed</v>
      </c>
      <c r="N325" s="32" t="s">
        <v>469</v>
      </c>
      <c r="O325" s="32">
        <f ca="1">SUMIFS(Table3[Days with], Table3[Ref], Table2[[#This Row],[Ref]],Table3[Who With],"Legal")</f>
        <v>12</v>
      </c>
      <c r="P325" s="34">
        <f>SUMIFS(Table3[Total Cycle Time],Table3[Ref],Table2[[#This Row],[Ref]])</f>
        <v>12</v>
      </c>
    </row>
    <row r="326" spans="1:16" hidden="1" x14ac:dyDescent="0.25">
      <c r="A326" s="39" t="str">
        <f>IF(Table2[[#This Row],[Date Received]]="","",_xlfn.CONCAT(Table2[[#This Row],[Counterparty]]," - ",Table2[[#This Row],[Contract Name]]))</f>
        <v>Hackney - Settlement Agreement</v>
      </c>
      <c r="B326" s="33">
        <v>45138</v>
      </c>
      <c r="C326" s="32" t="s">
        <v>11</v>
      </c>
      <c r="D326" s="32" t="s">
        <v>825</v>
      </c>
      <c r="E326" s="32" t="s">
        <v>825</v>
      </c>
      <c r="F326" s="32" t="s">
        <v>16</v>
      </c>
      <c r="G326" s="32" t="s">
        <v>37</v>
      </c>
      <c r="H326" s="32" t="s">
        <v>15</v>
      </c>
      <c r="I326" s="32" t="s">
        <v>519</v>
      </c>
      <c r="J326" s="32" t="s">
        <v>520</v>
      </c>
      <c r="K326" s="32" t="s">
        <v>520</v>
      </c>
      <c r="L326" s="32" t="s">
        <v>169</v>
      </c>
      <c r="M326" s="32" t="str">
        <f>IF(Table2[[#This Row],[Stage]]="Closed","Closed","Open")</f>
        <v>Closed</v>
      </c>
      <c r="N326" s="32" t="s">
        <v>521</v>
      </c>
      <c r="O326" s="32">
        <f ca="1">SUMIFS(Table3[Days with], Table3[Ref], Table2[[#This Row],[Ref]],Table3[Who With],"Legal")</f>
        <v>597</v>
      </c>
      <c r="P326" s="34">
        <f>SUMIFS(Table3[Total Cycle Time],Table3[Ref],Table2[[#This Row],[Ref]])</f>
        <v>0</v>
      </c>
    </row>
    <row r="327" spans="1:16" hidden="1" x14ac:dyDescent="0.25">
      <c r="A327" s="39" t="str">
        <f>IF(Table2[[#This Row],[Date Received]]="","",_xlfn.CONCAT(Table2[[#This Row],[Counterparty]]," - ",Table2[[#This Row],[Contract Name]]))</f>
        <v>Advance PM Ltd - Construction Contract 1</v>
      </c>
      <c r="B327" s="33">
        <v>45139</v>
      </c>
      <c r="C327" s="32" t="s">
        <v>11</v>
      </c>
      <c r="D327" s="32" t="s">
        <v>804</v>
      </c>
      <c r="E327" s="32" t="s">
        <v>805</v>
      </c>
      <c r="F327" s="32" t="s">
        <v>12</v>
      </c>
      <c r="G327" s="32" t="s">
        <v>14</v>
      </c>
      <c r="H327" s="32" t="s">
        <v>17</v>
      </c>
      <c r="I327" s="32" t="s">
        <v>1469</v>
      </c>
      <c r="J327" s="32" t="s">
        <v>807</v>
      </c>
      <c r="K327" s="32" t="s">
        <v>12</v>
      </c>
      <c r="L327" s="32" t="s">
        <v>169</v>
      </c>
      <c r="M327" s="32" t="str">
        <f>IF(Table2[[#This Row],[Stage]]="Closed","Closed","Open")</f>
        <v>Closed</v>
      </c>
      <c r="N327" s="32" t="s">
        <v>69</v>
      </c>
      <c r="O327" s="32">
        <f ca="1">SUMIFS(Table3[Days with], Table3[Ref], Table2[[#This Row],[Ref]],Table3[Who With],"Legal")</f>
        <v>2</v>
      </c>
      <c r="P327" s="34">
        <f>SUMIFS(Table3[Total Cycle Time],Table3[Ref],Table2[[#This Row],[Ref]])</f>
        <v>2</v>
      </c>
    </row>
    <row r="328" spans="1:16" hidden="1" x14ac:dyDescent="0.25">
      <c r="A328" s="39" t="str">
        <f>IF(Table2[[#This Row],[Date Received]]="","",_xlfn.CONCAT(Table2[[#This Row],[Counterparty]]," - ",Table2[[#This Row],[Contract Name]]))</f>
        <v>MML - Services Contract 1</v>
      </c>
      <c r="B328" s="33">
        <v>45140</v>
      </c>
      <c r="C328" s="32" t="s">
        <v>11</v>
      </c>
      <c r="D328" s="32" t="s">
        <v>815</v>
      </c>
      <c r="E328" s="32"/>
      <c r="F328" s="32" t="s">
        <v>12</v>
      </c>
      <c r="G328" s="32" t="s">
        <v>14</v>
      </c>
      <c r="H328" s="32" t="s">
        <v>17</v>
      </c>
      <c r="I328" s="32" t="s">
        <v>1482</v>
      </c>
      <c r="J328" s="32" t="s">
        <v>782</v>
      </c>
      <c r="K328" s="32" t="s">
        <v>12</v>
      </c>
      <c r="L328" s="32" t="s">
        <v>169</v>
      </c>
      <c r="M328" s="32" t="str">
        <f>IF(Table2[[#This Row],[Stage]]="Closed","Closed","Open")</f>
        <v>Closed</v>
      </c>
      <c r="N328" s="32" t="s">
        <v>469</v>
      </c>
      <c r="O328" s="32">
        <f ca="1">SUMIFS(Table3[Days with], Table3[Ref], Table2[[#This Row],[Ref]],Table3[Who With],"Legal")</f>
        <v>2</v>
      </c>
      <c r="P328" s="34">
        <f>SUMIFS(Table3[Total Cycle Time],Table3[Ref],Table2[[#This Row],[Ref]])</f>
        <v>2</v>
      </c>
    </row>
    <row r="329" spans="1:16" hidden="1" x14ac:dyDescent="0.25">
      <c r="A329" s="39" t="str">
        <f>IF(Table2[[#This Row],[Date Received]]="","",_xlfn.CONCAT(Table2[[#This Row],[Counterparty]]," - ",Table2[[#This Row],[Contract Name]]))</f>
        <v>Morar - Deed of Adherence to Partnership</v>
      </c>
      <c r="B329" s="33">
        <v>45140</v>
      </c>
      <c r="C329" s="32" t="s">
        <v>11</v>
      </c>
      <c r="D329" s="32" t="s">
        <v>949</v>
      </c>
      <c r="E329" s="32" t="s">
        <v>506</v>
      </c>
      <c r="F329" s="32" t="s">
        <v>12</v>
      </c>
      <c r="G329" s="32" t="s">
        <v>425</v>
      </c>
      <c r="H329" s="32" t="s">
        <v>425</v>
      </c>
      <c r="I329" s="32" t="s">
        <v>431</v>
      </c>
      <c r="J329" s="32" t="s">
        <v>950</v>
      </c>
      <c r="K329" s="32" t="s">
        <v>12</v>
      </c>
      <c r="L329" s="32" t="s">
        <v>169</v>
      </c>
      <c r="M329" s="32" t="str">
        <f>IF(Table2[[#This Row],[Stage]]="Closed","Closed","Open")</f>
        <v>Closed</v>
      </c>
      <c r="N329" s="32" t="s">
        <v>645</v>
      </c>
      <c r="O329" s="32">
        <f ca="1">SUMIFS(Table3[Days with], Table3[Ref], Table2[[#This Row],[Ref]],Table3[Who With],"Legal")</f>
        <v>184</v>
      </c>
      <c r="P329" s="34">
        <f>SUMIFS(Table3[Total Cycle Time],Table3[Ref],Table2[[#This Row],[Ref]])</f>
        <v>184</v>
      </c>
    </row>
    <row r="330" spans="1:16" hidden="1" x14ac:dyDescent="0.25">
      <c r="A330" s="39" t="str">
        <f>IF(Table2[[#This Row],[Date Received]]="","",_xlfn.CONCAT(Table2[[#This Row],[Counterparty]]," - ",Table2[[#This Row],[Contract Name]]))</f>
        <v>Woodley Equipment Company Ltd - Equipment Hire</v>
      </c>
      <c r="B330" s="33">
        <v>45141</v>
      </c>
      <c r="C330" s="32" t="s">
        <v>11</v>
      </c>
      <c r="D330" s="32" t="s">
        <v>684</v>
      </c>
      <c r="E330" s="32" t="s">
        <v>839</v>
      </c>
      <c r="F330" s="32" t="s">
        <v>16</v>
      </c>
      <c r="G330" s="32" t="s">
        <v>14</v>
      </c>
      <c r="H330" s="32" t="s">
        <v>15</v>
      </c>
      <c r="I330" s="32" t="s">
        <v>840</v>
      </c>
      <c r="J330" s="32" t="s">
        <v>31</v>
      </c>
      <c r="K330" s="32" t="s">
        <v>28</v>
      </c>
      <c r="L330" s="32" t="s">
        <v>169</v>
      </c>
      <c r="M330" s="32" t="str">
        <f>IF(Table2[[#This Row],[Stage]]="Closed","Closed","Open")</f>
        <v>Closed</v>
      </c>
      <c r="N330" s="32" t="s">
        <v>841</v>
      </c>
      <c r="O330" s="32">
        <f ca="1">SUMIFS(Table3[Days with], Table3[Ref], Table2[[#This Row],[Ref]],Table3[Who With],"Legal")</f>
        <v>4</v>
      </c>
      <c r="P330" s="34">
        <f>SUMIFS(Table3[Total Cycle Time],Table3[Ref],Table2[[#This Row],[Ref]])</f>
        <v>4</v>
      </c>
    </row>
    <row r="331" spans="1:16" hidden="1" x14ac:dyDescent="0.25">
      <c r="A331" s="39" t="str">
        <f>IF(Table2[[#This Row],[Date Received]]="","",_xlfn.CONCAT(Table2[[#This Row],[Counterparty]]," - ",Table2[[#This Row],[Contract Name]]))</f>
        <v>Evans - Clinical Breach letter</v>
      </c>
      <c r="B331" s="33">
        <v>45142</v>
      </c>
      <c r="C331" s="32" t="s">
        <v>11</v>
      </c>
      <c r="D331" s="32" t="s">
        <v>816</v>
      </c>
      <c r="E331" s="32" t="s">
        <v>817</v>
      </c>
      <c r="F331" s="32" t="s">
        <v>12</v>
      </c>
      <c r="G331" s="32" t="s">
        <v>36</v>
      </c>
      <c r="H331" s="32" t="s">
        <v>425</v>
      </c>
      <c r="I331" s="32" t="s">
        <v>818</v>
      </c>
      <c r="J331" s="32" t="s">
        <v>51</v>
      </c>
      <c r="K331" s="32" t="s">
        <v>12</v>
      </c>
      <c r="L331" s="32" t="s">
        <v>169</v>
      </c>
      <c r="M331" s="32" t="str">
        <f>IF(Table2[[#This Row],[Stage]]="Closed","Closed","Open")</f>
        <v>Closed</v>
      </c>
      <c r="N331" s="32" t="s">
        <v>819</v>
      </c>
      <c r="O331" s="32">
        <f ca="1">SUMIFS(Table3[Days with], Table3[Ref], Table2[[#This Row],[Ref]],Table3[Who With],"Legal")</f>
        <v>593</v>
      </c>
      <c r="P331" s="34">
        <f>SUMIFS(Table3[Total Cycle Time],Table3[Ref],Table2[[#This Row],[Ref]])</f>
        <v>0</v>
      </c>
    </row>
    <row r="332" spans="1:16" hidden="1" x14ac:dyDescent="0.25">
      <c r="A332" s="39" t="str">
        <f>IF(Table2[[#This Row],[Date Received]]="","",_xlfn.CONCAT(Table2[[#This Row],[Counterparty]]," - ",Table2[[#This Row],[Contract Name]]))</f>
        <v>Evans Partnership - NDA</v>
      </c>
      <c r="B332" s="33">
        <v>45142</v>
      </c>
      <c r="C332" s="32" t="s">
        <v>11</v>
      </c>
      <c r="D332" s="32" t="s">
        <v>820</v>
      </c>
      <c r="E332" s="32"/>
      <c r="F332" s="32" t="s">
        <v>12</v>
      </c>
      <c r="G332" s="32" t="s">
        <v>37</v>
      </c>
      <c r="H332" s="32" t="s">
        <v>17</v>
      </c>
      <c r="I332" s="32" t="s">
        <v>264</v>
      </c>
      <c r="J332" s="32" t="s">
        <v>821</v>
      </c>
      <c r="K332" s="32" t="s">
        <v>12</v>
      </c>
      <c r="L332" s="32" t="s">
        <v>169</v>
      </c>
      <c r="M332" s="32" t="str">
        <f>IF(Table2[[#This Row],[Stage]]="Closed","Closed","Open")</f>
        <v>Closed</v>
      </c>
      <c r="N332" s="32" t="s">
        <v>822</v>
      </c>
      <c r="O332" s="32">
        <f ca="1">SUMIFS(Table3[Days with], Table3[Ref], Table2[[#This Row],[Ref]],Table3[Who With],"Legal")</f>
        <v>593</v>
      </c>
      <c r="P332" s="34">
        <f>SUMIFS(Table3[Total Cycle Time],Table3[Ref],Table2[[#This Row],[Ref]])</f>
        <v>0</v>
      </c>
    </row>
    <row r="333" spans="1:16" hidden="1" x14ac:dyDescent="0.25">
      <c r="A333" s="39" t="str">
        <f>IF(Table2[[#This Row],[Date Received]]="","",_xlfn.CONCAT(Table2[[#This Row],[Counterparty]]," - ",Table2[[#This Row],[Contract Name]]))</f>
        <v>PDSA - Termination advice</v>
      </c>
      <c r="B333" s="33">
        <v>45142</v>
      </c>
      <c r="C333" s="32" t="s">
        <v>11</v>
      </c>
      <c r="D333" s="32" t="s">
        <v>459</v>
      </c>
      <c r="E333" s="32" t="s">
        <v>842</v>
      </c>
      <c r="F333" s="32" t="s">
        <v>12</v>
      </c>
      <c r="G333" s="32" t="s">
        <v>36</v>
      </c>
      <c r="H333" s="32" t="s">
        <v>17</v>
      </c>
      <c r="I333" s="32" t="s">
        <v>843</v>
      </c>
      <c r="J333" s="32" t="s">
        <v>626</v>
      </c>
      <c r="K333" s="32" t="s">
        <v>12</v>
      </c>
      <c r="L333" s="32" t="s">
        <v>169</v>
      </c>
      <c r="M333" s="32" t="str">
        <f>IF(Table2[[#This Row],[Stage]]="Closed","Closed","Open")</f>
        <v>Closed</v>
      </c>
      <c r="N333" s="32" t="s">
        <v>844</v>
      </c>
      <c r="O333" s="32">
        <f ca="1">SUMIFS(Table3[Days with], Table3[Ref], Table2[[#This Row],[Ref]],Table3[Who With],"Legal")</f>
        <v>21</v>
      </c>
      <c r="P333" s="34">
        <f>SUMIFS(Table3[Total Cycle Time],Table3[Ref],Table2[[#This Row],[Ref]])</f>
        <v>21</v>
      </c>
    </row>
    <row r="334" spans="1:16" hidden="1" x14ac:dyDescent="0.25">
      <c r="A334" s="39" t="str">
        <f>IF(Table2[[#This Row],[Date Received]]="","",_xlfn.CONCAT(Table2[[#This Row],[Counterparty]]," - ",Table2[[#This Row],[Contract Name]]))</f>
        <v>Vet CT - Services Agreement 1</v>
      </c>
      <c r="B334" s="33">
        <v>45142</v>
      </c>
      <c r="C334" s="32" t="s">
        <v>11</v>
      </c>
      <c r="D334" s="32" t="s">
        <v>75</v>
      </c>
      <c r="E334" s="32"/>
      <c r="F334" s="32" t="s">
        <v>12</v>
      </c>
      <c r="G334" s="32" t="s">
        <v>14</v>
      </c>
      <c r="H334" s="32" t="s">
        <v>17</v>
      </c>
      <c r="I334" s="32" t="s">
        <v>1477</v>
      </c>
      <c r="J334" s="32" t="s">
        <v>31</v>
      </c>
      <c r="K334" s="32" t="s">
        <v>12</v>
      </c>
      <c r="L334" s="32" t="s">
        <v>169</v>
      </c>
      <c r="M334" s="32" t="str">
        <f>IF(Table2[[#This Row],[Stage]]="Closed","Closed","Open")</f>
        <v>Closed</v>
      </c>
      <c r="N334" s="32" t="s">
        <v>645</v>
      </c>
      <c r="O334" s="32">
        <f ca="1">SUMIFS(Table3[Days with], Table3[Ref], Table2[[#This Row],[Ref]],Table3[Who With],"Legal")</f>
        <v>98</v>
      </c>
      <c r="P334" s="34">
        <f>SUMIFS(Table3[Total Cycle Time],Table3[Ref],Table2[[#This Row],[Ref]])</f>
        <v>98</v>
      </c>
    </row>
    <row r="335" spans="1:16" hidden="1" x14ac:dyDescent="0.25">
      <c r="A335" s="39" t="str">
        <f>IF(Table2[[#This Row],[Date Received]]="","",_xlfn.CONCAT(Table2[[#This Row],[Counterparty]]," - ",Table2[[#This Row],[Contract Name]]))</f>
        <v>RSPCA - RSPCA SLA</v>
      </c>
      <c r="B335" s="33">
        <v>45142</v>
      </c>
      <c r="C335" s="32" t="s">
        <v>11</v>
      </c>
      <c r="D335" s="32" t="s">
        <v>45</v>
      </c>
      <c r="E335" s="32"/>
      <c r="F335" s="32" t="s">
        <v>12</v>
      </c>
      <c r="G335" s="32" t="s">
        <v>36</v>
      </c>
      <c r="H335" s="32" t="s">
        <v>17</v>
      </c>
      <c r="I335" s="32" t="s">
        <v>113</v>
      </c>
      <c r="J335" s="32" t="s">
        <v>39</v>
      </c>
      <c r="K335" s="32" t="s">
        <v>24</v>
      </c>
      <c r="L335" s="32"/>
      <c r="M335" s="32" t="str">
        <f>IF(Table2[[#This Row],[Stage]]="Closed","Closed","Open")</f>
        <v>Open</v>
      </c>
      <c r="N335" s="32" t="s">
        <v>112</v>
      </c>
      <c r="O335" s="32">
        <f>SUMIFS(Table3[Days with], Table3[Ref], Table2[[#This Row],[Ref]],Table3[Who With],"Legal")</f>
        <v>0</v>
      </c>
      <c r="P335" s="34">
        <f>SUMIFS(Table3[Total Cycle Time],Table3[Ref],Table2[[#This Row],[Ref]])</f>
        <v>0</v>
      </c>
    </row>
    <row r="336" spans="1:16" hidden="1" x14ac:dyDescent="0.25">
      <c r="A336" s="39" t="str">
        <f>IF(Table2[[#This Row],[Date Received]]="","",_xlfn.CONCAT(Table2[[#This Row],[Counterparty]]," - ",Table2[[#This Row],[Contract Name]]))</f>
        <v>Prosper - Rebate Agreement</v>
      </c>
      <c r="B336" s="33">
        <v>45147</v>
      </c>
      <c r="C336" s="32" t="s">
        <v>11</v>
      </c>
      <c r="D336" s="32" t="s">
        <v>787</v>
      </c>
      <c r="E336" s="32" t="s">
        <v>13</v>
      </c>
      <c r="F336" s="32" t="s">
        <v>16</v>
      </c>
      <c r="G336" s="32" t="s">
        <v>14</v>
      </c>
      <c r="H336" s="32" t="s">
        <v>15</v>
      </c>
      <c r="I336" s="32" t="s">
        <v>48</v>
      </c>
      <c r="J336" s="32" t="s">
        <v>63</v>
      </c>
      <c r="K336" s="32" t="s">
        <v>442</v>
      </c>
      <c r="L336" s="32" t="s">
        <v>169</v>
      </c>
      <c r="M336" s="32" t="str">
        <f>IF(Table2[[#This Row],[Stage]]="Closed","Closed","Open")</f>
        <v>Closed</v>
      </c>
      <c r="N336" s="32" t="s">
        <v>788</v>
      </c>
      <c r="O336" s="32">
        <f ca="1">SUMIFS(Table3[Days with], Table3[Ref], Table2[[#This Row],[Ref]],Table3[Who With],"Legal")</f>
        <v>0</v>
      </c>
      <c r="P336" s="34">
        <f>SUMIFS(Table3[Total Cycle Time],Table3[Ref],Table2[[#This Row],[Ref]])</f>
        <v>3</v>
      </c>
    </row>
    <row r="337" spans="1:16" hidden="1" x14ac:dyDescent="0.25">
      <c r="A337" s="39" t="str">
        <f>IF(Table2[[#This Row],[Date Received]]="","",_xlfn.CONCAT(Table2[[#This Row],[Counterparty]]," - ",Table2[[#This Row],[Contract Name]]))</f>
        <v>VPIS - Teleconsult contract</v>
      </c>
      <c r="B337" s="33">
        <v>45149</v>
      </c>
      <c r="C337" s="32" t="s">
        <v>11</v>
      </c>
      <c r="D337" s="32" t="s">
        <v>43</v>
      </c>
      <c r="E337" s="32"/>
      <c r="F337" s="32" t="s">
        <v>12</v>
      </c>
      <c r="G337" s="32" t="s">
        <v>14</v>
      </c>
      <c r="H337" s="32" t="s">
        <v>17</v>
      </c>
      <c r="I337" s="32" t="s">
        <v>114</v>
      </c>
      <c r="J337" s="32" t="s">
        <v>31</v>
      </c>
      <c r="K337" s="32" t="s">
        <v>24</v>
      </c>
      <c r="L337" s="32"/>
      <c r="M337" s="32" t="str">
        <f>IF(Table2[[#This Row],[Stage]]="Closed","Closed","Open")</f>
        <v>Open</v>
      </c>
      <c r="N337" s="32" t="s">
        <v>72</v>
      </c>
      <c r="O337" s="32">
        <f>SUMIFS(Table3[Days with], Table3[Ref], Table2[[#This Row],[Ref]],Table3[Who With],"Legal")</f>
        <v>0</v>
      </c>
      <c r="P337" s="34">
        <f>SUMIFS(Table3[Total Cycle Time],Table3[Ref],Table2[[#This Row],[Ref]])</f>
        <v>0</v>
      </c>
    </row>
    <row r="338" spans="1:16" hidden="1" x14ac:dyDescent="0.25">
      <c r="A338" s="39" t="str">
        <f>IF(Table2[[#This Row],[Date Received]]="","",_xlfn.CONCAT(Table2[[#This Row],[Counterparty]]," - ",Table2[[#This Row],[Contract Name]]))</f>
        <v>TriVantage - Consultancy Agreement</v>
      </c>
      <c r="B338" s="33">
        <v>45152</v>
      </c>
      <c r="C338" s="32" t="s">
        <v>11</v>
      </c>
      <c r="D338" s="32" t="s">
        <v>834</v>
      </c>
      <c r="E338" s="32"/>
      <c r="F338" s="32" t="s">
        <v>12</v>
      </c>
      <c r="G338" s="32" t="s">
        <v>14</v>
      </c>
      <c r="H338" s="32" t="s">
        <v>15</v>
      </c>
      <c r="I338" s="32" t="s">
        <v>41</v>
      </c>
      <c r="J338" s="32" t="s">
        <v>782</v>
      </c>
      <c r="K338" s="32" t="s">
        <v>782</v>
      </c>
      <c r="L338" s="32" t="s">
        <v>169</v>
      </c>
      <c r="M338" s="32" t="str">
        <f>IF(Table2[[#This Row],[Stage]]="Closed","Closed","Open")</f>
        <v>Closed</v>
      </c>
      <c r="N338" s="32" t="s">
        <v>835</v>
      </c>
      <c r="O338" s="32">
        <f ca="1">SUMIFS(Table3[Days with], Table3[Ref], Table2[[#This Row],[Ref]],Table3[Who With],"Legal")</f>
        <v>1</v>
      </c>
      <c r="P338" s="34">
        <f>SUMIFS(Table3[Total Cycle Time],Table3[Ref],Table2[[#This Row],[Ref]])</f>
        <v>1</v>
      </c>
    </row>
    <row r="339" spans="1:16" hidden="1" x14ac:dyDescent="0.25">
      <c r="A339" s="39" t="str">
        <f>IF(Table2[[#This Row],[Date Received]]="","",_xlfn.CONCAT(Table2[[#This Row],[Counterparty]]," - ",Table2[[#This Row],[Contract Name]]))</f>
        <v>Millpleadge - Rebate Agreement</v>
      </c>
      <c r="B339" s="33">
        <v>45152</v>
      </c>
      <c r="C339" s="32" t="s">
        <v>11</v>
      </c>
      <c r="D339" s="32" t="s">
        <v>853</v>
      </c>
      <c r="E339" s="32" t="s">
        <v>13</v>
      </c>
      <c r="F339" s="32" t="s">
        <v>16</v>
      </c>
      <c r="G339" s="32" t="s">
        <v>14</v>
      </c>
      <c r="H339" s="32" t="s">
        <v>15</v>
      </c>
      <c r="I339" s="32" t="s">
        <v>48</v>
      </c>
      <c r="J339" s="32" t="s">
        <v>63</v>
      </c>
      <c r="K339" s="32" t="s">
        <v>442</v>
      </c>
      <c r="L339" s="32" t="s">
        <v>169</v>
      </c>
      <c r="M339" s="32" t="str">
        <f>IF(Table2[[#This Row],[Stage]]="Closed","Closed","Open")</f>
        <v>Closed</v>
      </c>
      <c r="N339" s="32" t="s">
        <v>788</v>
      </c>
      <c r="O339" s="32">
        <f ca="1">SUMIFS(Table3[Days with], Table3[Ref], Table2[[#This Row],[Ref]],Table3[Who With],"Legal")</f>
        <v>60</v>
      </c>
      <c r="P339" s="34">
        <f>SUMIFS(Table3[Total Cycle Time],Table3[Ref],Table2[[#This Row],[Ref]])</f>
        <v>60</v>
      </c>
    </row>
    <row r="340" spans="1:16" hidden="1" x14ac:dyDescent="0.25">
      <c r="A340" s="39" t="str">
        <f>IF(Table2[[#This Row],[Date Received]]="","",_xlfn.CONCAT(Table2[[#This Row],[Counterparty]]," - ",Table2[[#This Row],[Contract Name]]))</f>
        <v>Vet Exchange - Rebate Agreement</v>
      </c>
      <c r="B340" s="33">
        <v>45152</v>
      </c>
      <c r="C340" s="32" t="s">
        <v>11</v>
      </c>
      <c r="D340" s="32" t="s">
        <v>854</v>
      </c>
      <c r="E340" s="32" t="s">
        <v>13</v>
      </c>
      <c r="F340" s="32" t="s">
        <v>16</v>
      </c>
      <c r="G340" s="32" t="s">
        <v>14</v>
      </c>
      <c r="H340" s="32" t="s">
        <v>15</v>
      </c>
      <c r="I340" s="32" t="s">
        <v>48</v>
      </c>
      <c r="J340" s="32" t="s">
        <v>63</v>
      </c>
      <c r="K340" s="32" t="s">
        <v>442</v>
      </c>
      <c r="L340" s="32" t="s">
        <v>169</v>
      </c>
      <c r="M340" s="32" t="str">
        <f>IF(Table2[[#This Row],[Stage]]="Closed","Closed","Open")</f>
        <v>Closed</v>
      </c>
      <c r="N340" s="32" t="s">
        <v>788</v>
      </c>
      <c r="O340" s="32">
        <f ca="1">SUMIFS(Table3[Days with], Table3[Ref], Table2[[#This Row],[Ref]],Table3[Who With],"Legal")</f>
        <v>60</v>
      </c>
      <c r="P340" s="34">
        <f>SUMIFS(Table3[Total Cycle Time],Table3[Ref],Table2[[#This Row],[Ref]])</f>
        <v>60</v>
      </c>
    </row>
    <row r="341" spans="1:16" hidden="1" x14ac:dyDescent="0.25">
      <c r="A341" s="39" t="str">
        <f>IF(Table2[[#This Row],[Date Received]]="","",_xlfn.CONCAT(Table2[[#This Row],[Counterparty]]," - ",Table2[[#This Row],[Contract Name]]))</f>
        <v>Lintbells - Rebate Agreement 3</v>
      </c>
      <c r="B341" s="33">
        <v>45153</v>
      </c>
      <c r="C341" s="32" t="s">
        <v>11</v>
      </c>
      <c r="D341" s="32" t="s">
        <v>56</v>
      </c>
      <c r="E341" s="32" t="s">
        <v>13</v>
      </c>
      <c r="F341" s="32" t="s">
        <v>16</v>
      </c>
      <c r="G341" s="32" t="s">
        <v>14</v>
      </c>
      <c r="H341" s="32" t="s">
        <v>15</v>
      </c>
      <c r="I341" s="32" t="s">
        <v>1480</v>
      </c>
      <c r="J341" s="32" t="s">
        <v>63</v>
      </c>
      <c r="K341" s="32" t="s">
        <v>442</v>
      </c>
      <c r="L341" s="32" t="s">
        <v>169</v>
      </c>
      <c r="M341" s="32" t="str">
        <f>IF(Table2[[#This Row],[Stage]]="Closed","Closed","Open")</f>
        <v>Closed</v>
      </c>
      <c r="N341" s="32" t="s">
        <v>788</v>
      </c>
      <c r="O341" s="32">
        <f ca="1">SUMIFS(Table3[Days with], Table3[Ref], Table2[[#This Row],[Ref]],Table3[Who With],"Legal")</f>
        <v>59</v>
      </c>
      <c r="P341" s="34">
        <f>SUMIFS(Table3[Total Cycle Time],Table3[Ref],Table2[[#This Row],[Ref]])</f>
        <v>59</v>
      </c>
    </row>
    <row r="342" spans="1:16" hidden="1" x14ac:dyDescent="0.25">
      <c r="A342" s="39" t="str">
        <f>IF(Table2[[#This Row],[Date Received]]="","",_xlfn.CONCAT(Table2[[#This Row],[Counterparty]]," - ",Table2[[#This Row],[Contract Name]]))</f>
        <v>Hillside - Settlement Agreement</v>
      </c>
      <c r="B342" s="33">
        <v>45153</v>
      </c>
      <c r="C342" s="32" t="s">
        <v>11</v>
      </c>
      <c r="D342" s="32" t="s">
        <v>861</v>
      </c>
      <c r="E342" s="32" t="s">
        <v>861</v>
      </c>
      <c r="F342" s="32" t="s">
        <v>16</v>
      </c>
      <c r="G342" s="32" t="s">
        <v>37</v>
      </c>
      <c r="H342" s="32" t="s">
        <v>15</v>
      </c>
      <c r="I342" s="32" t="s">
        <v>519</v>
      </c>
      <c r="J342" s="32" t="s">
        <v>520</v>
      </c>
      <c r="K342" s="32" t="s">
        <v>520</v>
      </c>
      <c r="L342" s="32" t="s">
        <v>169</v>
      </c>
      <c r="M342" s="32" t="str">
        <f>IF(Table2[[#This Row],[Stage]]="Closed","Closed","Open")</f>
        <v>Closed</v>
      </c>
      <c r="N342" s="32" t="s">
        <v>521</v>
      </c>
      <c r="O342" s="32">
        <f ca="1">SUMIFS(Table3[Days with], Table3[Ref], Table2[[#This Row],[Ref]],Table3[Who With],"Legal")</f>
        <v>8</v>
      </c>
      <c r="P342" s="34">
        <f>SUMIFS(Table3[Total Cycle Time],Table3[Ref],Table2[[#This Row],[Ref]])</f>
        <v>8</v>
      </c>
    </row>
    <row r="343" spans="1:16" hidden="1" x14ac:dyDescent="0.25">
      <c r="A343" s="39" t="str">
        <f>IF(Table2[[#This Row],[Date Received]]="","",_xlfn.CONCAT(Table2[[#This Row],[Counterparty]]," - ",Table2[[#This Row],[Contract Name]]))</f>
        <v>Forte - Rebate Agreement</v>
      </c>
      <c r="B343" s="33">
        <v>45153</v>
      </c>
      <c r="C343" s="32" t="s">
        <v>11</v>
      </c>
      <c r="D343" s="32" t="s">
        <v>871</v>
      </c>
      <c r="E343" s="32" t="s">
        <v>13</v>
      </c>
      <c r="F343" s="32" t="s">
        <v>16</v>
      </c>
      <c r="G343" s="32" t="s">
        <v>14</v>
      </c>
      <c r="H343" s="32" t="s">
        <v>15</v>
      </c>
      <c r="I343" s="32" t="s">
        <v>48</v>
      </c>
      <c r="J343" s="32" t="s">
        <v>63</v>
      </c>
      <c r="K343" s="32" t="s">
        <v>442</v>
      </c>
      <c r="L343" s="32" t="s">
        <v>169</v>
      </c>
      <c r="M343" s="32" t="str">
        <f>IF(Table2[[#This Row],[Stage]]="Closed","Closed","Open")</f>
        <v>Closed</v>
      </c>
      <c r="N343" s="32" t="s">
        <v>788</v>
      </c>
      <c r="O343" s="32">
        <f ca="1">SUMIFS(Table3[Days with], Table3[Ref], Table2[[#This Row],[Ref]],Table3[Who With],"Legal")</f>
        <v>59</v>
      </c>
      <c r="P343" s="34">
        <f>SUMIFS(Table3[Total Cycle Time],Table3[Ref],Table2[[#This Row],[Ref]])</f>
        <v>59</v>
      </c>
    </row>
    <row r="344" spans="1:16" hidden="1" x14ac:dyDescent="0.25">
      <c r="A344" s="39" t="str">
        <f>IF(Table2[[#This Row],[Date Received]]="","",_xlfn.CONCAT(Table2[[#This Row],[Counterparty]]," - ",Table2[[#This Row],[Contract Name]]))</f>
        <v>GL Hearn - Business Rates Contract addendum</v>
      </c>
      <c r="B344" s="33">
        <v>45154</v>
      </c>
      <c r="C344" s="32" t="s">
        <v>11</v>
      </c>
      <c r="D344" s="32" t="s">
        <v>705</v>
      </c>
      <c r="E344" s="32"/>
      <c r="F344" s="32" t="s">
        <v>12</v>
      </c>
      <c r="G344" s="32" t="s">
        <v>455</v>
      </c>
      <c r="H344" s="32" t="s">
        <v>15</v>
      </c>
      <c r="I344" s="32" t="s">
        <v>836</v>
      </c>
      <c r="J344" s="32" t="s">
        <v>837</v>
      </c>
      <c r="K344" s="32" t="s">
        <v>348</v>
      </c>
      <c r="L344" s="32" t="s">
        <v>169</v>
      </c>
      <c r="M344" s="32" t="str">
        <f>IF(Table2[[#This Row],[Stage]]="Closed","Closed","Open")</f>
        <v>Closed</v>
      </c>
      <c r="N344" s="32" t="s">
        <v>838</v>
      </c>
      <c r="O344" s="32">
        <f ca="1">SUMIFS(Table3[Days with], Table3[Ref], Table2[[#This Row],[Ref]],Table3[Who With],"Legal")</f>
        <v>581</v>
      </c>
      <c r="P344" s="34">
        <f>SUMIFS(Table3[Total Cycle Time],Table3[Ref],Table2[[#This Row],[Ref]])</f>
        <v>0</v>
      </c>
    </row>
    <row r="345" spans="1:16" hidden="1" x14ac:dyDescent="0.25">
      <c r="A345" s="39" t="str">
        <f>IF(Table2[[#This Row],[Date Received]]="","",_xlfn.CONCAT(Table2[[#This Row],[Counterparty]]," - ",Table2[[#This Row],[Contract Name]]))</f>
        <v>Vet Empowered Limited - Coaching contract</v>
      </c>
      <c r="B345" s="33">
        <v>45154</v>
      </c>
      <c r="C345" s="32" t="s">
        <v>11</v>
      </c>
      <c r="D345" s="32" t="s">
        <v>857</v>
      </c>
      <c r="E345" s="32"/>
      <c r="F345" s="32" t="s">
        <v>12</v>
      </c>
      <c r="G345" s="32" t="s">
        <v>30</v>
      </c>
      <c r="H345" s="32" t="s">
        <v>15</v>
      </c>
      <c r="I345" s="32" t="s">
        <v>858</v>
      </c>
      <c r="J345" s="32" t="s">
        <v>313</v>
      </c>
      <c r="K345" s="32" t="s">
        <v>12</v>
      </c>
      <c r="L345" s="32" t="s">
        <v>169</v>
      </c>
      <c r="M345" s="32" t="str">
        <f>IF(Table2[[#This Row],[Stage]]="Closed","Closed","Open")</f>
        <v>Closed</v>
      </c>
      <c r="N345" s="32" t="s">
        <v>453</v>
      </c>
      <c r="O345" s="32">
        <f ca="1">SUMIFS(Table3[Days with], Table3[Ref], Table2[[#This Row],[Ref]],Table3[Who With],"Legal")</f>
        <v>55</v>
      </c>
      <c r="P345" s="34">
        <f>SUMIFS(Table3[Total Cycle Time],Table3[Ref],Table2[[#This Row],[Ref]])</f>
        <v>55</v>
      </c>
    </row>
    <row r="346" spans="1:16" hidden="1" x14ac:dyDescent="0.25">
      <c r="A346" s="39" t="str">
        <f>IF(Table2[[#This Row],[Date Received]]="","",_xlfn.CONCAT(Table2[[#This Row],[Counterparty]]," - ",Table2[[#This Row],[Contract Name]]))</f>
        <v>Central CPD - Training Services Agreement</v>
      </c>
      <c r="B346" s="33">
        <v>45156</v>
      </c>
      <c r="C346" s="32" t="s">
        <v>11</v>
      </c>
      <c r="D346" s="32" t="s">
        <v>895</v>
      </c>
      <c r="E346" s="32"/>
      <c r="F346" s="32" t="s">
        <v>12</v>
      </c>
      <c r="G346" s="32" t="s">
        <v>289</v>
      </c>
      <c r="H346" s="32" t="s">
        <v>17</v>
      </c>
      <c r="I346" s="32" t="s">
        <v>317</v>
      </c>
      <c r="J346" s="32" t="s">
        <v>896</v>
      </c>
      <c r="K346" s="32" t="s">
        <v>12</v>
      </c>
      <c r="L346" s="32" t="s">
        <v>169</v>
      </c>
      <c r="M346" s="32" t="str">
        <f>IF(Table2[[#This Row],[Stage]]="Closed","Closed","Open")</f>
        <v>Closed</v>
      </c>
      <c r="N346" s="32" t="s">
        <v>645</v>
      </c>
      <c r="O346" s="32">
        <f ca="1">SUMIFS(Table3[Days with], Table3[Ref], Table2[[#This Row],[Ref]],Table3[Who With],"Legal")</f>
        <v>87</v>
      </c>
      <c r="P346" s="34">
        <f>SUMIFS(Table3[Total Cycle Time],Table3[Ref],Table2[[#This Row],[Ref]])</f>
        <v>87</v>
      </c>
    </row>
    <row r="347" spans="1:16" hidden="1" x14ac:dyDescent="0.25">
      <c r="A347" s="39" t="str">
        <f>IF(Table2[[#This Row],[Date Received]]="","",_xlfn.CONCAT(Table2[[#This Row],[Counterparty]]," - ",Table2[[#This Row],[Contract Name]]))</f>
        <v>Optimisely - Services Agreement 1</v>
      </c>
      <c r="B347" s="33">
        <v>45168</v>
      </c>
      <c r="C347" s="32" t="s">
        <v>11</v>
      </c>
      <c r="D347" s="32" t="s">
        <v>852</v>
      </c>
      <c r="E347" s="32"/>
      <c r="F347" s="32" t="s">
        <v>12</v>
      </c>
      <c r="G347" s="32" t="s">
        <v>233</v>
      </c>
      <c r="H347" s="32" t="s">
        <v>17</v>
      </c>
      <c r="I347" s="32" t="s">
        <v>1477</v>
      </c>
      <c r="J347" s="32" t="s">
        <v>647</v>
      </c>
      <c r="K347" s="32" t="s">
        <v>12</v>
      </c>
      <c r="L347" s="32" t="s">
        <v>169</v>
      </c>
      <c r="M347" s="32" t="str">
        <f>IF(Table2[[#This Row],[Stage]]="Closed","Closed","Open")</f>
        <v>Closed</v>
      </c>
      <c r="N347" s="32" t="s">
        <v>453</v>
      </c>
      <c r="O347" s="32">
        <f ca="1">SUMIFS(Table3[Days with], Table3[Ref], Table2[[#This Row],[Ref]],Table3[Who With],"Legal")</f>
        <v>12</v>
      </c>
      <c r="P347" s="34">
        <f>SUMIFS(Table3[Total Cycle Time],Table3[Ref],Table2[[#This Row],[Ref]])</f>
        <v>12</v>
      </c>
    </row>
    <row r="348" spans="1:16" hidden="1" x14ac:dyDescent="0.25">
      <c r="A348" s="39" t="str">
        <f>IF(Table2[[#This Row],[Date Received]]="","",_xlfn.CONCAT(Table2[[#This Row],[Counterparty]]," - ",Table2[[#This Row],[Contract Name]]))</f>
        <v>Ecovardis - Services Agreement</v>
      </c>
      <c r="B348" s="33">
        <v>45168</v>
      </c>
      <c r="C348" s="32" t="s">
        <v>11</v>
      </c>
      <c r="D348" s="32" t="s">
        <v>886</v>
      </c>
      <c r="E348" s="32"/>
      <c r="F348" s="32" t="s">
        <v>12</v>
      </c>
      <c r="G348" s="32" t="s">
        <v>14</v>
      </c>
      <c r="H348" s="32" t="s">
        <v>17</v>
      </c>
      <c r="I348" s="32" t="s">
        <v>32</v>
      </c>
      <c r="J348" s="32" t="s">
        <v>782</v>
      </c>
      <c r="K348" s="32" t="s">
        <v>12</v>
      </c>
      <c r="L348" s="32" t="s">
        <v>169</v>
      </c>
      <c r="M348" s="32" t="str">
        <f>IF(Table2[[#This Row],[Stage]]="Closed","Closed","Open")</f>
        <v>Closed</v>
      </c>
      <c r="N348" s="32" t="s">
        <v>531</v>
      </c>
      <c r="O348" s="32">
        <f ca="1">SUMIFS(Table3[Days with], Table3[Ref], Table2[[#This Row],[Ref]],Table3[Who With],"Legal")</f>
        <v>63</v>
      </c>
      <c r="P348" s="34">
        <f>SUMIFS(Table3[Total Cycle Time],Table3[Ref],Table2[[#This Row],[Ref]])</f>
        <v>63</v>
      </c>
    </row>
    <row r="349" spans="1:16" hidden="1" x14ac:dyDescent="0.25">
      <c r="A349" s="39" t="str">
        <f>IF(Table2[[#This Row],[Date Received]]="","",_xlfn.CONCAT(Table2[[#This Row],[Counterparty]]," - ",Table2[[#This Row],[Contract Name]]))</f>
        <v>Geoff Potts - Variation Agreement</v>
      </c>
      <c r="B349" s="33">
        <v>45168</v>
      </c>
      <c r="C349" s="32" t="s">
        <v>11</v>
      </c>
      <c r="D349" s="32" t="s">
        <v>903</v>
      </c>
      <c r="E349" s="32" t="s">
        <v>506</v>
      </c>
      <c r="F349" s="32" t="s">
        <v>12</v>
      </c>
      <c r="G349" s="32" t="s">
        <v>425</v>
      </c>
      <c r="H349" s="32" t="s">
        <v>425</v>
      </c>
      <c r="I349" s="32" t="s">
        <v>696</v>
      </c>
      <c r="J349" s="32" t="s">
        <v>51</v>
      </c>
      <c r="K349" s="32" t="s">
        <v>12</v>
      </c>
      <c r="L349" s="32" t="s">
        <v>169</v>
      </c>
      <c r="M349" s="32" t="str">
        <f>IF(Table2[[#This Row],[Stage]]="Closed","Closed","Open")</f>
        <v>Closed</v>
      </c>
      <c r="N349" s="32" t="s">
        <v>645</v>
      </c>
      <c r="O349" s="32">
        <f ca="1">SUMIFS(Table3[Days with], Table3[Ref], Table2[[#This Row],[Ref]],Table3[Who With],"Legal")</f>
        <v>93</v>
      </c>
      <c r="P349" s="34">
        <f>SUMIFS(Table3[Total Cycle Time],Table3[Ref],Table2[[#This Row],[Ref]])</f>
        <v>93</v>
      </c>
    </row>
    <row r="350" spans="1:16" hidden="1" x14ac:dyDescent="0.25">
      <c r="A350" s="39" t="str">
        <f>IF(Table2[[#This Row],[Date Received]]="","",_xlfn.CONCAT(Table2[[#This Row],[Counterparty]]," - ",Table2[[#This Row],[Contract Name]]))</f>
        <v>Pet Vaccination Centre - Settlement Agreement</v>
      </c>
      <c r="B350" s="33">
        <v>45176</v>
      </c>
      <c r="C350" s="32" t="s">
        <v>11</v>
      </c>
      <c r="D350" s="32" t="s">
        <v>872</v>
      </c>
      <c r="E350" s="32" t="s">
        <v>872</v>
      </c>
      <c r="F350" s="32" t="s">
        <v>16</v>
      </c>
      <c r="G350" s="32" t="s">
        <v>37</v>
      </c>
      <c r="H350" s="32" t="s">
        <v>15</v>
      </c>
      <c r="I350" s="32" t="s">
        <v>519</v>
      </c>
      <c r="J350" s="32" t="s">
        <v>520</v>
      </c>
      <c r="K350" s="32" t="s">
        <v>520</v>
      </c>
      <c r="L350" s="32" t="s">
        <v>169</v>
      </c>
      <c r="M350" s="32" t="str">
        <f>IF(Table2[[#This Row],[Stage]]="Closed","Closed","Open")</f>
        <v>Closed</v>
      </c>
      <c r="N350" s="32" t="s">
        <v>521</v>
      </c>
      <c r="O350" s="32">
        <f ca="1">SUMIFS(Table3[Days with], Table3[Ref], Table2[[#This Row],[Ref]],Table3[Who With],"Legal")</f>
        <v>559</v>
      </c>
      <c r="P350" s="34">
        <f>SUMIFS(Table3[Total Cycle Time],Table3[Ref],Table2[[#This Row],[Ref]])</f>
        <v>0</v>
      </c>
    </row>
    <row r="351" spans="1:16" hidden="1" x14ac:dyDescent="0.25">
      <c r="A351" s="39" t="str">
        <f>IF(Table2[[#This Row],[Date Received]]="","",_xlfn.CONCAT(Table2[[#This Row],[Counterparty]]," - ",Table2[[#This Row],[Contract Name]]))</f>
        <v>CVC Nottingham - Settlement Agreement</v>
      </c>
      <c r="B351" s="33">
        <v>45181</v>
      </c>
      <c r="C351" s="32" t="s">
        <v>11</v>
      </c>
      <c r="D351" s="32" t="s">
        <v>873</v>
      </c>
      <c r="E351" s="32" t="s">
        <v>873</v>
      </c>
      <c r="F351" s="32" t="s">
        <v>16</v>
      </c>
      <c r="G351" s="32" t="s">
        <v>37</v>
      </c>
      <c r="H351" s="32" t="s">
        <v>15</v>
      </c>
      <c r="I351" s="32" t="s">
        <v>519</v>
      </c>
      <c r="J351" s="32" t="s">
        <v>520</v>
      </c>
      <c r="K351" s="32" t="s">
        <v>520</v>
      </c>
      <c r="L351" s="32" t="s">
        <v>169</v>
      </c>
      <c r="M351" s="32" t="str">
        <f>IF(Table2[[#This Row],[Stage]]="Closed","Closed","Open")</f>
        <v>Closed</v>
      </c>
      <c r="N351" s="32" t="s">
        <v>521</v>
      </c>
      <c r="O351" s="32">
        <f ca="1">SUMIFS(Table3[Days with], Table3[Ref], Table2[[#This Row],[Ref]],Table3[Who With],"Legal")</f>
        <v>554</v>
      </c>
      <c r="P351" s="34">
        <f>SUMIFS(Table3[Total Cycle Time],Table3[Ref],Table2[[#This Row],[Ref]])</f>
        <v>0</v>
      </c>
    </row>
    <row r="352" spans="1:16" hidden="1" x14ac:dyDescent="0.25">
      <c r="A352" s="39" t="str">
        <f>IF(Table2[[#This Row],[Date Received]]="","",_xlfn.CONCAT(Table2[[#This Row],[Counterparty]]," - ",Table2[[#This Row],[Contract Name]]))</f>
        <v>AQ Cardiology Ltd - Consultancy Agreement</v>
      </c>
      <c r="B352" s="33">
        <v>45182</v>
      </c>
      <c r="C352" s="32" t="s">
        <v>11</v>
      </c>
      <c r="D352" s="32" t="s">
        <v>859</v>
      </c>
      <c r="E352" s="32" t="s">
        <v>797</v>
      </c>
      <c r="F352" s="32" t="s">
        <v>12</v>
      </c>
      <c r="G352" s="32" t="s">
        <v>30</v>
      </c>
      <c r="H352" s="32" t="s">
        <v>17</v>
      </c>
      <c r="I352" s="32" t="s">
        <v>41</v>
      </c>
      <c r="J352" s="32" t="s">
        <v>860</v>
      </c>
      <c r="K352" s="32" t="s">
        <v>12</v>
      </c>
      <c r="L352" s="32" t="s">
        <v>169</v>
      </c>
      <c r="M352" s="32" t="str">
        <f>IF(Table2[[#This Row],[Stage]]="Closed","Closed","Open")</f>
        <v>Closed</v>
      </c>
      <c r="N352" s="32" t="s">
        <v>72</v>
      </c>
      <c r="O352" s="32">
        <f ca="1">SUMIFS(Table3[Days with], Table3[Ref], Table2[[#This Row],[Ref]],Table3[Who With],"Legal")</f>
        <v>27</v>
      </c>
      <c r="P352" s="34">
        <f>SUMIFS(Table3[Total Cycle Time],Table3[Ref],Table2[[#This Row],[Ref]])</f>
        <v>27</v>
      </c>
    </row>
    <row r="353" spans="1:16" hidden="1" x14ac:dyDescent="0.25">
      <c r="A353" s="39" t="str">
        <f>IF(Table2[[#This Row],[Date Received]]="","",_xlfn.CONCAT(Table2[[#This Row],[Counterparty]]," - ",Table2[[#This Row],[Contract Name]]))</f>
        <v>NVS - Termination Advice</v>
      </c>
      <c r="B353" s="33">
        <v>45184</v>
      </c>
      <c r="C353" s="32" t="s">
        <v>11</v>
      </c>
      <c r="D353" s="32" t="s">
        <v>212</v>
      </c>
      <c r="E353" s="32" t="s">
        <v>13</v>
      </c>
      <c r="F353" s="32" t="s">
        <v>12</v>
      </c>
      <c r="G353" s="32" t="s">
        <v>14</v>
      </c>
      <c r="H353" s="32" t="s">
        <v>15</v>
      </c>
      <c r="I353" s="32" t="s">
        <v>813</v>
      </c>
      <c r="J353" s="32" t="s">
        <v>31</v>
      </c>
      <c r="K353" s="32" t="s">
        <v>31</v>
      </c>
      <c r="L353" s="32" t="s">
        <v>169</v>
      </c>
      <c r="M353" s="32" t="str">
        <f>IF(Table2[[#This Row],[Stage]]="Closed","Closed","Open")</f>
        <v>Closed</v>
      </c>
      <c r="N353" s="32" t="s">
        <v>952</v>
      </c>
      <c r="O353" s="32">
        <f ca="1">SUMIFS(Table3[Days with], Table3[Ref], Table2[[#This Row],[Ref]],Table3[Who With],"Legal")</f>
        <v>143</v>
      </c>
      <c r="P353" s="34">
        <f>SUMIFS(Table3[Total Cycle Time],Table3[Ref],Table2[[#This Row],[Ref]])</f>
        <v>143</v>
      </c>
    </row>
    <row r="354" spans="1:16" hidden="1" x14ac:dyDescent="0.25">
      <c r="A354" s="39" t="str">
        <f>IF(Table2[[#This Row],[Date Received]]="","",_xlfn.CONCAT(Table2[[#This Row],[Counterparty]]," - ",Table2[[#This Row],[Contract Name]]))</f>
        <v>DNA Vets - OOH Agreement 1</v>
      </c>
      <c r="B354" s="33">
        <v>45190</v>
      </c>
      <c r="C354" s="32" t="s">
        <v>11</v>
      </c>
      <c r="D354" s="32" t="s">
        <v>874</v>
      </c>
      <c r="E354" s="32" t="s">
        <v>424</v>
      </c>
      <c r="F354" s="32" t="s">
        <v>16</v>
      </c>
      <c r="G354" s="32" t="s">
        <v>36</v>
      </c>
      <c r="H354" s="32" t="s">
        <v>17</v>
      </c>
      <c r="I354" s="32" t="s">
        <v>1473</v>
      </c>
      <c r="J354" s="32" t="s">
        <v>548</v>
      </c>
      <c r="K354" s="32" t="s">
        <v>548</v>
      </c>
      <c r="L354" s="32" t="s">
        <v>169</v>
      </c>
      <c r="M354" s="32" t="str">
        <f>IF(Table2[[#This Row],[Stage]]="Closed","Closed","Open")</f>
        <v>Closed</v>
      </c>
      <c r="N354" s="32" t="s">
        <v>875</v>
      </c>
      <c r="O354" s="32">
        <f ca="1">SUMIFS(Table3[Days with], Table3[Ref], Table2[[#This Row],[Ref]],Table3[Who With],"Legal")</f>
        <v>545</v>
      </c>
      <c r="P354" s="34">
        <f>SUMIFS(Table3[Total Cycle Time],Table3[Ref],Table2[[#This Row],[Ref]])</f>
        <v>0</v>
      </c>
    </row>
    <row r="355" spans="1:16" hidden="1" x14ac:dyDescent="0.25">
      <c r="A355" s="39" t="str">
        <f>IF(Table2[[#This Row],[Date Received]]="","",_xlfn.CONCAT(Table2[[#This Row],[Counterparty]]," - ",Table2[[#This Row],[Contract Name]]))</f>
        <v>MML - Services Contract</v>
      </c>
      <c r="B355" s="33">
        <v>45194</v>
      </c>
      <c r="C355" s="32" t="s">
        <v>11</v>
      </c>
      <c r="D355" s="32" t="s">
        <v>815</v>
      </c>
      <c r="E355" s="32"/>
      <c r="F355" s="32" t="s">
        <v>12</v>
      </c>
      <c r="G355" s="32" t="s">
        <v>14</v>
      </c>
      <c r="H355" s="32" t="s">
        <v>15</v>
      </c>
      <c r="I355" s="32" t="s">
        <v>71</v>
      </c>
      <c r="J355" s="32" t="s">
        <v>74</v>
      </c>
      <c r="K355" s="32" t="s">
        <v>12</v>
      </c>
      <c r="L355" s="32" t="s">
        <v>169</v>
      </c>
      <c r="M355" s="32" t="str">
        <f>IF(Table2[[#This Row],[Stage]]="Closed","Closed","Open")</f>
        <v>Closed</v>
      </c>
      <c r="N355" s="32" t="s">
        <v>453</v>
      </c>
      <c r="O355" s="32">
        <f ca="1">SUMIFS(Table3[Days with], Table3[Ref], Table2[[#This Row],[Ref]],Table3[Who With],"Legal")</f>
        <v>67</v>
      </c>
      <c r="P355" s="34">
        <f>SUMIFS(Table3[Total Cycle Time],Table3[Ref],Table2[[#This Row],[Ref]])</f>
        <v>67</v>
      </c>
    </row>
    <row r="356" spans="1:16" hidden="1" x14ac:dyDescent="0.25">
      <c r="A356" s="39" t="str">
        <f>IF(Table2[[#This Row],[Date Received]]="","",_xlfn.CONCAT(Table2[[#This Row],[Counterparty]]," - ",Table2[[#This Row],[Contract Name]]))</f>
        <v>Story Tellers - Master Services Agreement</v>
      </c>
      <c r="B356" s="33">
        <v>45196</v>
      </c>
      <c r="C356" s="32" t="s">
        <v>11</v>
      </c>
      <c r="D356" s="32" t="s">
        <v>868</v>
      </c>
      <c r="E356" s="32"/>
      <c r="F356" s="32" t="s">
        <v>12</v>
      </c>
      <c r="G356" s="32" t="s">
        <v>30</v>
      </c>
      <c r="H356" s="32" t="s">
        <v>15</v>
      </c>
      <c r="I356" s="32" t="s">
        <v>869</v>
      </c>
      <c r="J356" s="32" t="s">
        <v>870</v>
      </c>
      <c r="K356" s="32" t="s">
        <v>12</v>
      </c>
      <c r="L356" s="32" t="s">
        <v>169</v>
      </c>
      <c r="M356" s="32" t="str">
        <f>IF(Table2[[#This Row],[Stage]]="Closed","Closed","Open")</f>
        <v>Closed</v>
      </c>
      <c r="N356" s="32" t="s">
        <v>453</v>
      </c>
      <c r="O356" s="32">
        <f ca="1">SUMIFS(Table3[Days with], Table3[Ref], Table2[[#This Row],[Ref]],Table3[Who With],"Legal")</f>
        <v>15</v>
      </c>
      <c r="P356" s="34">
        <f>SUMIFS(Table3[Total Cycle Time],Table3[Ref],Table2[[#This Row],[Ref]])</f>
        <v>15</v>
      </c>
    </row>
    <row r="357" spans="1:16" hidden="1" x14ac:dyDescent="0.25">
      <c r="A357" s="39" t="str">
        <f>IF(Table2[[#This Row],[Date Received]]="","",_xlfn.CONCAT(Table2[[#This Row],[Counterparty]]," - ",Table2[[#This Row],[Contract Name]]))</f>
        <v>BIOMERIEUX - Service Contract Renewal</v>
      </c>
      <c r="B357" s="33">
        <v>45201</v>
      </c>
      <c r="C357" s="32" t="s">
        <v>510</v>
      </c>
      <c r="D357" s="32" t="s">
        <v>876</v>
      </c>
      <c r="E357" s="32" t="s">
        <v>13</v>
      </c>
      <c r="F357" s="32" t="s">
        <v>16</v>
      </c>
      <c r="G357" s="32" t="s">
        <v>510</v>
      </c>
      <c r="H357" s="32" t="s">
        <v>17</v>
      </c>
      <c r="I357" s="32" t="s">
        <v>877</v>
      </c>
      <c r="J357" s="32" t="s">
        <v>512</v>
      </c>
      <c r="K357" s="32" t="s">
        <v>442</v>
      </c>
      <c r="L357" s="32" t="s">
        <v>169</v>
      </c>
      <c r="M357" s="32" t="str">
        <f>IF(Table2[[#This Row],[Stage]]="Closed","Closed","Open")</f>
        <v>Closed</v>
      </c>
      <c r="N357" s="32" t="s">
        <v>878</v>
      </c>
      <c r="O357" s="32">
        <f ca="1">SUMIFS(Table3[Days with], Table3[Ref], Table2[[#This Row],[Ref]],Table3[Who With],"Legal")</f>
        <v>9</v>
      </c>
      <c r="P357" s="34">
        <f>SUMIFS(Table3[Total Cycle Time],Table3[Ref],Table2[[#This Row],[Ref]])</f>
        <v>9</v>
      </c>
    </row>
    <row r="358" spans="1:16" hidden="1" x14ac:dyDescent="0.25">
      <c r="A358" s="39" t="str">
        <f>IF(Table2[[#This Row],[Date Received]]="","",_xlfn.CONCAT(Table2[[#This Row],[Counterparty]]," - ",Table2[[#This Row],[Contract Name]]))</f>
        <v>Assured Thought - Services Agreement</v>
      </c>
      <c r="B358" s="33">
        <v>45203</v>
      </c>
      <c r="C358" s="32" t="s">
        <v>11</v>
      </c>
      <c r="D358" s="32" t="s">
        <v>862</v>
      </c>
      <c r="E358" s="32"/>
      <c r="F358" s="32" t="s">
        <v>12</v>
      </c>
      <c r="G358" s="32" t="s">
        <v>34</v>
      </c>
      <c r="H358" s="32" t="s">
        <v>15</v>
      </c>
      <c r="I358" s="32" t="s">
        <v>32</v>
      </c>
      <c r="J358" s="32" t="s">
        <v>35</v>
      </c>
      <c r="K358" s="32" t="s">
        <v>12</v>
      </c>
      <c r="L358" s="32" t="s">
        <v>169</v>
      </c>
      <c r="M358" s="32" t="str">
        <f>IF(Table2[[#This Row],[Stage]]="Closed","Closed","Open")</f>
        <v>Closed</v>
      </c>
      <c r="N358" s="32" t="s">
        <v>73</v>
      </c>
      <c r="O358" s="32">
        <f ca="1">SUMIFS(Table3[Days with], Table3[Ref], Table2[[#This Row],[Ref]],Table3[Who With],"Legal")</f>
        <v>7</v>
      </c>
      <c r="P358" s="34">
        <f>SUMIFS(Table3[Total Cycle Time],Table3[Ref],Table2[[#This Row],[Ref]])</f>
        <v>7</v>
      </c>
    </row>
    <row r="359" spans="1:16" hidden="1" x14ac:dyDescent="0.25">
      <c r="A359" s="39" t="str">
        <f>IF(Table2[[#This Row],[Date Received]]="","",_xlfn.CONCAT(Table2[[#This Row],[Counterparty]]," - ",Table2[[#This Row],[Contract Name]]))</f>
        <v>Safe4 - Rebate Agreement</v>
      </c>
      <c r="B359" s="33">
        <v>45208</v>
      </c>
      <c r="C359" s="32" t="s">
        <v>11</v>
      </c>
      <c r="D359" s="32" t="s">
        <v>879</v>
      </c>
      <c r="E359" s="32" t="s">
        <v>13</v>
      </c>
      <c r="F359" s="32" t="s">
        <v>16</v>
      </c>
      <c r="G359" s="32" t="s">
        <v>14</v>
      </c>
      <c r="H359" s="32" t="s">
        <v>15</v>
      </c>
      <c r="I359" s="32" t="s">
        <v>48</v>
      </c>
      <c r="J359" s="32" t="s">
        <v>63</v>
      </c>
      <c r="K359" s="32" t="s">
        <v>63</v>
      </c>
      <c r="L359" s="32" t="s">
        <v>169</v>
      </c>
      <c r="M359" s="32" t="str">
        <f>IF(Table2[[#This Row],[Stage]]="Closed","Closed","Open")</f>
        <v>Closed</v>
      </c>
      <c r="N359" s="32" t="s">
        <v>788</v>
      </c>
      <c r="O359" s="32">
        <f ca="1">SUMIFS(Table3[Days with], Table3[Ref], Table2[[#This Row],[Ref]],Table3[Who With],"Legal")</f>
        <v>18</v>
      </c>
      <c r="P359" s="34">
        <f>SUMIFS(Table3[Total Cycle Time],Table3[Ref],Table2[[#This Row],[Ref]])</f>
        <v>18</v>
      </c>
    </row>
    <row r="360" spans="1:16" hidden="1" x14ac:dyDescent="0.25">
      <c r="A360" s="39" t="str">
        <f>IF(Table2[[#This Row],[Date Received]]="","",_xlfn.CONCAT(Table2[[#This Row],[Counterparty]]," - ",Table2[[#This Row],[Contract Name]]))</f>
        <v>Spectrum - Break Advice</v>
      </c>
      <c r="B360" s="33">
        <v>45208</v>
      </c>
      <c r="C360" s="32" t="s">
        <v>11</v>
      </c>
      <c r="D360" s="32" t="s">
        <v>812</v>
      </c>
      <c r="E360" s="32"/>
      <c r="F360" s="32" t="s">
        <v>12</v>
      </c>
      <c r="G360" s="32" t="s">
        <v>14</v>
      </c>
      <c r="H360" s="32" t="s">
        <v>15</v>
      </c>
      <c r="I360" s="32" t="s">
        <v>880</v>
      </c>
      <c r="J360" s="32" t="s">
        <v>74</v>
      </c>
      <c r="K360" s="32" t="s">
        <v>12</v>
      </c>
      <c r="L360" s="32" t="s">
        <v>169</v>
      </c>
      <c r="M360" s="32" t="str">
        <f>IF(Table2[[#This Row],[Stage]]="Closed","Closed","Open")</f>
        <v>Closed</v>
      </c>
      <c r="N360" s="32" t="s">
        <v>881</v>
      </c>
      <c r="O360" s="32">
        <f ca="1">SUMIFS(Table3[Days with], Table3[Ref], Table2[[#This Row],[Ref]],Table3[Who With],"Legal")</f>
        <v>14</v>
      </c>
      <c r="P360" s="34">
        <f>SUMIFS(Table3[Total Cycle Time],Table3[Ref],Table2[[#This Row],[Ref]])</f>
        <v>14</v>
      </c>
    </row>
    <row r="361" spans="1:16" hidden="1" x14ac:dyDescent="0.25">
      <c r="A361" s="39" t="str">
        <f>IF(Table2[[#This Row],[Date Received]]="","",_xlfn.CONCAT(Table2[[#This Row],[Counterparty]]," - ",Table2[[#This Row],[Contract Name]]))</f>
        <v>Vets Now - Termination Letter</v>
      </c>
      <c r="B361" s="33">
        <v>45208</v>
      </c>
      <c r="C361" s="32" t="s">
        <v>11</v>
      </c>
      <c r="D361" s="32" t="s">
        <v>252</v>
      </c>
      <c r="E361" s="32" t="s">
        <v>581</v>
      </c>
      <c r="F361" s="32" t="s">
        <v>12</v>
      </c>
      <c r="G361" s="32" t="s">
        <v>36</v>
      </c>
      <c r="H361" s="32" t="s">
        <v>15</v>
      </c>
      <c r="I361" s="32" t="s">
        <v>224</v>
      </c>
      <c r="J361" s="32" t="s">
        <v>82</v>
      </c>
      <c r="K361" s="32" t="s">
        <v>12</v>
      </c>
      <c r="L361" s="32" t="s">
        <v>169</v>
      </c>
      <c r="M361" s="32" t="str">
        <f>IF(Table2[[#This Row],[Stage]]="Closed","Closed","Open")</f>
        <v>Closed</v>
      </c>
      <c r="N361" s="32" t="s">
        <v>645</v>
      </c>
      <c r="O361" s="32">
        <f ca="1">SUMIFS(Table3[Days with], Table3[Ref], Table2[[#This Row],[Ref]],Table3[Who With],"Legal")</f>
        <v>121</v>
      </c>
      <c r="P361" s="34">
        <f>SUMIFS(Table3[Total Cycle Time],Table3[Ref],Table2[[#This Row],[Ref]])</f>
        <v>121</v>
      </c>
    </row>
    <row r="362" spans="1:16" hidden="1" x14ac:dyDescent="0.25">
      <c r="A362" s="39" t="str">
        <f>IF(Table2[[#This Row],[Date Received]]="","",_xlfn.CONCAT(Table2[[#This Row],[Counterparty]]," - ",Table2[[#This Row],[Contract Name]]))</f>
        <v>Oldham - Consultancy Agreement</v>
      </c>
      <c r="B362" s="33">
        <v>45209</v>
      </c>
      <c r="C362" s="32" t="s">
        <v>11</v>
      </c>
      <c r="D362" s="32" t="s">
        <v>649</v>
      </c>
      <c r="E362" s="32"/>
      <c r="F362" s="32" t="s">
        <v>12</v>
      </c>
      <c r="G362" s="32" t="s">
        <v>36</v>
      </c>
      <c r="H362" s="32" t="s">
        <v>17</v>
      </c>
      <c r="I362" s="32" t="s">
        <v>41</v>
      </c>
      <c r="J362" s="32" t="s">
        <v>452</v>
      </c>
      <c r="K362" s="32"/>
      <c r="L362" s="32" t="s">
        <v>169</v>
      </c>
      <c r="M362" s="32" t="str">
        <f>IF(Table2[[#This Row],[Stage]]="Closed","Closed","Open")</f>
        <v>Closed</v>
      </c>
      <c r="N362" s="32" t="s">
        <v>453</v>
      </c>
      <c r="O362" s="32">
        <f ca="1">SUMIFS(Table3[Days with], Table3[Ref], Table2[[#This Row],[Ref]],Table3[Who With],"Legal")</f>
        <v>9</v>
      </c>
      <c r="P362" s="34">
        <f>SUMIFS(Table3[Total Cycle Time],Table3[Ref],Table2[[#This Row],[Ref]])</f>
        <v>9</v>
      </c>
    </row>
    <row r="363" spans="1:16" hidden="1" x14ac:dyDescent="0.25">
      <c r="A363" s="39" t="str">
        <f>IF(Table2[[#This Row],[Date Received]]="","",_xlfn.CONCAT(Table2[[#This Row],[Counterparty]]," - ",Table2[[#This Row],[Contract Name]]))</f>
        <v>DAC - Services Agreement 1</v>
      </c>
      <c r="B363" s="33">
        <v>45210</v>
      </c>
      <c r="C363" s="32" t="s">
        <v>11</v>
      </c>
      <c r="D363" s="32" t="s">
        <v>902</v>
      </c>
      <c r="E363" s="32"/>
      <c r="F363" s="32" t="s">
        <v>12</v>
      </c>
      <c r="G363" s="32" t="s">
        <v>36</v>
      </c>
      <c r="H363" s="32" t="s">
        <v>15</v>
      </c>
      <c r="I363" s="32" t="s">
        <v>1477</v>
      </c>
      <c r="J363" s="32" t="s">
        <v>47</v>
      </c>
      <c r="K363" s="32" t="s">
        <v>12</v>
      </c>
      <c r="L363" s="32" t="s">
        <v>169</v>
      </c>
      <c r="M363" s="32" t="str">
        <f>IF(Table2[[#This Row],[Stage]]="Closed","Closed","Open")</f>
        <v>Closed</v>
      </c>
      <c r="N363" s="32" t="s">
        <v>645</v>
      </c>
      <c r="O363" s="32">
        <f ca="1">SUMIFS(Table3[Days with], Table3[Ref], Table2[[#This Row],[Ref]],Table3[Who With],"Legal")</f>
        <v>37</v>
      </c>
      <c r="P363" s="34">
        <f>SUMIFS(Table3[Total Cycle Time],Table3[Ref],Table2[[#This Row],[Ref]])</f>
        <v>37</v>
      </c>
    </row>
    <row r="364" spans="1:16" hidden="1" x14ac:dyDescent="0.25">
      <c r="A364" s="39" t="str">
        <f>IF(Table2[[#This Row],[Date Received]]="","",_xlfn.CONCAT(Table2[[#This Row],[Counterparty]]," - ",Table2[[#This Row],[Contract Name]]))</f>
        <v>Flexible - Saas benefits contract</v>
      </c>
      <c r="B364" s="33">
        <v>45210</v>
      </c>
      <c r="C364" s="32" t="s">
        <v>11</v>
      </c>
      <c r="D364" s="32" t="s">
        <v>953</v>
      </c>
      <c r="E364" s="32"/>
      <c r="F364" s="32" t="s">
        <v>12</v>
      </c>
      <c r="G364" s="32" t="s">
        <v>30</v>
      </c>
      <c r="H364" s="32" t="s">
        <v>15</v>
      </c>
      <c r="I364" s="32" t="s">
        <v>954</v>
      </c>
      <c r="J364" s="32" t="s">
        <v>83</v>
      </c>
      <c r="K364" s="32" t="s">
        <v>12</v>
      </c>
      <c r="L364" s="32" t="s">
        <v>169</v>
      </c>
      <c r="M364" s="32" t="str">
        <f>IF(Table2[[#This Row],[Stage]]="Closed","Closed","Open")</f>
        <v>Closed</v>
      </c>
      <c r="N364" s="32" t="s">
        <v>645</v>
      </c>
      <c r="O364" s="32">
        <f ca="1">SUMIFS(Table3[Days with], Table3[Ref], Table2[[#This Row],[Ref]],Table3[Who With],"Legal")</f>
        <v>119</v>
      </c>
      <c r="P364" s="34">
        <f>SUMIFS(Table3[Total Cycle Time],Table3[Ref],Table2[[#This Row],[Ref]])</f>
        <v>119</v>
      </c>
    </row>
    <row r="365" spans="1:16" hidden="1" x14ac:dyDescent="0.25">
      <c r="A365" s="39" t="str">
        <f>IF(Table2[[#This Row],[Date Received]]="","",_xlfn.CONCAT(Table2[[#This Row],[Counterparty]]," - ",Table2[[#This Row],[Contract Name]]))</f>
        <v>Delaware - Services Contract</v>
      </c>
      <c r="B365" s="33">
        <v>45212</v>
      </c>
      <c r="C365" s="32" t="s">
        <v>11</v>
      </c>
      <c r="D365" s="32" t="s">
        <v>863</v>
      </c>
      <c r="E365" s="32"/>
      <c r="F365" s="32" t="s">
        <v>12</v>
      </c>
      <c r="G365" s="32" t="s">
        <v>34</v>
      </c>
      <c r="H365" s="32" t="s">
        <v>15</v>
      </c>
      <c r="I365" s="32" t="s">
        <v>71</v>
      </c>
      <c r="J365" s="32" t="s">
        <v>28</v>
      </c>
      <c r="K365" s="32" t="s">
        <v>28</v>
      </c>
      <c r="L365" s="32" t="s">
        <v>169</v>
      </c>
      <c r="M365" s="32" t="str">
        <f>IF(Table2[[#This Row],[Stage]]="Closed","Closed","Open")</f>
        <v>Closed</v>
      </c>
      <c r="N365" s="32" t="s">
        <v>865</v>
      </c>
      <c r="O365" s="32">
        <f ca="1">SUMIFS(Table3[Days with], Table3[Ref], Table2[[#This Row],[Ref]],Table3[Who With],"Legal")</f>
        <v>49</v>
      </c>
      <c r="P365" s="34">
        <f>SUMIFS(Table3[Total Cycle Time],Table3[Ref],Table2[[#This Row],[Ref]])</f>
        <v>49</v>
      </c>
    </row>
    <row r="366" spans="1:16" hidden="1" x14ac:dyDescent="0.25">
      <c r="A366" s="39" t="str">
        <f>IF(Table2[[#This Row],[Date Received]]="","",_xlfn.CONCAT(Table2[[#This Row],[Counterparty]]," - ",Table2[[#This Row],[Contract Name]]))</f>
        <v>Farmcare - Termination letter</v>
      </c>
      <c r="B366" s="33">
        <v>45215</v>
      </c>
      <c r="C366" s="32" t="s">
        <v>11</v>
      </c>
      <c r="D366" s="32" t="s">
        <v>887</v>
      </c>
      <c r="E366" s="32" t="s">
        <v>888</v>
      </c>
      <c r="F366" s="32" t="s">
        <v>12</v>
      </c>
      <c r="G366" s="32" t="s">
        <v>36</v>
      </c>
      <c r="H366" s="32" t="s">
        <v>15</v>
      </c>
      <c r="I366" s="32" t="s">
        <v>889</v>
      </c>
      <c r="J366" s="32" t="s">
        <v>890</v>
      </c>
      <c r="K366" s="32" t="s">
        <v>348</v>
      </c>
      <c r="L366" s="32" t="s">
        <v>169</v>
      </c>
      <c r="M366" s="32" t="str">
        <f>IF(Table2[[#This Row],[Stage]]="Closed","Closed","Open")</f>
        <v>Closed</v>
      </c>
      <c r="N366" s="32" t="s">
        <v>891</v>
      </c>
      <c r="O366" s="32">
        <f ca="1">SUMIFS(Table3[Days with], Table3[Ref], Table2[[#This Row],[Ref]],Table3[Who With],"Legal")</f>
        <v>16</v>
      </c>
      <c r="P366" s="34">
        <f>SUMIFS(Table3[Total Cycle Time],Table3[Ref],Table2[[#This Row],[Ref]])</f>
        <v>16</v>
      </c>
    </row>
    <row r="367" spans="1:16" hidden="1" x14ac:dyDescent="0.25">
      <c r="A367" s="39" t="str">
        <f>IF(Table2[[#This Row],[Date Received]]="","",_xlfn.CONCAT(Table2[[#This Row],[Counterparty]]," - ",Table2[[#This Row],[Contract Name]]))</f>
        <v>Dechra Veterinary Solutions Limited - Rebate Extension</v>
      </c>
      <c r="B367" s="33">
        <v>45216</v>
      </c>
      <c r="C367" s="32" t="s">
        <v>11</v>
      </c>
      <c r="D367" s="32" t="s">
        <v>882</v>
      </c>
      <c r="E367" s="32" t="s">
        <v>13</v>
      </c>
      <c r="F367" s="32" t="s">
        <v>16</v>
      </c>
      <c r="G367" s="32" t="s">
        <v>14</v>
      </c>
      <c r="H367" s="32" t="s">
        <v>15</v>
      </c>
      <c r="I367" s="32" t="s">
        <v>714</v>
      </c>
      <c r="J367" s="32" t="s">
        <v>63</v>
      </c>
      <c r="K367" s="32" t="s">
        <v>28</v>
      </c>
      <c r="L367" s="32" t="s">
        <v>169</v>
      </c>
      <c r="M367" s="32" t="str">
        <f>IF(Table2[[#This Row],[Stage]]="Closed","Closed","Open")</f>
        <v>Closed</v>
      </c>
      <c r="N367" s="32" t="s">
        <v>883</v>
      </c>
      <c r="O367" s="32">
        <f ca="1">SUMIFS(Table3[Days with], Table3[Ref], Table2[[#This Row],[Ref]],Table3[Who With],"Legal")</f>
        <v>519</v>
      </c>
      <c r="P367" s="34">
        <f>SUMIFS(Table3[Total Cycle Time],Table3[Ref],Table2[[#This Row],[Ref]])</f>
        <v>0</v>
      </c>
    </row>
    <row r="368" spans="1:16" hidden="1" x14ac:dyDescent="0.25">
      <c r="A368" s="39" t="str">
        <f>IF(Table2[[#This Row],[Date Received]]="","",_xlfn.CONCAT(Table2[[#This Row],[Counterparty]]," - ",Table2[[#This Row],[Contract Name]]))</f>
        <v>Vet Plus - Rebate Extension</v>
      </c>
      <c r="B368" s="33">
        <v>45223</v>
      </c>
      <c r="C368" s="32" t="s">
        <v>11</v>
      </c>
      <c r="D368" s="32" t="s">
        <v>399</v>
      </c>
      <c r="E368" s="32" t="s">
        <v>13</v>
      </c>
      <c r="F368" s="32" t="s">
        <v>16</v>
      </c>
      <c r="G368" s="32" t="s">
        <v>14</v>
      </c>
      <c r="H368" s="32" t="s">
        <v>15</v>
      </c>
      <c r="I368" s="32" t="s">
        <v>714</v>
      </c>
      <c r="J368" s="32" t="s">
        <v>63</v>
      </c>
      <c r="K368" s="32" t="s">
        <v>28</v>
      </c>
      <c r="L368" s="32" t="s">
        <v>169</v>
      </c>
      <c r="M368" s="32" t="str">
        <f>IF(Table2[[#This Row],[Stage]]="Closed","Closed","Open")</f>
        <v>Closed</v>
      </c>
      <c r="N368" s="32" t="s">
        <v>715</v>
      </c>
      <c r="O368" s="32">
        <f ca="1">SUMIFS(Table3[Days with], Table3[Ref], Table2[[#This Row],[Ref]],Table3[Who With],"Legal")</f>
        <v>2</v>
      </c>
      <c r="P368" s="34">
        <f>SUMIFS(Table3[Total Cycle Time],Table3[Ref],Table2[[#This Row],[Ref]])</f>
        <v>2</v>
      </c>
    </row>
    <row r="369" spans="1:16" hidden="1" x14ac:dyDescent="0.25">
      <c r="A369" s="39" t="str">
        <f>IF(Table2[[#This Row],[Date Received]]="","",_xlfn.CONCAT(Table2[[#This Row],[Counterparty]]," - ",Table2[[#This Row],[Contract Name]]))</f>
        <v>Star Storycrafters Ltd. - Consultancy Agreement</v>
      </c>
      <c r="B369" s="33">
        <v>45225</v>
      </c>
      <c r="C369" s="32" t="s">
        <v>11</v>
      </c>
      <c r="D369" s="32" t="s">
        <v>892</v>
      </c>
      <c r="E369" s="32" t="s">
        <v>13</v>
      </c>
      <c r="F369" s="32" t="s">
        <v>16</v>
      </c>
      <c r="G369" s="32" t="s">
        <v>30</v>
      </c>
      <c r="H369" s="32" t="s">
        <v>15</v>
      </c>
      <c r="I369" s="32" t="s">
        <v>41</v>
      </c>
      <c r="J369" s="32" t="s">
        <v>893</v>
      </c>
      <c r="K369" s="32" t="s">
        <v>893</v>
      </c>
      <c r="L369" s="32" t="s">
        <v>169</v>
      </c>
      <c r="M369" s="32" t="str">
        <f>IF(Table2[[#This Row],[Stage]]="Closed","Closed","Open")</f>
        <v>Closed</v>
      </c>
      <c r="N369" s="32" t="s">
        <v>894</v>
      </c>
      <c r="O369" s="32">
        <f ca="1">SUMIFS(Table3[Days with], Table3[Ref], Table2[[#This Row],[Ref]],Table3[Who With],"Legal")</f>
        <v>6</v>
      </c>
      <c r="P369" s="34">
        <f>SUMIFS(Table3[Total Cycle Time],Table3[Ref],Table2[[#This Row],[Ref]])</f>
        <v>6</v>
      </c>
    </row>
    <row r="370" spans="1:16" hidden="1" x14ac:dyDescent="0.25">
      <c r="A370" s="39" t="str">
        <f>IF(Table2[[#This Row],[Date Received]]="","",_xlfn.CONCAT(Table2[[#This Row],[Counterparty]]," - ",Table2[[#This Row],[Contract Name]]))</f>
        <v>DNA Vets - OOH Agreement</v>
      </c>
      <c r="B370" s="33">
        <v>45226</v>
      </c>
      <c r="C370" s="32" t="s">
        <v>11</v>
      </c>
      <c r="D370" s="32" t="s">
        <v>874</v>
      </c>
      <c r="E370" s="32" t="s">
        <v>424</v>
      </c>
      <c r="F370" s="32" t="s">
        <v>16</v>
      </c>
      <c r="G370" s="32" t="s">
        <v>36</v>
      </c>
      <c r="H370" s="32" t="s">
        <v>15</v>
      </c>
      <c r="I370" s="32" t="s">
        <v>276</v>
      </c>
      <c r="J370" s="32" t="s">
        <v>548</v>
      </c>
      <c r="K370" s="32" t="s">
        <v>442</v>
      </c>
      <c r="L370" s="32" t="s">
        <v>169</v>
      </c>
      <c r="M370" s="32" t="str">
        <f>IF(Table2[[#This Row],[Stage]]="Closed","Closed","Open")</f>
        <v>Closed</v>
      </c>
      <c r="N370" s="32" t="s">
        <v>875</v>
      </c>
      <c r="O370" s="32">
        <f ca="1">SUMIFS(Table3[Days with], Table3[Ref], Table2[[#This Row],[Ref]],Table3[Who With],"Legal")</f>
        <v>11</v>
      </c>
      <c r="P370" s="34">
        <f>SUMIFS(Table3[Total Cycle Time],Table3[Ref],Table2[[#This Row],[Ref]])</f>
        <v>11</v>
      </c>
    </row>
    <row r="371" spans="1:16" hidden="1" x14ac:dyDescent="0.25">
      <c r="A371" s="39" t="str">
        <f>IF(Table2[[#This Row],[Date Received]]="","",_xlfn.CONCAT(Table2[[#This Row],[Counterparty]]," - ",Table2[[#This Row],[Contract Name]]))</f>
        <v>Vets2YourPets - Services Agreement</v>
      </c>
      <c r="B371" s="33">
        <v>45231</v>
      </c>
      <c r="C371" s="32" t="s">
        <v>11</v>
      </c>
      <c r="D371" s="32" t="s">
        <v>897</v>
      </c>
      <c r="E371" s="32" t="s">
        <v>13</v>
      </c>
      <c r="F371" s="32" t="s">
        <v>16</v>
      </c>
      <c r="G371" s="32" t="s">
        <v>36</v>
      </c>
      <c r="H371" s="32" t="s">
        <v>15</v>
      </c>
      <c r="I371" s="32" t="s">
        <v>32</v>
      </c>
      <c r="J371" s="32" t="s">
        <v>76</v>
      </c>
      <c r="K371" s="32" t="s">
        <v>76</v>
      </c>
      <c r="L371" s="32" t="s">
        <v>169</v>
      </c>
      <c r="M371" s="32" t="str">
        <f>IF(Table2[[#This Row],[Stage]]="Closed","Closed","Open")</f>
        <v>Closed</v>
      </c>
      <c r="N371" s="32" t="s">
        <v>898</v>
      </c>
      <c r="O371" s="32">
        <f ca="1">SUMIFS(Table3[Days with], Table3[Ref], Table2[[#This Row],[Ref]],Table3[Who With],"Legal")</f>
        <v>118</v>
      </c>
      <c r="P371" s="34">
        <f>SUMIFS(Table3[Total Cycle Time],Table3[Ref],Table2[[#This Row],[Ref]])</f>
        <v>118</v>
      </c>
    </row>
    <row r="372" spans="1:16" hidden="1" x14ac:dyDescent="0.25">
      <c r="A372" s="39" t="str">
        <f>IF(Table2[[#This Row],[Date Received]]="","",_xlfn.CONCAT(Table2[[#This Row],[Counterparty]]," - ",Table2[[#This Row],[Contract Name]]))</f>
        <v>BUPA - Services Contract</v>
      </c>
      <c r="B372" s="33">
        <v>45236</v>
      </c>
      <c r="C372" s="32" t="s">
        <v>11</v>
      </c>
      <c r="D372" s="32" t="s">
        <v>1000</v>
      </c>
      <c r="E372" s="32"/>
      <c r="F372" s="32" t="s">
        <v>12</v>
      </c>
      <c r="G372" s="32" t="s">
        <v>30</v>
      </c>
      <c r="H372" s="32" t="s">
        <v>17</v>
      </c>
      <c r="I372" s="32" t="s">
        <v>71</v>
      </c>
      <c r="J372" s="32" t="s">
        <v>83</v>
      </c>
      <c r="K372" s="32" t="s">
        <v>12</v>
      </c>
      <c r="L372" s="32" t="s">
        <v>169</v>
      </c>
      <c r="M372" s="32" t="str">
        <f>IF(Table2[[#This Row],[Stage]]="Closed","Closed","Open")</f>
        <v>Closed</v>
      </c>
      <c r="N372" s="32" t="s">
        <v>453</v>
      </c>
      <c r="O372" s="32">
        <f ca="1">SUMIFS(Table3[Days with], Table3[Ref], Table2[[#This Row],[Ref]],Table3[Who With],"Legal")</f>
        <v>198</v>
      </c>
      <c r="P372" s="34">
        <f>SUMIFS(Table3[Total Cycle Time],Table3[Ref],Table2[[#This Row],[Ref]])</f>
        <v>198</v>
      </c>
    </row>
    <row r="373" spans="1:16" hidden="1" x14ac:dyDescent="0.25">
      <c r="A373" s="39" t="str">
        <f>IF(Table2[[#This Row],[Date Received]]="","",_xlfn.CONCAT(Table2[[#This Row],[Counterparty]]," - ",Table2[[#This Row],[Contract Name]]))</f>
        <v>Real World - Consultancy Agreement</v>
      </c>
      <c r="B373" s="33">
        <v>45239</v>
      </c>
      <c r="C373" s="32" t="s">
        <v>11</v>
      </c>
      <c r="D373" s="32" t="s">
        <v>915</v>
      </c>
      <c r="E373" s="32"/>
      <c r="F373" s="32" t="s">
        <v>12</v>
      </c>
      <c r="G373" s="32" t="s">
        <v>30</v>
      </c>
      <c r="H373" s="32" t="s">
        <v>15</v>
      </c>
      <c r="I373" s="32" t="s">
        <v>41</v>
      </c>
      <c r="J373" s="32" t="s">
        <v>916</v>
      </c>
      <c r="K373" s="32" t="s">
        <v>12</v>
      </c>
      <c r="L373" s="32" t="s">
        <v>169</v>
      </c>
      <c r="M373" s="32" t="str">
        <f>IF(Table2[[#This Row],[Stage]]="Closed","Closed","Open")</f>
        <v>Closed</v>
      </c>
      <c r="N373" s="32" t="s">
        <v>453</v>
      </c>
      <c r="O373" s="32">
        <f ca="1">SUMIFS(Table3[Days with], Table3[Ref], Table2[[#This Row],[Ref]],Table3[Who With],"Legal")</f>
        <v>63</v>
      </c>
      <c r="P373" s="34">
        <f>SUMIFS(Table3[Total Cycle Time],Table3[Ref],Table2[[#This Row],[Ref]])</f>
        <v>63</v>
      </c>
    </row>
    <row r="374" spans="1:16" hidden="1" x14ac:dyDescent="0.25">
      <c r="A374" s="39" t="str">
        <f>IF(Table2[[#This Row],[Date Received]]="","",_xlfn.CONCAT(Table2[[#This Row],[Counterparty]]," - ",Table2[[#This Row],[Contract Name]]))</f>
        <v>Boehringer Ingelheim Animal Health - Sponsorship Agreement</v>
      </c>
      <c r="B374" s="33">
        <v>45239</v>
      </c>
      <c r="C374" s="32" t="s">
        <v>11</v>
      </c>
      <c r="D374" s="32" t="s">
        <v>468</v>
      </c>
      <c r="E374" s="32"/>
      <c r="F374" s="32" t="s">
        <v>12</v>
      </c>
      <c r="G374" s="32" t="s">
        <v>36</v>
      </c>
      <c r="H374" s="32" t="s">
        <v>15</v>
      </c>
      <c r="I374" s="32" t="s">
        <v>234</v>
      </c>
      <c r="J374" s="32" t="s">
        <v>400</v>
      </c>
      <c r="K374" s="32" t="s">
        <v>12</v>
      </c>
      <c r="L374" s="32" t="s">
        <v>169</v>
      </c>
      <c r="M374" s="32" t="str">
        <f>IF(Table2[[#This Row],[Stage]]="Closed","Closed","Open")</f>
        <v>Closed</v>
      </c>
      <c r="N374" s="32"/>
      <c r="O374" s="32">
        <f ca="1">SUMIFS(Table3[Days with], Table3[Ref], Table2[[#This Row],[Ref]],Table3[Who With],"Legal")</f>
        <v>63</v>
      </c>
      <c r="P374" s="34">
        <f>SUMIFS(Table3[Total Cycle Time],Table3[Ref],Table2[[#This Row],[Ref]])</f>
        <v>63</v>
      </c>
    </row>
    <row r="375" spans="1:16" hidden="1" x14ac:dyDescent="0.25">
      <c r="A375" s="39" t="str">
        <f>IF(Table2[[#This Row],[Date Received]]="","",_xlfn.CONCAT(Table2[[#This Row],[Counterparty]]," - ",Table2[[#This Row],[Contract Name]]))</f>
        <v>Stormtech - Services Contract</v>
      </c>
      <c r="B375" s="33">
        <v>45240</v>
      </c>
      <c r="C375" s="32" t="s">
        <v>11</v>
      </c>
      <c r="D375" s="32" t="s">
        <v>926</v>
      </c>
      <c r="E375" s="32"/>
      <c r="F375" s="32" t="s">
        <v>12</v>
      </c>
      <c r="G375" s="32" t="s">
        <v>34</v>
      </c>
      <c r="H375" s="32" t="s">
        <v>15</v>
      </c>
      <c r="I375" s="32" t="s">
        <v>71</v>
      </c>
      <c r="J375" s="32" t="s">
        <v>78</v>
      </c>
      <c r="K375" s="32" t="s">
        <v>348</v>
      </c>
      <c r="L375" s="32" t="s">
        <v>169</v>
      </c>
      <c r="M375" s="32" t="str">
        <f>IF(Table2[[#This Row],[Stage]]="Closed","Closed","Open")</f>
        <v>Closed</v>
      </c>
      <c r="N375" s="32" t="s">
        <v>645</v>
      </c>
      <c r="O375" s="32">
        <f ca="1">SUMIFS(Table3[Days with], Table3[Ref], Table2[[#This Row],[Ref]],Table3[Who With],"Legal")</f>
        <v>76</v>
      </c>
      <c r="P375" s="34">
        <f>SUMIFS(Table3[Total Cycle Time],Table3[Ref],Table2[[#This Row],[Ref]])</f>
        <v>76</v>
      </c>
    </row>
    <row r="376" spans="1:16" hidden="1" x14ac:dyDescent="0.25">
      <c r="A376" s="39" t="str">
        <f>IF(Table2[[#This Row],[Date Received]]="","",_xlfn.CONCAT(Table2[[#This Row],[Counterparty]]," - ",Table2[[#This Row],[Contract Name]]))</f>
        <v>Johnson and Johnson - Rebate Agreement</v>
      </c>
      <c r="B376" s="33">
        <v>45244</v>
      </c>
      <c r="C376" s="32" t="s">
        <v>11</v>
      </c>
      <c r="D376" s="32" t="s">
        <v>906</v>
      </c>
      <c r="E376" s="32" t="s">
        <v>13</v>
      </c>
      <c r="F376" s="32" t="s">
        <v>16</v>
      </c>
      <c r="G376" s="32" t="s">
        <v>14</v>
      </c>
      <c r="H376" s="32" t="s">
        <v>17</v>
      </c>
      <c r="I376" s="32" t="s">
        <v>48</v>
      </c>
      <c r="J376" s="32" t="s">
        <v>63</v>
      </c>
      <c r="K376" s="32" t="s">
        <v>442</v>
      </c>
      <c r="L376" s="32" t="s">
        <v>169</v>
      </c>
      <c r="M376" s="32" t="str">
        <f>IF(Table2[[#This Row],[Stage]]="Closed","Closed","Open")</f>
        <v>Closed</v>
      </c>
      <c r="N376" s="32" t="s">
        <v>907</v>
      </c>
      <c r="O376" s="32">
        <f ca="1">SUMIFS(Table3[Days with], Table3[Ref], Table2[[#This Row],[Ref]],Table3[Who With],"Legal")</f>
        <v>79</v>
      </c>
      <c r="P376" s="34">
        <f>SUMIFS(Table3[Total Cycle Time],Table3[Ref],Table2[[#This Row],[Ref]])</f>
        <v>79</v>
      </c>
    </row>
    <row r="377" spans="1:16" hidden="1" x14ac:dyDescent="0.25">
      <c r="A377" s="39" t="str">
        <f>IF(Table2[[#This Row],[Date Received]]="","",_xlfn.CONCAT(Table2[[#This Row],[Counterparty]]," - ",Table2[[#This Row],[Contract Name]]))</f>
        <v>Comtract Ltd - Consultancy Agreement</v>
      </c>
      <c r="B377" s="33">
        <v>45245</v>
      </c>
      <c r="C377" s="32" t="s">
        <v>11</v>
      </c>
      <c r="D377" s="32" t="s">
        <v>919</v>
      </c>
      <c r="E377" s="32" t="s">
        <v>13</v>
      </c>
      <c r="F377" s="32" t="s">
        <v>16</v>
      </c>
      <c r="G377" s="32" t="s">
        <v>30</v>
      </c>
      <c r="H377" s="32" t="s">
        <v>15</v>
      </c>
      <c r="I377" s="32" t="s">
        <v>41</v>
      </c>
      <c r="J377" s="32" t="s">
        <v>77</v>
      </c>
      <c r="K377" s="32" t="s">
        <v>442</v>
      </c>
      <c r="L377" s="32" t="s">
        <v>169</v>
      </c>
      <c r="M377" s="32" t="str">
        <f>IF(Table2[[#This Row],[Stage]]="Closed","Closed","Open")</f>
        <v>Closed</v>
      </c>
      <c r="N377" s="32" t="s">
        <v>920</v>
      </c>
      <c r="O377" s="32">
        <f ca="1">SUMIFS(Table3[Days with], Table3[Ref], Table2[[#This Row],[Ref]],Table3[Who With],"Legal")</f>
        <v>490</v>
      </c>
      <c r="P377" s="34">
        <f>SUMIFS(Table3[Total Cycle Time],Table3[Ref],Table2[[#This Row],[Ref]])</f>
        <v>0</v>
      </c>
    </row>
    <row r="378" spans="1:16" hidden="1" x14ac:dyDescent="0.25">
      <c r="A378" s="39" t="str">
        <f>IF(Table2[[#This Row],[Date Received]]="","",_xlfn.CONCAT(Table2[[#This Row],[Counterparty]]," - ",Table2[[#This Row],[Contract Name]]))</f>
        <v>Virbac - Sponsorship Agreement</v>
      </c>
      <c r="B378" s="33">
        <v>45246</v>
      </c>
      <c r="C378" s="32" t="s">
        <v>11</v>
      </c>
      <c r="D378" s="32" t="s">
        <v>378</v>
      </c>
      <c r="E378" s="32" t="s">
        <v>13</v>
      </c>
      <c r="F378" s="32" t="s">
        <v>16</v>
      </c>
      <c r="G378" s="32" t="s">
        <v>30</v>
      </c>
      <c r="H378" s="32" t="s">
        <v>15</v>
      </c>
      <c r="I378" s="32" t="s">
        <v>234</v>
      </c>
      <c r="J378" s="32" t="s">
        <v>921</v>
      </c>
      <c r="K378" s="32" t="s">
        <v>442</v>
      </c>
      <c r="L378" s="32" t="s">
        <v>169</v>
      </c>
      <c r="M378" s="32" t="str">
        <f>IF(Table2[[#This Row],[Stage]]="Closed","Closed","Open")</f>
        <v>Closed</v>
      </c>
      <c r="N378" s="32" t="s">
        <v>922</v>
      </c>
      <c r="O378" s="32">
        <f ca="1">SUMIFS(Table3[Days with], Table3[Ref], Table2[[#This Row],[Ref]],Table3[Who With],"Legal")</f>
        <v>22</v>
      </c>
      <c r="P378" s="34">
        <f>SUMIFS(Table3[Total Cycle Time],Table3[Ref],Table2[[#This Row],[Ref]])</f>
        <v>22</v>
      </c>
    </row>
    <row r="379" spans="1:16" hidden="1" x14ac:dyDescent="0.25">
      <c r="A379" s="39" t="str">
        <f>IF(Table2[[#This Row],[Date Received]]="","",_xlfn.CONCAT(Table2[[#This Row],[Counterparty]]," - ",Table2[[#This Row],[Contract Name]]))</f>
        <v xml:space="preserve">Experian - Services Contract </v>
      </c>
      <c r="B379" s="33">
        <v>45250</v>
      </c>
      <c r="C379" s="32" t="s">
        <v>11</v>
      </c>
      <c r="D379" s="32" t="s">
        <v>917</v>
      </c>
      <c r="E379" s="32"/>
      <c r="F379" s="32" t="s">
        <v>12</v>
      </c>
      <c r="G379" s="32" t="s">
        <v>30</v>
      </c>
      <c r="H379" s="32" t="s">
        <v>15</v>
      </c>
      <c r="I379" s="32" t="s">
        <v>918</v>
      </c>
      <c r="J379" s="32" t="s">
        <v>772</v>
      </c>
      <c r="K379" s="32" t="s">
        <v>12</v>
      </c>
      <c r="L379" s="32" t="s">
        <v>169</v>
      </c>
      <c r="M379" s="32" t="str">
        <f>IF(Table2[[#This Row],[Stage]]="Closed","Closed","Open")</f>
        <v>Closed</v>
      </c>
      <c r="N379" s="32" t="s">
        <v>453</v>
      </c>
      <c r="O379" s="32">
        <f ca="1">SUMIFS(Table3[Days with], Table3[Ref], Table2[[#This Row],[Ref]],Table3[Who With],"Legal")</f>
        <v>53</v>
      </c>
      <c r="P379" s="34">
        <f>SUMIFS(Table3[Total Cycle Time],Table3[Ref],Table2[[#This Row],[Ref]])</f>
        <v>53</v>
      </c>
    </row>
    <row r="380" spans="1:16" hidden="1" x14ac:dyDescent="0.25">
      <c r="A380" s="39" t="str">
        <f>IF(Table2[[#This Row],[Date Received]]="","",_xlfn.CONCAT(Table2[[#This Row],[Counterparty]]," - ",Table2[[#This Row],[Contract Name]]))</f>
        <v>BlueVenn - Services Contract</v>
      </c>
      <c r="B380" s="33">
        <v>45253</v>
      </c>
      <c r="C380" s="32" t="s">
        <v>11</v>
      </c>
      <c r="D380" s="32" t="s">
        <v>474</v>
      </c>
      <c r="E380" s="32"/>
      <c r="F380" s="32" t="s">
        <v>12</v>
      </c>
      <c r="G380" s="32" t="s">
        <v>233</v>
      </c>
      <c r="H380" s="32" t="s">
        <v>15</v>
      </c>
      <c r="I380" s="32" t="s">
        <v>71</v>
      </c>
      <c r="J380" s="32" t="s">
        <v>53</v>
      </c>
      <c r="K380" s="32" t="s">
        <v>12</v>
      </c>
      <c r="L380" s="32" t="s">
        <v>169</v>
      </c>
      <c r="M380" s="32" t="str">
        <f>IF(Table2[[#This Row],[Stage]]="Closed","Closed","Open")</f>
        <v>Closed</v>
      </c>
      <c r="N380" s="32" t="s">
        <v>412</v>
      </c>
      <c r="O380" s="32">
        <f ca="1">SUMIFS(Table3[Days with], Table3[Ref], Table2[[#This Row],[Ref]],Table3[Who With],"Legal")</f>
        <v>5</v>
      </c>
      <c r="P380" s="34">
        <f>SUMIFS(Table3[Total Cycle Time],Table3[Ref],Table2[[#This Row],[Ref]])</f>
        <v>5</v>
      </c>
    </row>
    <row r="381" spans="1:16" hidden="1" x14ac:dyDescent="0.25">
      <c r="A381" s="39" t="str">
        <f>IF(Table2[[#This Row],[Date Received]]="","",_xlfn.CONCAT(Table2[[#This Row],[Counterparty]]," - ",Table2[[#This Row],[Contract Name]]))</f>
        <v>Allstar - Collateral Contract</v>
      </c>
      <c r="B381" s="33">
        <v>45253</v>
      </c>
      <c r="C381" s="32" t="s">
        <v>11</v>
      </c>
      <c r="D381" s="32" t="s">
        <v>904</v>
      </c>
      <c r="E381" s="32"/>
      <c r="F381" s="32" t="s">
        <v>12</v>
      </c>
      <c r="G381" s="32" t="s">
        <v>36</v>
      </c>
      <c r="H381" s="32" t="s">
        <v>15</v>
      </c>
      <c r="I381" s="32" t="s">
        <v>905</v>
      </c>
      <c r="J381" s="32" t="s">
        <v>719</v>
      </c>
      <c r="K381" s="32" t="s">
        <v>59</v>
      </c>
      <c r="L381" s="32" t="s">
        <v>169</v>
      </c>
      <c r="M381" s="32" t="str">
        <f>IF(Table2[[#This Row],[Stage]]="Closed","Closed","Open")</f>
        <v>Closed</v>
      </c>
      <c r="N381" s="32" t="s">
        <v>453</v>
      </c>
      <c r="O381" s="32">
        <f ca="1">SUMIFS(Table3[Days with], Table3[Ref], Table2[[#This Row],[Ref]],Table3[Who With],"Legal")</f>
        <v>11</v>
      </c>
      <c r="P381" s="34">
        <f>SUMIFS(Table3[Total Cycle Time],Table3[Ref],Table2[[#This Row],[Ref]])</f>
        <v>11</v>
      </c>
    </row>
    <row r="382" spans="1:16" hidden="1" x14ac:dyDescent="0.25">
      <c r="A382" s="39" t="str">
        <f>IF(Table2[[#This Row],[Date Received]]="","",_xlfn.CONCAT(Table2[[#This Row],[Counterparty]]," - ",Table2[[#This Row],[Contract Name]]))</f>
        <v>Chant - Settlement Agreement</v>
      </c>
      <c r="B382" s="33">
        <v>45253</v>
      </c>
      <c r="C382" s="32" t="s">
        <v>11</v>
      </c>
      <c r="D382" s="32" t="s">
        <v>908</v>
      </c>
      <c r="E382" s="32"/>
      <c r="F382" s="32" t="s">
        <v>12</v>
      </c>
      <c r="G382" s="32" t="s">
        <v>30</v>
      </c>
      <c r="H382" s="32" t="s">
        <v>15</v>
      </c>
      <c r="I382" s="32" t="s">
        <v>519</v>
      </c>
      <c r="J382" s="32" t="s">
        <v>909</v>
      </c>
      <c r="K382" s="32" t="s">
        <v>12</v>
      </c>
      <c r="L382" s="32" t="s">
        <v>169</v>
      </c>
      <c r="M382" s="32" t="str">
        <f>IF(Table2[[#This Row],[Stage]]="Closed","Closed","Open")</f>
        <v>Closed</v>
      </c>
      <c r="N382" s="32" t="s">
        <v>453</v>
      </c>
      <c r="O382" s="32">
        <f ca="1">SUMIFS(Table3[Days with], Table3[Ref], Table2[[#This Row],[Ref]],Table3[Who With],"Legal")</f>
        <v>27</v>
      </c>
      <c r="P382" s="34">
        <f>SUMIFS(Table3[Total Cycle Time],Table3[Ref],Table2[[#This Row],[Ref]])</f>
        <v>27</v>
      </c>
    </row>
    <row r="383" spans="1:16" hidden="1" x14ac:dyDescent="0.25">
      <c r="A383" s="39" t="str">
        <f>IF(Table2[[#This Row],[Date Received]]="","",_xlfn.CONCAT(Table2[[#This Row],[Counterparty]]," - ",Table2[[#This Row],[Contract Name]]))</f>
        <v xml:space="preserve">Suntera Trustees (Jersey) Limited - Surrender </v>
      </c>
      <c r="B383" s="33">
        <v>45253</v>
      </c>
      <c r="C383" s="32" t="s">
        <v>11</v>
      </c>
      <c r="D383" s="32" t="s">
        <v>910</v>
      </c>
      <c r="E383" s="32" t="s">
        <v>911</v>
      </c>
      <c r="F383" s="32" t="s">
        <v>12</v>
      </c>
      <c r="G383" s="32" t="s">
        <v>455</v>
      </c>
      <c r="H383" s="32" t="s">
        <v>15</v>
      </c>
      <c r="I383" s="32" t="s">
        <v>912</v>
      </c>
      <c r="J383" s="32" t="s">
        <v>837</v>
      </c>
      <c r="K383" s="32" t="s">
        <v>12</v>
      </c>
      <c r="L383" s="32" t="s">
        <v>169</v>
      </c>
      <c r="M383" s="32" t="str">
        <f>IF(Table2[[#This Row],[Stage]]="Closed","Closed","Open")</f>
        <v>Closed</v>
      </c>
      <c r="N383" s="32" t="s">
        <v>412</v>
      </c>
      <c r="O383" s="32">
        <f ca="1">SUMIFS(Table3[Days with], Table3[Ref], Table2[[#This Row],[Ref]],Table3[Who With],"Legal")</f>
        <v>27</v>
      </c>
      <c r="P383" s="34">
        <f>SUMIFS(Table3[Total Cycle Time],Table3[Ref],Table2[[#This Row],[Ref]])</f>
        <v>27</v>
      </c>
    </row>
    <row r="384" spans="1:16" hidden="1" x14ac:dyDescent="0.25">
      <c r="A384" s="39" t="str">
        <f>IF(Table2[[#This Row],[Date Received]]="","",_xlfn.CONCAT(Table2[[#This Row],[Counterparty]]," - ",Table2[[#This Row],[Contract Name]]))</f>
        <v xml:space="preserve">B &amp; J Properties (Harrogate) LimitedHarrogate - Surrender </v>
      </c>
      <c r="B384" s="33">
        <v>45253</v>
      </c>
      <c r="C384" s="32" t="s">
        <v>11</v>
      </c>
      <c r="D384" s="32" t="s">
        <v>913</v>
      </c>
      <c r="E384" s="32"/>
      <c r="F384" s="32" t="s">
        <v>12</v>
      </c>
      <c r="G384" s="32" t="s">
        <v>455</v>
      </c>
      <c r="H384" s="32" t="s">
        <v>15</v>
      </c>
      <c r="I384" s="32" t="s">
        <v>912</v>
      </c>
      <c r="J384" s="32" t="s">
        <v>837</v>
      </c>
      <c r="K384" s="32" t="s">
        <v>12</v>
      </c>
      <c r="L384" s="32" t="s">
        <v>169</v>
      </c>
      <c r="M384" s="32" t="str">
        <f>IF(Table2[[#This Row],[Stage]]="Closed","Closed","Open")</f>
        <v>Closed</v>
      </c>
      <c r="N384" s="32" t="s">
        <v>412</v>
      </c>
      <c r="O384" s="32">
        <f ca="1">SUMIFS(Table3[Days with], Table3[Ref], Table2[[#This Row],[Ref]],Table3[Who With],"Legal")</f>
        <v>27</v>
      </c>
      <c r="P384" s="34">
        <f>SUMIFS(Table3[Total Cycle Time],Table3[Ref],Table2[[#This Row],[Ref]])</f>
        <v>27</v>
      </c>
    </row>
    <row r="385" spans="1:16" hidden="1" x14ac:dyDescent="0.25">
      <c r="A385" s="39" t="str">
        <f>IF(Table2[[#This Row],[Date Received]]="","",_xlfn.CONCAT(Table2[[#This Row],[Counterparty]]," - ",Table2[[#This Row],[Contract Name]]))</f>
        <v>Stark Connect Limited - Services Contract</v>
      </c>
      <c r="B385" s="33">
        <v>45253</v>
      </c>
      <c r="C385" s="32" t="s">
        <v>11</v>
      </c>
      <c r="D385" s="32" t="s">
        <v>970</v>
      </c>
      <c r="E385" s="32"/>
      <c r="F385" s="32" t="s">
        <v>12</v>
      </c>
      <c r="G385" s="32" t="s">
        <v>36</v>
      </c>
      <c r="H385" s="32" t="s">
        <v>15</v>
      </c>
      <c r="I385" s="32" t="s">
        <v>71</v>
      </c>
      <c r="J385" s="32" t="s">
        <v>74</v>
      </c>
      <c r="K385" s="32" t="s">
        <v>348</v>
      </c>
      <c r="L385" s="32" t="s">
        <v>169</v>
      </c>
      <c r="M385" s="32" t="str">
        <f>IF(Table2[[#This Row],[Stage]]="Closed","Closed","Open")</f>
        <v>Closed</v>
      </c>
      <c r="N385" s="32" t="s">
        <v>531</v>
      </c>
      <c r="O385" s="32">
        <f ca="1">SUMIFS(Table3[Days with], Table3[Ref], Table2[[#This Row],[Ref]],Table3[Who With],"Legal")</f>
        <v>102</v>
      </c>
      <c r="P385" s="34">
        <f>SUMIFS(Table3[Total Cycle Time],Table3[Ref],Table2[[#This Row],[Ref]])</f>
        <v>102</v>
      </c>
    </row>
    <row r="386" spans="1:16" hidden="1" x14ac:dyDescent="0.25">
      <c r="A386" s="39" t="str">
        <f>IF(Table2[[#This Row],[Date Received]]="","",_xlfn.CONCAT(Table2[[#This Row],[Counterparty]]," - ",Table2[[#This Row],[Contract Name]]))</f>
        <v>Linneaus - OOH Agreement</v>
      </c>
      <c r="B386" s="33">
        <v>45264</v>
      </c>
      <c r="C386" s="32" t="s">
        <v>11</v>
      </c>
      <c r="D386" s="32" t="s">
        <v>546</v>
      </c>
      <c r="E386" s="32" t="s">
        <v>923</v>
      </c>
      <c r="F386" s="32" t="s">
        <v>16</v>
      </c>
      <c r="G386" s="32" t="s">
        <v>36</v>
      </c>
      <c r="H386" s="32" t="s">
        <v>15</v>
      </c>
      <c r="I386" s="32" t="s">
        <v>276</v>
      </c>
      <c r="J386" s="32" t="s">
        <v>924</v>
      </c>
      <c r="K386" s="32" t="s">
        <v>924</v>
      </c>
      <c r="L386" s="32" t="s">
        <v>169</v>
      </c>
      <c r="M386" s="32" t="str">
        <f>IF(Table2[[#This Row],[Stage]]="Closed","Closed","Open")</f>
        <v>Closed</v>
      </c>
      <c r="N386" s="32" t="s">
        <v>925</v>
      </c>
      <c r="O386" s="32">
        <f ca="1">SUMIFS(Table3[Days with], Table3[Ref], Table2[[#This Row],[Ref]],Table3[Who With],"Legal")</f>
        <v>49</v>
      </c>
      <c r="P386" s="34">
        <f>SUMIFS(Table3[Total Cycle Time],Table3[Ref],Table2[[#This Row],[Ref]])</f>
        <v>49</v>
      </c>
    </row>
    <row r="387" spans="1:16" hidden="1" x14ac:dyDescent="0.25">
      <c r="A387" s="39" t="str">
        <f>IF(Table2[[#This Row],[Date Received]]="","",_xlfn.CONCAT(Table2[[#This Row],[Counterparty]]," - ",Table2[[#This Row],[Contract Name]]))</f>
        <v>Humm - Services Contract</v>
      </c>
      <c r="B387" s="33">
        <v>45267</v>
      </c>
      <c r="C387" s="32" t="s">
        <v>11</v>
      </c>
      <c r="D387" s="32" t="s">
        <v>115</v>
      </c>
      <c r="E387" s="32"/>
      <c r="F387" s="32" t="s">
        <v>12</v>
      </c>
      <c r="G387" s="32" t="s">
        <v>36</v>
      </c>
      <c r="H387" s="32" t="s">
        <v>15</v>
      </c>
      <c r="I387" s="32" t="s">
        <v>71</v>
      </c>
      <c r="J387" s="32" t="s">
        <v>47</v>
      </c>
      <c r="K387" s="32" t="s">
        <v>24</v>
      </c>
      <c r="L387" s="32"/>
      <c r="M387" s="32" t="str">
        <f>IF(Table2[[#This Row],[Stage]]="Closed","Closed","Open")</f>
        <v>Open</v>
      </c>
      <c r="N387" s="32" t="s">
        <v>116</v>
      </c>
      <c r="O387" s="32">
        <f>SUMIFS(Table3[Days with], Table3[Ref], Table2[[#This Row],[Ref]],Table3[Who With],"Legal")</f>
        <v>0</v>
      </c>
      <c r="P387" s="34">
        <f>SUMIFS(Table3[Total Cycle Time],Table3[Ref],Table2[[#This Row],[Ref]])</f>
        <v>0</v>
      </c>
    </row>
    <row r="388" spans="1:16" hidden="1" x14ac:dyDescent="0.25">
      <c r="A388" s="39" t="str">
        <f>IF(Table2[[#This Row],[Date Received]]="","",_xlfn.CONCAT(Table2[[#This Row],[Counterparty]]," - ",Table2[[#This Row],[Contract Name]]))</f>
        <v>Hilton Garden Inn - Event Venue Hire Contract</v>
      </c>
      <c r="B388" s="33">
        <v>45272</v>
      </c>
      <c r="C388" s="32" t="s">
        <v>11</v>
      </c>
      <c r="D388" s="32" t="s">
        <v>933</v>
      </c>
      <c r="E388" s="32" t="s">
        <v>13</v>
      </c>
      <c r="F388" s="32" t="s">
        <v>16</v>
      </c>
      <c r="G388" s="32" t="s">
        <v>30</v>
      </c>
      <c r="H388" s="32" t="s">
        <v>15</v>
      </c>
      <c r="I388" s="32" t="s">
        <v>934</v>
      </c>
      <c r="J388" s="32" t="s">
        <v>935</v>
      </c>
      <c r="K388" s="32" t="s">
        <v>935</v>
      </c>
      <c r="L388" s="32" t="s">
        <v>169</v>
      </c>
      <c r="M388" s="32" t="str">
        <f>IF(Table2[[#This Row],[Stage]]="Closed","Closed","Open")</f>
        <v>Closed</v>
      </c>
      <c r="N388" s="32" t="s">
        <v>936</v>
      </c>
      <c r="O388" s="32">
        <f ca="1">SUMIFS(Table3[Days with], Table3[Ref], Table2[[#This Row],[Ref]],Table3[Who With],"Legal")</f>
        <v>37</v>
      </c>
      <c r="P388" s="34">
        <f>SUMIFS(Table3[Total Cycle Time],Table3[Ref],Table2[[#This Row],[Ref]])</f>
        <v>37</v>
      </c>
    </row>
    <row r="389" spans="1:16" hidden="1" x14ac:dyDescent="0.25">
      <c r="A389" s="39" t="str">
        <f>IF(Table2[[#This Row],[Date Received]]="","",_xlfn.CONCAT(Table2[[#This Row],[Counterparty]]," - ",Table2[[#This Row],[Contract Name]]))</f>
        <v>Holiday Inn Garforth - Event Venue Hire Contract</v>
      </c>
      <c r="B389" s="33">
        <v>45272</v>
      </c>
      <c r="C389" s="32" t="s">
        <v>11</v>
      </c>
      <c r="D389" s="32" t="s">
        <v>937</v>
      </c>
      <c r="E389" s="32" t="s">
        <v>13</v>
      </c>
      <c r="F389" s="32" t="s">
        <v>16</v>
      </c>
      <c r="G389" s="32" t="s">
        <v>30</v>
      </c>
      <c r="H389" s="32" t="s">
        <v>15</v>
      </c>
      <c r="I389" s="32" t="s">
        <v>934</v>
      </c>
      <c r="J389" s="32" t="s">
        <v>935</v>
      </c>
      <c r="K389" s="32" t="s">
        <v>935</v>
      </c>
      <c r="L389" s="32" t="s">
        <v>169</v>
      </c>
      <c r="M389" s="32" t="str">
        <f>IF(Table2[[#This Row],[Stage]]="Closed","Closed","Open")</f>
        <v>Closed</v>
      </c>
      <c r="N389" s="32" t="s">
        <v>938</v>
      </c>
      <c r="O389" s="32">
        <f ca="1">SUMIFS(Table3[Days with], Table3[Ref], Table2[[#This Row],[Ref]],Table3[Who With],"Legal")</f>
        <v>37</v>
      </c>
      <c r="P389" s="34">
        <f>SUMIFS(Table3[Total Cycle Time],Table3[Ref],Table2[[#This Row],[Ref]])</f>
        <v>37</v>
      </c>
    </row>
    <row r="390" spans="1:16" hidden="1" x14ac:dyDescent="0.25">
      <c r="A390" s="39" t="str">
        <f>IF(Table2[[#This Row],[Date Received]]="","",_xlfn.CONCAT(Table2[[#This Row],[Counterparty]]," - ",Table2[[#This Row],[Contract Name]]))</f>
        <v>Top Employer - Services Contract</v>
      </c>
      <c r="B390" s="33">
        <v>45275</v>
      </c>
      <c r="C390" s="32" t="s">
        <v>11</v>
      </c>
      <c r="D390" s="32" t="s">
        <v>927</v>
      </c>
      <c r="E390" s="32"/>
      <c r="F390" s="32" t="s">
        <v>12</v>
      </c>
      <c r="G390" s="32" t="s">
        <v>30</v>
      </c>
      <c r="H390" s="32" t="s">
        <v>15</v>
      </c>
      <c r="I390" s="32" t="s">
        <v>71</v>
      </c>
      <c r="J390" s="32" t="s">
        <v>928</v>
      </c>
      <c r="K390" s="32" t="s">
        <v>59</v>
      </c>
      <c r="L390" s="32" t="s">
        <v>169</v>
      </c>
      <c r="M390" s="32" t="str">
        <f>IF(Table2[[#This Row],[Stage]]="Closed","Closed","Open")</f>
        <v>Closed</v>
      </c>
      <c r="N390" s="32" t="s">
        <v>929</v>
      </c>
      <c r="O390" s="32">
        <f ca="1">SUMIFS(Table3[Days with], Table3[Ref], Table2[[#This Row],[Ref]],Table3[Who With],"Legal")</f>
        <v>47</v>
      </c>
      <c r="P390" s="34">
        <f>SUMIFS(Table3[Total Cycle Time],Table3[Ref],Table2[[#This Row],[Ref]])</f>
        <v>47</v>
      </c>
    </row>
    <row r="391" spans="1:16" hidden="1" x14ac:dyDescent="0.25">
      <c r="A391" s="39" t="str">
        <f>IF(Table2[[#This Row],[Date Received]]="","",_xlfn.CONCAT(Table2[[#This Row],[Counterparty]]," - ",Table2[[#This Row],[Contract Name]]))</f>
        <v>Dogs Trust - Veterinary Services Agreement</v>
      </c>
      <c r="B391" s="33">
        <v>45278</v>
      </c>
      <c r="C391" s="32" t="s">
        <v>11</v>
      </c>
      <c r="D391" s="32" t="s">
        <v>939</v>
      </c>
      <c r="E391" s="32" t="s">
        <v>940</v>
      </c>
      <c r="F391" s="32" t="s">
        <v>16</v>
      </c>
      <c r="G391" s="32" t="s">
        <v>36</v>
      </c>
      <c r="H391" s="32" t="s">
        <v>17</v>
      </c>
      <c r="I391" s="32" t="s">
        <v>941</v>
      </c>
      <c r="J391" s="32" t="s">
        <v>503</v>
      </c>
      <c r="K391" s="32" t="s">
        <v>442</v>
      </c>
      <c r="L391" s="32" t="s">
        <v>169</v>
      </c>
      <c r="M391" s="32" t="str">
        <f>IF(Table2[[#This Row],[Stage]]="Closed","Closed","Open")</f>
        <v>Closed</v>
      </c>
      <c r="N391" s="32" t="s">
        <v>942</v>
      </c>
      <c r="O391" s="32">
        <f ca="1">SUMIFS(Table3[Days with], Table3[Ref], Table2[[#This Row],[Ref]],Table3[Who With],"Legal")</f>
        <v>45</v>
      </c>
      <c r="P391" s="34">
        <f>SUMIFS(Table3[Total Cycle Time],Table3[Ref],Table2[[#This Row],[Ref]])</f>
        <v>45</v>
      </c>
    </row>
    <row r="392" spans="1:16" hidden="1" x14ac:dyDescent="0.25">
      <c r="A392" s="39" t="str">
        <f>IF(Table2[[#This Row],[Date Received]]="","",_xlfn.CONCAT(Table2[[#This Row],[Counterparty]]," - ",Table2[[#This Row],[Contract Name]]))</f>
        <v>Npower - Utility contract</v>
      </c>
      <c r="B392" s="33">
        <v>45279</v>
      </c>
      <c r="C392" s="32" t="s">
        <v>11</v>
      </c>
      <c r="D392" s="32" t="s">
        <v>914</v>
      </c>
      <c r="E392" s="32"/>
      <c r="F392" s="32" t="s">
        <v>12</v>
      </c>
      <c r="G392" s="32" t="s">
        <v>14</v>
      </c>
      <c r="H392" s="32" t="s">
        <v>15</v>
      </c>
      <c r="I392" s="32" t="s">
        <v>68</v>
      </c>
      <c r="J392" s="32" t="s">
        <v>216</v>
      </c>
      <c r="K392" s="32" t="s">
        <v>12</v>
      </c>
      <c r="L392" s="32" t="s">
        <v>169</v>
      </c>
      <c r="M392" s="32" t="str">
        <f>IF(Table2[[#This Row],[Stage]]="Closed","Closed","Open")</f>
        <v>Closed</v>
      </c>
      <c r="N392" s="32" t="s">
        <v>441</v>
      </c>
      <c r="O392" s="32">
        <f ca="1">SUMIFS(Table3[Days with], Table3[Ref], Table2[[#This Row],[Ref]],Table3[Who With],"Legal")</f>
        <v>2</v>
      </c>
      <c r="P392" s="34">
        <f>SUMIFS(Table3[Total Cycle Time],Table3[Ref],Table2[[#This Row],[Ref]])</f>
        <v>2</v>
      </c>
    </row>
    <row r="393" spans="1:16" hidden="1" x14ac:dyDescent="0.25">
      <c r="A393" s="39" t="str">
        <f>IF(Table2[[#This Row],[Date Received]]="","",_xlfn.CONCAT(Table2[[#This Row],[Counterparty]]," - ",Table2[[#This Row],[Contract Name]]))</f>
        <v>Adaptix  - Services Contract</v>
      </c>
      <c r="B393" s="33">
        <v>45301</v>
      </c>
      <c r="C393" s="32" t="s">
        <v>11</v>
      </c>
      <c r="D393" s="32" t="s">
        <v>44</v>
      </c>
      <c r="E393" s="32"/>
      <c r="F393" s="32" t="s">
        <v>12</v>
      </c>
      <c r="G393" s="32" t="s">
        <v>36</v>
      </c>
      <c r="H393" s="32" t="s">
        <v>15</v>
      </c>
      <c r="I393" s="32" t="s">
        <v>71</v>
      </c>
      <c r="J393" s="32" t="s">
        <v>76</v>
      </c>
      <c r="K393" s="32" t="s">
        <v>348</v>
      </c>
      <c r="L393" s="32" t="s">
        <v>169</v>
      </c>
      <c r="M393" s="32" t="str">
        <f>IF(Table2[[#This Row],[Stage]]="Closed","Closed","Open")</f>
        <v>Closed</v>
      </c>
      <c r="N393" s="32" t="s">
        <v>453</v>
      </c>
      <c r="O393" s="32">
        <f ca="1">SUMIFS(Table3[Days with], Table3[Ref], Table2[[#This Row],[Ref]],Table3[Who With],"Legal")</f>
        <v>63</v>
      </c>
      <c r="P393" s="34">
        <f>SUMIFS(Table3[Total Cycle Time],Table3[Ref],Table2[[#This Row],[Ref]])</f>
        <v>63</v>
      </c>
    </row>
    <row r="394" spans="1:16" hidden="1" x14ac:dyDescent="0.25">
      <c r="A394" s="39" t="str">
        <f>IF(Table2[[#This Row],[Date Received]]="","",_xlfn.CONCAT(Table2[[#This Row],[Counterparty]]," - ",Table2[[#This Row],[Contract Name]]))</f>
        <v>Hilton - Forum booking contract</v>
      </c>
      <c r="B394" s="33">
        <v>45308</v>
      </c>
      <c r="C394" s="32" t="s">
        <v>11</v>
      </c>
      <c r="D394" s="32" t="s">
        <v>930</v>
      </c>
      <c r="E394" s="32"/>
      <c r="F394" s="32" t="s">
        <v>12</v>
      </c>
      <c r="G394" s="32" t="s">
        <v>36</v>
      </c>
      <c r="H394" s="32" t="s">
        <v>15</v>
      </c>
      <c r="I394" s="32" t="s">
        <v>931</v>
      </c>
      <c r="J394" s="32" t="s">
        <v>932</v>
      </c>
      <c r="K394" s="32" t="s">
        <v>59</v>
      </c>
      <c r="L394" s="32" t="s">
        <v>169</v>
      </c>
      <c r="M394" s="32" t="str">
        <f>IF(Table2[[#This Row],[Stage]]="Closed","Closed","Open")</f>
        <v>Closed</v>
      </c>
      <c r="N394" s="32" t="s">
        <v>453</v>
      </c>
      <c r="O394" s="32">
        <f ca="1">SUMIFS(Table3[Days with], Table3[Ref], Table2[[#This Row],[Ref]],Table3[Who With],"Legal")</f>
        <v>14</v>
      </c>
      <c r="P394" s="34">
        <f>SUMIFS(Table3[Total Cycle Time],Table3[Ref],Table2[[#This Row],[Ref]])</f>
        <v>14</v>
      </c>
    </row>
    <row r="395" spans="1:16" x14ac:dyDescent="0.25">
      <c r="A395" s="39" t="str">
        <f>IF(Table2[[#This Row],[Date Received]]="","",_xlfn.CONCAT(Table2[[#This Row],[Counterparty]]," - ",Table2[[#This Row],[Contract Name]]))</f>
        <v>Ladbrokes Betting &amp; Gaming Ltd - Services Agreement</v>
      </c>
      <c r="B395" s="33">
        <v>45313</v>
      </c>
      <c r="C395" s="32" t="s">
        <v>11</v>
      </c>
      <c r="D395" s="32" t="s">
        <v>79</v>
      </c>
      <c r="E395" s="32" t="s">
        <v>66</v>
      </c>
      <c r="F395" s="32" t="s">
        <v>16</v>
      </c>
      <c r="G395" s="32" t="s">
        <v>36</v>
      </c>
      <c r="H395" s="32" t="s">
        <v>15</v>
      </c>
      <c r="I395" s="32" t="s">
        <v>32</v>
      </c>
      <c r="J395" s="32" t="s">
        <v>80</v>
      </c>
      <c r="K395" s="32" t="s">
        <v>59</v>
      </c>
      <c r="L395" s="32" t="s">
        <v>167</v>
      </c>
      <c r="M395" s="32" t="str">
        <f>IF(Table2[[#This Row],[Stage]]="Closed","Closed","Open")</f>
        <v>Open</v>
      </c>
      <c r="N395" s="32" t="s">
        <v>81</v>
      </c>
      <c r="O395" s="32">
        <f ca="1">SUMIFS(Table3[Days with], Table3[Ref], Table2[[#This Row],[Ref]],Table3[Who With],"Legal")</f>
        <v>19</v>
      </c>
      <c r="P395" s="34">
        <f>SUMIFS(Table3[Total Cycle Time],Table3[Ref],Table2[[#This Row],[Ref]])</f>
        <v>0</v>
      </c>
    </row>
    <row r="396" spans="1:16" hidden="1" x14ac:dyDescent="0.25">
      <c r="A396" s="39" t="str">
        <f>IF(Table2[[#This Row],[Date Received]]="","",_xlfn.CONCAT(Table2[[#This Row],[Counterparty]]," - ",Table2[[#This Row],[Contract Name]]))</f>
        <v>Inspired Energy - Services Agreement 1</v>
      </c>
      <c r="B396" s="33">
        <v>45315</v>
      </c>
      <c r="C396" s="32" t="s">
        <v>11</v>
      </c>
      <c r="D396" s="32" t="s">
        <v>62</v>
      </c>
      <c r="E396" s="32" t="s">
        <v>13</v>
      </c>
      <c r="F396" s="32" t="s">
        <v>16</v>
      </c>
      <c r="G396" s="32" t="s">
        <v>14</v>
      </c>
      <c r="H396" s="32" t="s">
        <v>17</v>
      </c>
      <c r="I396" s="32" t="s">
        <v>1477</v>
      </c>
      <c r="J396" s="32" t="s">
        <v>216</v>
      </c>
      <c r="K396" s="32" t="s">
        <v>216</v>
      </c>
      <c r="L396" s="32" t="s">
        <v>169</v>
      </c>
      <c r="M396" s="32" t="str">
        <f>IF(Table2[[#This Row],[Stage]]="Closed","Closed","Open")</f>
        <v>Closed</v>
      </c>
      <c r="N396" s="32" t="s">
        <v>951</v>
      </c>
      <c r="O396" s="32">
        <f ca="1">SUMIFS(Table3[Days with], Table3[Ref], Table2[[#This Row],[Ref]],Table3[Who With],"Legal")</f>
        <v>8</v>
      </c>
      <c r="P396" s="34">
        <f>SUMIFS(Table3[Total Cycle Time],Table3[Ref],Table2[[#This Row],[Ref]])</f>
        <v>8</v>
      </c>
    </row>
    <row r="397" spans="1:16" hidden="1" x14ac:dyDescent="0.25">
      <c r="A397" s="39" t="str">
        <f>IF(Table2[[#This Row],[Date Received]]="","",_xlfn.CONCAT(Table2[[#This Row],[Counterparty]]," - ",Table2[[#This Row],[Contract Name]]))</f>
        <v>Darwin Smith - Agency Contract</v>
      </c>
      <c r="B397" s="33">
        <v>45315</v>
      </c>
      <c r="C397" s="32" t="s">
        <v>11</v>
      </c>
      <c r="D397" s="32" t="s">
        <v>119</v>
      </c>
      <c r="E397" s="32"/>
      <c r="F397" s="32" t="s">
        <v>12</v>
      </c>
      <c r="G397" s="32" t="s">
        <v>37</v>
      </c>
      <c r="H397" s="32" t="s">
        <v>17</v>
      </c>
      <c r="I397" s="32" t="s">
        <v>120</v>
      </c>
      <c r="J397" s="32" t="s">
        <v>38</v>
      </c>
      <c r="K397" s="32" t="s">
        <v>59</v>
      </c>
      <c r="L397" s="32"/>
      <c r="M397" s="32" t="str">
        <f>IF(Table2[[#This Row],[Stage]]="Closed","Closed","Open")</f>
        <v>Open</v>
      </c>
      <c r="N397" s="32" t="s">
        <v>112</v>
      </c>
      <c r="O397" s="32">
        <f>SUMIFS(Table3[Days with], Table3[Ref], Table2[[#This Row],[Ref]],Table3[Who With],"Legal")</f>
        <v>0</v>
      </c>
      <c r="P397" s="34">
        <f>SUMIFS(Table3[Total Cycle Time],Table3[Ref],Table2[[#This Row],[Ref]])</f>
        <v>0</v>
      </c>
    </row>
    <row r="398" spans="1:16" hidden="1" x14ac:dyDescent="0.25">
      <c r="A398" s="39" t="str">
        <f>IF(Table2[[#This Row],[Date Received]]="","",_xlfn.CONCAT(Table2[[#This Row],[Counterparty]]," - ",Table2[[#This Row],[Contract Name]]))</f>
        <v>Pet Blook Bank - Asset Purchase Agreement</v>
      </c>
      <c r="B398" s="33">
        <v>45317</v>
      </c>
      <c r="C398" s="32" t="s">
        <v>11</v>
      </c>
      <c r="D398" s="32" t="s">
        <v>966</v>
      </c>
      <c r="E398" s="32" t="s">
        <v>13</v>
      </c>
      <c r="F398" s="32" t="s">
        <v>12</v>
      </c>
      <c r="G398" s="32" t="s">
        <v>36</v>
      </c>
      <c r="H398" s="32" t="s">
        <v>15</v>
      </c>
      <c r="I398" s="32" t="s">
        <v>967</v>
      </c>
      <c r="J398" s="32" t="s">
        <v>968</v>
      </c>
      <c r="K398" s="32" t="s">
        <v>12</v>
      </c>
      <c r="L398" s="32" t="s">
        <v>169</v>
      </c>
      <c r="M398" s="32" t="str">
        <f>IF(Table2[[#This Row],[Stage]]="Closed","Closed","Open")</f>
        <v>Closed</v>
      </c>
      <c r="N398" s="32" t="s">
        <v>453</v>
      </c>
      <c r="O398" s="32">
        <f ca="1">SUMIFS(Table3[Days with], Table3[Ref], Table2[[#This Row],[Ref]],Table3[Who With],"Legal")</f>
        <v>35</v>
      </c>
      <c r="P398" s="34">
        <f>SUMIFS(Table3[Total Cycle Time],Table3[Ref],Table2[[#This Row],[Ref]])</f>
        <v>35</v>
      </c>
    </row>
    <row r="399" spans="1:16" hidden="1" x14ac:dyDescent="0.25">
      <c r="A399" s="39" t="str">
        <f>IF(Table2[[#This Row],[Date Received]]="","",_xlfn.CONCAT(Table2[[#This Row],[Counterparty]]," - ",Table2[[#This Row],[Contract Name]]))</f>
        <v>DAC - Services Agreement</v>
      </c>
      <c r="B399" s="33">
        <v>45320</v>
      </c>
      <c r="C399" s="32" t="s">
        <v>11</v>
      </c>
      <c r="D399" s="32" t="s">
        <v>902</v>
      </c>
      <c r="E399" s="32" t="s">
        <v>13</v>
      </c>
      <c r="F399" s="32" t="s">
        <v>12</v>
      </c>
      <c r="G399" s="32" t="s">
        <v>233</v>
      </c>
      <c r="H399" s="32" t="s">
        <v>17</v>
      </c>
      <c r="I399" s="32" t="s">
        <v>32</v>
      </c>
      <c r="J399" s="32" t="s">
        <v>47</v>
      </c>
      <c r="K399" s="32" t="s">
        <v>411</v>
      </c>
      <c r="L399" s="32" t="s">
        <v>169</v>
      </c>
      <c r="M399" s="32" t="str">
        <f>IF(Table2[[#This Row],[Stage]]="Closed","Closed","Open")</f>
        <v>Closed</v>
      </c>
      <c r="N399" s="32" t="s">
        <v>453</v>
      </c>
      <c r="O399" s="32">
        <f ca="1">SUMIFS(Table3[Days with], Table3[Ref], Table2[[#This Row],[Ref]],Table3[Who With],"Legal")</f>
        <v>107</v>
      </c>
      <c r="P399" s="34">
        <f>SUMIFS(Table3[Total Cycle Time],Table3[Ref],Table2[[#This Row],[Ref]])</f>
        <v>107</v>
      </c>
    </row>
    <row r="400" spans="1:16" hidden="1" x14ac:dyDescent="0.25">
      <c r="A400" s="39" t="str">
        <f>IF(Table2[[#This Row],[Date Received]]="","",_xlfn.CONCAT(Table2[[#This Row],[Counterparty]]," - ",Table2[[#This Row],[Contract Name]]))</f>
        <v>BlueVenn - Services Agreement</v>
      </c>
      <c r="B400" s="33">
        <v>45320</v>
      </c>
      <c r="C400" s="32" t="s">
        <v>11</v>
      </c>
      <c r="D400" s="32" t="s">
        <v>474</v>
      </c>
      <c r="E400" s="32" t="s">
        <v>13</v>
      </c>
      <c r="F400" s="32" t="s">
        <v>12</v>
      </c>
      <c r="G400" s="32" t="s">
        <v>233</v>
      </c>
      <c r="H400" s="32" t="s">
        <v>17</v>
      </c>
      <c r="I400" s="32" t="s">
        <v>32</v>
      </c>
      <c r="J400" s="32" t="s">
        <v>53</v>
      </c>
      <c r="K400" s="32" t="s">
        <v>53</v>
      </c>
      <c r="L400" s="32" t="s">
        <v>169</v>
      </c>
      <c r="M400" s="32" t="str">
        <f>IF(Table2[[#This Row],[Stage]]="Closed","Closed","Open")</f>
        <v>Closed</v>
      </c>
      <c r="N400" s="32" t="s">
        <v>645</v>
      </c>
      <c r="O400" s="32">
        <f ca="1">SUMIFS(Table3[Days with], Table3[Ref], Table2[[#This Row],[Ref]],Table3[Who With],"Legal")</f>
        <v>9</v>
      </c>
      <c r="P400" s="34">
        <f>SUMIFS(Table3[Total Cycle Time],Table3[Ref],Table2[[#This Row],[Ref]])</f>
        <v>9</v>
      </c>
    </row>
    <row r="401" spans="1:16" hidden="1" x14ac:dyDescent="0.25">
      <c r="A401" s="39" t="str">
        <f>IF(Table2[[#This Row],[Date Received]]="","",_xlfn.CONCAT(Table2[[#This Row],[Counterparty]]," - ",Table2[[#This Row],[Contract Name]]))</f>
        <v>Ernst Young - Confidentiality Agreement</v>
      </c>
      <c r="B401" s="33">
        <v>45320</v>
      </c>
      <c r="C401" s="32" t="s">
        <v>11</v>
      </c>
      <c r="D401" s="32" t="s">
        <v>955</v>
      </c>
      <c r="E401" s="32" t="s">
        <v>13</v>
      </c>
      <c r="F401" s="32" t="s">
        <v>16</v>
      </c>
      <c r="G401" s="32" t="s">
        <v>30</v>
      </c>
      <c r="H401" s="32" t="s">
        <v>17</v>
      </c>
      <c r="I401" s="32" t="s">
        <v>956</v>
      </c>
      <c r="J401" s="32" t="s">
        <v>758</v>
      </c>
      <c r="K401" s="32" t="s">
        <v>357</v>
      </c>
      <c r="L401" s="32" t="s">
        <v>169</v>
      </c>
      <c r="M401" s="32" t="str">
        <f>IF(Table2[[#This Row],[Stage]]="Closed","Closed","Open")</f>
        <v>Closed</v>
      </c>
      <c r="N401" s="32" t="s">
        <v>957</v>
      </c>
      <c r="O401" s="32">
        <f ca="1">SUMIFS(Table3[Days with], Table3[Ref], Table2[[#This Row],[Ref]],Table3[Who With],"Legal")</f>
        <v>4</v>
      </c>
      <c r="P401" s="34">
        <f>SUMIFS(Table3[Total Cycle Time],Table3[Ref],Table2[[#This Row],[Ref]])</f>
        <v>4</v>
      </c>
    </row>
    <row r="402" spans="1:16" hidden="1" x14ac:dyDescent="0.25">
      <c r="A402" s="39" t="str">
        <f>IF(Table2[[#This Row],[Date Received]]="","",_xlfn.CONCAT(Table2[[#This Row],[Counterparty]]," - ",Table2[[#This Row],[Contract Name]]))</f>
        <v>Marshalls Vehicles - Trial Agreement</v>
      </c>
      <c r="B402" s="33">
        <v>45322</v>
      </c>
      <c r="C402" s="32" t="s">
        <v>11</v>
      </c>
      <c r="D402" s="32" t="s">
        <v>960</v>
      </c>
      <c r="E402" s="32" t="s">
        <v>13</v>
      </c>
      <c r="F402" s="32" t="s">
        <v>16</v>
      </c>
      <c r="G402" s="32" t="s">
        <v>30</v>
      </c>
      <c r="H402" s="32" t="s">
        <v>17</v>
      </c>
      <c r="I402" s="32" t="s">
        <v>961</v>
      </c>
      <c r="J402" s="32" t="s">
        <v>962</v>
      </c>
      <c r="K402" s="32" t="s">
        <v>962</v>
      </c>
      <c r="L402" s="32" t="s">
        <v>169</v>
      </c>
      <c r="M402" s="32" t="str">
        <f>IF(Table2[[#This Row],[Stage]]="Closed","Closed","Open")</f>
        <v>Closed</v>
      </c>
      <c r="N402" s="32" t="s">
        <v>963</v>
      </c>
      <c r="O402" s="32">
        <f ca="1">SUMIFS(Table3[Days with], Table3[Ref], Table2[[#This Row],[Ref]],Table3[Who With],"Legal")</f>
        <v>1</v>
      </c>
      <c r="P402" s="34">
        <f>SUMIFS(Table3[Total Cycle Time],Table3[Ref],Table2[[#This Row],[Ref]])</f>
        <v>1</v>
      </c>
    </row>
    <row r="403" spans="1:16" hidden="1" x14ac:dyDescent="0.25">
      <c r="A403" s="39" t="str">
        <f>IF(Table2[[#This Row],[Date Received]]="","",_xlfn.CONCAT(Table2[[#This Row],[Counterparty]]," - ",Table2[[#This Row],[Contract Name]]))</f>
        <v>CACI  - SaaS contract</v>
      </c>
      <c r="B403" s="33">
        <v>45328</v>
      </c>
      <c r="C403" s="32" t="s">
        <v>11</v>
      </c>
      <c r="D403" s="32" t="s">
        <v>52</v>
      </c>
      <c r="E403" s="32" t="s">
        <v>13</v>
      </c>
      <c r="F403" s="32" t="s">
        <v>12</v>
      </c>
      <c r="G403" s="32" t="s">
        <v>36</v>
      </c>
      <c r="H403" s="32" t="s">
        <v>17</v>
      </c>
      <c r="I403" s="32" t="s">
        <v>60</v>
      </c>
      <c r="J403" s="32" t="s">
        <v>53</v>
      </c>
      <c r="K403" s="32" t="s">
        <v>8</v>
      </c>
      <c r="L403" s="32"/>
      <c r="M403" s="32" t="str">
        <f>IF(Table2[[#This Row],[Stage]]="Closed","Closed","Open")</f>
        <v>Open</v>
      </c>
      <c r="N403" s="32" t="s">
        <v>121</v>
      </c>
      <c r="O403" s="32">
        <f>SUMIFS(Table3[Days with], Table3[Ref], Table2[[#This Row],[Ref]],Table3[Who With],"Legal")</f>
        <v>0</v>
      </c>
      <c r="P403" s="34">
        <f>SUMIFS(Table3[Total Cycle Time],Table3[Ref],Table2[[#This Row],[Ref]])</f>
        <v>0</v>
      </c>
    </row>
    <row r="404" spans="1:16" hidden="1" x14ac:dyDescent="0.25">
      <c r="A404" s="39" t="str">
        <f>IF(Table2[[#This Row],[Date Received]]="","",_xlfn.CONCAT(Table2[[#This Row],[Counterparty]]," - ",Table2[[#This Row],[Contract Name]]))</f>
        <v>Engage - Data Processing Agreement</v>
      </c>
      <c r="B404" s="33">
        <v>45329</v>
      </c>
      <c r="C404" s="32" t="s">
        <v>11</v>
      </c>
      <c r="D404" s="32" t="s">
        <v>964</v>
      </c>
      <c r="E404" s="32" t="s">
        <v>13</v>
      </c>
      <c r="F404" s="32" t="s">
        <v>16</v>
      </c>
      <c r="G404" s="32" t="s">
        <v>30</v>
      </c>
      <c r="H404" s="32" t="s">
        <v>15</v>
      </c>
      <c r="I404" s="32" t="s">
        <v>209</v>
      </c>
      <c r="J404" s="32" t="s">
        <v>83</v>
      </c>
      <c r="K404" s="32" t="s">
        <v>59</v>
      </c>
      <c r="L404" s="32" t="s">
        <v>169</v>
      </c>
      <c r="M404" s="32" t="str">
        <f>IF(Table2[[#This Row],[Stage]]="Closed","Closed","Open")</f>
        <v>Closed</v>
      </c>
      <c r="N404" s="32" t="s">
        <v>965</v>
      </c>
      <c r="O404" s="32">
        <f ca="1">SUMIFS(Table3[Days with], Table3[Ref], Table2[[#This Row],[Ref]],Table3[Who With],"Legal")</f>
        <v>1</v>
      </c>
      <c r="P404" s="34">
        <f>SUMIFS(Table3[Total Cycle Time],Table3[Ref],Table2[[#This Row],[Ref]])</f>
        <v>1</v>
      </c>
    </row>
    <row r="405" spans="1:16" hidden="1" x14ac:dyDescent="0.25">
      <c r="A405" s="39" t="str">
        <f>IF(Table2[[#This Row],[Date Received]]="","",_xlfn.CONCAT(Table2[[#This Row],[Counterparty]]," - ",Table2[[#This Row],[Contract Name]]))</f>
        <v>Vu - Consultancy Agreement</v>
      </c>
      <c r="B405" s="33">
        <v>45329</v>
      </c>
      <c r="C405" s="32" t="s">
        <v>11</v>
      </c>
      <c r="D405" s="32" t="s">
        <v>572</v>
      </c>
      <c r="E405" s="32" t="s">
        <v>13</v>
      </c>
      <c r="F405" s="32" t="s">
        <v>12</v>
      </c>
      <c r="G405" s="32" t="s">
        <v>34</v>
      </c>
      <c r="H405" s="32" t="s">
        <v>15</v>
      </c>
      <c r="I405" s="32" t="s">
        <v>41</v>
      </c>
      <c r="J405" s="32" t="s">
        <v>35</v>
      </c>
      <c r="K405" s="32" t="s">
        <v>35</v>
      </c>
      <c r="L405" s="32" t="s">
        <v>169</v>
      </c>
      <c r="M405" s="32" t="str">
        <f>IF(Table2[[#This Row],[Stage]]="Closed","Closed","Open")</f>
        <v>Closed</v>
      </c>
      <c r="N405" s="32" t="s">
        <v>69</v>
      </c>
      <c r="O405" s="32">
        <f ca="1">SUMIFS(Table3[Days with], Table3[Ref], Table2[[#This Row],[Ref]],Table3[Who With],"Legal")</f>
        <v>406</v>
      </c>
      <c r="P405" s="34">
        <f>SUMIFS(Table3[Total Cycle Time],Table3[Ref],Table2[[#This Row],[Ref]])</f>
        <v>0</v>
      </c>
    </row>
    <row r="406" spans="1:16" hidden="1" x14ac:dyDescent="0.25">
      <c r="A406" s="39" t="str">
        <f>IF(Table2[[#This Row],[Date Received]]="","",_xlfn.CONCAT(Table2[[#This Row],[Counterparty]]," - ",Table2[[#This Row],[Contract Name]]))</f>
        <v>Advance PM Ltd - Construction Contract</v>
      </c>
      <c r="B406" s="33">
        <v>45330</v>
      </c>
      <c r="C406" s="32" t="s">
        <v>11</v>
      </c>
      <c r="D406" s="32" t="s">
        <v>804</v>
      </c>
      <c r="E406" s="32" t="s">
        <v>971</v>
      </c>
      <c r="F406" s="32" t="s">
        <v>12</v>
      </c>
      <c r="G406" s="32" t="s">
        <v>455</v>
      </c>
      <c r="H406" s="32" t="s">
        <v>17</v>
      </c>
      <c r="I406" s="32" t="s">
        <v>806</v>
      </c>
      <c r="J406" s="32" t="s">
        <v>487</v>
      </c>
      <c r="K406" s="32" t="s">
        <v>59</v>
      </c>
      <c r="L406" s="32" t="s">
        <v>169</v>
      </c>
      <c r="M406" s="32" t="str">
        <f>IF(Table2[[#This Row],[Stage]]="Closed","Closed","Open")</f>
        <v>Closed</v>
      </c>
      <c r="N406" s="32" t="s">
        <v>453</v>
      </c>
      <c r="O406" s="32">
        <f ca="1">SUMIFS(Table3[Days with], Table3[Ref], Table2[[#This Row],[Ref]],Table3[Who With],"Legal")</f>
        <v>25</v>
      </c>
      <c r="P406" s="34">
        <f>SUMIFS(Table3[Total Cycle Time],Table3[Ref],Table2[[#This Row],[Ref]])</f>
        <v>25</v>
      </c>
    </row>
    <row r="407" spans="1:16" x14ac:dyDescent="0.25">
      <c r="A407" s="39" t="str">
        <f>IF(Table2[[#This Row],[Date Received]]="","",_xlfn.CONCAT(Table2[[#This Row],[Counterparty]]," - ",Table2[[#This Row],[Contract Name]]))</f>
        <v>Cats Protection - DPA</v>
      </c>
      <c r="B407" s="33">
        <v>45334</v>
      </c>
      <c r="C407" s="32" t="s">
        <v>11</v>
      </c>
      <c r="D407" s="32" t="s">
        <v>84</v>
      </c>
      <c r="E407" s="32"/>
      <c r="F407" s="32" t="s">
        <v>16</v>
      </c>
      <c r="G407" s="32" t="s">
        <v>36</v>
      </c>
      <c r="H407" s="32" t="s">
        <v>17</v>
      </c>
      <c r="I407" s="32" t="s">
        <v>85</v>
      </c>
      <c r="J407" s="32" t="s">
        <v>86</v>
      </c>
      <c r="K407" s="32" t="s">
        <v>59</v>
      </c>
      <c r="L407" s="32" t="s">
        <v>166</v>
      </c>
      <c r="M407" s="32" t="str">
        <f>IF(Table2[[#This Row],[Stage]]="Closed","Closed","Open")</f>
        <v>Open</v>
      </c>
      <c r="N407" s="32" t="s">
        <v>87</v>
      </c>
      <c r="O407" s="32">
        <f ca="1">SUMIFS(Table3[Days with], Table3[Ref], Table2[[#This Row],[Ref]],Table3[Who With],"Legal")</f>
        <v>2</v>
      </c>
      <c r="P407" s="34">
        <f>SUMIFS(Table3[Total Cycle Time],Table3[Ref],Table2[[#This Row],[Ref]])</f>
        <v>0</v>
      </c>
    </row>
    <row r="408" spans="1:16" hidden="1" x14ac:dyDescent="0.25">
      <c r="A408" s="39" t="str">
        <f>IF(Table2[[#This Row],[Date Received]]="","",_xlfn.CONCAT(Table2[[#This Row],[Counterparty]]," - ",Table2[[#This Row],[Contract Name]]))</f>
        <v>Samuel Lippiatt - Clawback Agreement</v>
      </c>
      <c r="B408" s="33">
        <v>45338</v>
      </c>
      <c r="C408" s="32" t="s">
        <v>11</v>
      </c>
      <c r="D408" s="32" t="s">
        <v>974</v>
      </c>
      <c r="E408" s="32"/>
      <c r="F408" s="32" t="s">
        <v>16</v>
      </c>
      <c r="G408" s="32" t="s">
        <v>30</v>
      </c>
      <c r="H408" s="32" t="s">
        <v>15</v>
      </c>
      <c r="I408" s="32" t="s">
        <v>975</v>
      </c>
      <c r="J408" s="32" t="s">
        <v>976</v>
      </c>
      <c r="K408" s="32" t="s">
        <v>442</v>
      </c>
      <c r="L408" s="32" t="s">
        <v>169</v>
      </c>
      <c r="M408" s="32" t="str">
        <f>IF(Table2[[#This Row],[Stage]]="Closed","Closed","Open")</f>
        <v>Closed</v>
      </c>
      <c r="N408" s="32" t="s">
        <v>977</v>
      </c>
      <c r="O408" s="32">
        <f ca="1">SUMIFS(Table3[Days with], Table3[Ref], Table2[[#This Row],[Ref]],Table3[Who With],"Legal")</f>
        <v>35</v>
      </c>
      <c r="P408" s="34">
        <f>SUMIFS(Table3[Total Cycle Time],Table3[Ref],Table2[[#This Row],[Ref]])</f>
        <v>35</v>
      </c>
    </row>
    <row r="409" spans="1:16" hidden="1" x14ac:dyDescent="0.25">
      <c r="A409" s="39" t="str">
        <f>IF(Table2[[#This Row],[Date Received]]="","",_xlfn.CONCAT(Table2[[#This Row],[Counterparty]]," - ",Table2[[#This Row],[Contract Name]]))</f>
        <v>Summit - Supply Agreement</v>
      </c>
      <c r="B409" s="33">
        <v>45338</v>
      </c>
      <c r="C409" s="32" t="s">
        <v>11</v>
      </c>
      <c r="D409" s="32" t="s">
        <v>981</v>
      </c>
      <c r="E409" s="32"/>
      <c r="F409" s="32" t="s">
        <v>16</v>
      </c>
      <c r="G409" s="32" t="s">
        <v>14</v>
      </c>
      <c r="H409" s="32" t="s">
        <v>17</v>
      </c>
      <c r="I409" s="32" t="s">
        <v>46</v>
      </c>
      <c r="J409" s="32" t="s">
        <v>63</v>
      </c>
      <c r="K409" s="32" t="s">
        <v>63</v>
      </c>
      <c r="L409" s="32" t="s">
        <v>169</v>
      </c>
      <c r="M409" s="32" t="str">
        <f>IF(Table2[[#This Row],[Stage]]="Closed","Closed","Open")</f>
        <v>Closed</v>
      </c>
      <c r="N409" s="32" t="s">
        <v>982</v>
      </c>
      <c r="O409" s="32">
        <f ca="1">SUMIFS(Table3[Days with], Table3[Ref], Table2[[#This Row],[Ref]],Table3[Who With],"Legal")</f>
        <v>59</v>
      </c>
      <c r="P409" s="34">
        <f>SUMIFS(Table3[Total Cycle Time],Table3[Ref],Table2[[#This Row],[Ref]])</f>
        <v>59</v>
      </c>
    </row>
    <row r="410" spans="1:16" hidden="1" x14ac:dyDescent="0.25">
      <c r="A410" s="39" t="str">
        <f>IF(Table2[[#This Row],[Date Received]]="","",_xlfn.CONCAT(Table2[[#This Row],[Counterparty]]," - ",Table2[[#This Row],[Contract Name]]))</f>
        <v>Stripe - DPA</v>
      </c>
      <c r="B410" s="33">
        <v>45341</v>
      </c>
      <c r="C410" s="32" t="s">
        <v>11</v>
      </c>
      <c r="D410" s="32" t="s">
        <v>89</v>
      </c>
      <c r="E410" s="32"/>
      <c r="F410" s="32" t="s">
        <v>16</v>
      </c>
      <c r="G410" s="32" t="s">
        <v>36</v>
      </c>
      <c r="H410" s="32" t="s">
        <v>17</v>
      </c>
      <c r="I410" s="32" t="s">
        <v>85</v>
      </c>
      <c r="J410" s="32" t="s">
        <v>987</v>
      </c>
      <c r="K410" s="32" t="s">
        <v>59</v>
      </c>
      <c r="L410" s="32" t="s">
        <v>169</v>
      </c>
      <c r="M410" s="32" t="str">
        <f>IF(Table2[[#This Row],[Stage]]="Closed","Closed","Open")</f>
        <v>Closed</v>
      </c>
      <c r="N410" s="32" t="s">
        <v>988</v>
      </c>
      <c r="O410" s="32">
        <f ca="1">SUMIFS(Table3[Days with], Table3[Ref], Table2[[#This Row],[Ref]],Table3[Who With],"Legal")</f>
        <v>2</v>
      </c>
      <c r="P410" s="34">
        <f>SUMIFS(Table3[Total Cycle Time],Table3[Ref],Table2[[#This Row],[Ref]])</f>
        <v>2</v>
      </c>
    </row>
    <row r="411" spans="1:16" x14ac:dyDescent="0.25">
      <c r="A411" s="39" t="str">
        <f>IF(Table2[[#This Row],[Date Received]]="","",_xlfn.CONCAT(Table2[[#This Row],[Counterparty]]," - ",Table2[[#This Row],[Contract Name]]))</f>
        <v>Siemens Financial Services Limited - Novation Agreement</v>
      </c>
      <c r="B411" s="33">
        <v>45341</v>
      </c>
      <c r="C411" s="32" t="s">
        <v>11</v>
      </c>
      <c r="D411" s="32" t="s">
        <v>49</v>
      </c>
      <c r="E411" s="32" t="s">
        <v>90</v>
      </c>
      <c r="F411" s="32" t="s">
        <v>16</v>
      </c>
      <c r="G411" s="32" t="s">
        <v>29</v>
      </c>
      <c r="H411" s="32" t="s">
        <v>17</v>
      </c>
      <c r="I411" s="32" t="s">
        <v>33</v>
      </c>
      <c r="J411" s="32" t="s">
        <v>42</v>
      </c>
      <c r="K411" s="32" t="s">
        <v>8</v>
      </c>
      <c r="L411" s="32" t="s">
        <v>164</v>
      </c>
      <c r="M411" s="32" t="str">
        <f>IF(Table2[[#This Row],[Stage]]="Closed","Closed","Open")</f>
        <v>Open</v>
      </c>
      <c r="N411" s="32" t="s">
        <v>91</v>
      </c>
      <c r="O411" s="32">
        <f ca="1">SUMIFS(Table3[Days with], Table3[Ref], Table2[[#This Row],[Ref]],Table3[Who With],"Legal")</f>
        <v>1</v>
      </c>
      <c r="P411" s="34">
        <f>SUMIFS(Table3[Total Cycle Time],Table3[Ref],Table2[[#This Row],[Ref]])</f>
        <v>0</v>
      </c>
    </row>
    <row r="412" spans="1:16" x14ac:dyDescent="0.25">
      <c r="A412" s="39" t="str">
        <f>IF(Table2[[#This Row],[Date Received]]="","",_xlfn.CONCAT(Table2[[#This Row],[Counterparty]]," - ",Table2[[#This Row],[Contract Name]]))</f>
        <v>Graham Oliver - Consultancy Agreement</v>
      </c>
      <c r="B412" s="33">
        <v>45345</v>
      </c>
      <c r="C412" s="32" t="s">
        <v>11</v>
      </c>
      <c r="D412" s="32" t="s">
        <v>92</v>
      </c>
      <c r="E412" s="32"/>
      <c r="F412" s="32" t="s">
        <v>16</v>
      </c>
      <c r="G412" s="32" t="s">
        <v>36</v>
      </c>
      <c r="H412" s="32" t="s">
        <v>15</v>
      </c>
      <c r="I412" s="32" t="s">
        <v>41</v>
      </c>
      <c r="J412" s="32" t="s">
        <v>77</v>
      </c>
      <c r="K412" s="32" t="s">
        <v>8</v>
      </c>
      <c r="L412" s="32" t="s">
        <v>166</v>
      </c>
      <c r="M412" s="32" t="str">
        <f>IF(Table2[[#This Row],[Stage]]="Closed","Closed","Open")</f>
        <v>Open</v>
      </c>
      <c r="N412" s="32" t="s">
        <v>93</v>
      </c>
      <c r="O412" s="32">
        <f ca="1">SUMIFS(Table3[Days with], Table3[Ref], Table2[[#This Row],[Ref]],Table3[Who With],"Legal")</f>
        <v>4</v>
      </c>
      <c r="P412" s="34">
        <f>SUMIFS(Table3[Total Cycle Time],Table3[Ref],Table2[[#This Row],[Ref]])</f>
        <v>0</v>
      </c>
    </row>
    <row r="413" spans="1:16" hidden="1" x14ac:dyDescent="0.25">
      <c r="A413" s="39" t="str">
        <f>IF(Table2[[#This Row],[Date Received]]="","",_xlfn.CONCAT(Table2[[#This Row],[Counterparty]]," - ",Table2[[#This Row],[Contract Name]]))</f>
        <v>redcentric - Services Agreement 1</v>
      </c>
      <c r="B413" s="33">
        <v>45349</v>
      </c>
      <c r="C413" s="32" t="s">
        <v>11</v>
      </c>
      <c r="D413" s="32" t="s">
        <v>413</v>
      </c>
      <c r="E413" s="32" t="s">
        <v>13</v>
      </c>
      <c r="F413" s="32" t="s">
        <v>12</v>
      </c>
      <c r="G413" s="32" t="s">
        <v>233</v>
      </c>
      <c r="H413" s="32" t="s">
        <v>17</v>
      </c>
      <c r="I413" s="32" t="s">
        <v>1477</v>
      </c>
      <c r="J413" s="32" t="s">
        <v>47</v>
      </c>
      <c r="K413" s="32" t="s">
        <v>59</v>
      </c>
      <c r="L413" s="32" t="s">
        <v>169</v>
      </c>
      <c r="M413" s="32" t="str">
        <f>IF(Table2[[#This Row],[Stage]]="Closed","Closed","Open")</f>
        <v>Closed</v>
      </c>
      <c r="N413" s="32" t="s">
        <v>531</v>
      </c>
      <c r="O413" s="32">
        <f ca="1">SUMIFS(Table3[Days with], Table3[Ref], Table2[[#This Row],[Ref]],Table3[Who With],"Legal")</f>
        <v>10</v>
      </c>
      <c r="P413" s="34">
        <f>SUMIFS(Table3[Total Cycle Time],Table3[Ref],Table2[[#This Row],[Ref]])</f>
        <v>10</v>
      </c>
    </row>
    <row r="414" spans="1:16" hidden="1" x14ac:dyDescent="0.25">
      <c r="A414" s="39" t="str">
        <f>IF(Table2[[#This Row],[Date Received]]="","",_xlfn.CONCAT(Table2[[#This Row],[Counterparty]]," - ",Table2[[#This Row],[Contract Name]]))</f>
        <v>Rapp consultancy - Services Agreement</v>
      </c>
      <c r="B414" s="33">
        <v>45349</v>
      </c>
      <c r="C414" s="32" t="s">
        <v>11</v>
      </c>
      <c r="D414" s="32" t="s">
        <v>969</v>
      </c>
      <c r="E414" s="32" t="s">
        <v>13</v>
      </c>
      <c r="F414" s="32" t="s">
        <v>12</v>
      </c>
      <c r="G414" s="32" t="s">
        <v>233</v>
      </c>
      <c r="H414" s="32" t="s">
        <v>17</v>
      </c>
      <c r="I414" s="32" t="s">
        <v>32</v>
      </c>
      <c r="J414" s="32" t="s">
        <v>47</v>
      </c>
      <c r="K414" s="32" t="s">
        <v>59</v>
      </c>
      <c r="L414" s="32" t="s">
        <v>169</v>
      </c>
      <c r="M414" s="32" t="str">
        <f>IF(Table2[[#This Row],[Stage]]="Closed","Closed","Open")</f>
        <v>Closed</v>
      </c>
      <c r="N414" s="32" t="s">
        <v>453</v>
      </c>
      <c r="O414" s="32">
        <f ca="1">SUMIFS(Table3[Days with], Table3[Ref], Table2[[#This Row],[Ref]],Table3[Who With],"Legal")</f>
        <v>3</v>
      </c>
      <c r="P414" s="34">
        <f>SUMIFS(Table3[Total Cycle Time],Table3[Ref],Table2[[#This Row],[Ref]])</f>
        <v>3</v>
      </c>
    </row>
    <row r="415" spans="1:16" hidden="1" x14ac:dyDescent="0.25">
      <c r="A415" s="39" t="str">
        <f>IF(Table2[[#This Row],[Date Received]]="","",_xlfn.CONCAT(Table2[[#This Row],[Counterparty]]," - ",Table2[[#This Row],[Contract Name]]))</f>
        <v>Grace and Co - Services Agreement</v>
      </c>
      <c r="B415" s="33">
        <v>45349</v>
      </c>
      <c r="C415" s="32" t="s">
        <v>11</v>
      </c>
      <c r="D415" s="32" t="s">
        <v>972</v>
      </c>
      <c r="E415" s="32" t="s">
        <v>13</v>
      </c>
      <c r="F415" s="32" t="s">
        <v>12</v>
      </c>
      <c r="G415" s="32" t="s">
        <v>233</v>
      </c>
      <c r="H415" s="32" t="s">
        <v>17</v>
      </c>
      <c r="I415" s="32" t="s">
        <v>32</v>
      </c>
      <c r="J415" s="32" t="s">
        <v>47</v>
      </c>
      <c r="K415" s="32" t="s">
        <v>59</v>
      </c>
      <c r="L415" s="32" t="s">
        <v>169</v>
      </c>
      <c r="M415" s="32" t="str">
        <f>IF(Table2[[#This Row],[Stage]]="Closed","Closed","Open")</f>
        <v>Closed</v>
      </c>
      <c r="N415" s="32" t="s">
        <v>973</v>
      </c>
      <c r="O415" s="32">
        <f ca="1">SUMIFS(Table3[Days with], Table3[Ref], Table2[[#This Row],[Ref]],Table3[Who With],"Legal")</f>
        <v>10</v>
      </c>
      <c r="P415" s="34">
        <f>SUMIFS(Table3[Total Cycle Time],Table3[Ref],Table2[[#This Row],[Ref]])</f>
        <v>10</v>
      </c>
    </row>
    <row r="416" spans="1:16" hidden="1" x14ac:dyDescent="0.25">
      <c r="A416" s="39" t="str">
        <f>IF(Table2[[#This Row],[Date Received]]="","",_xlfn.CONCAT(Table2[[#This Row],[Counterparty]]," - ",Table2[[#This Row],[Contract Name]]))</f>
        <v>Reassure Limited - Car Parking Licence</v>
      </c>
      <c r="B416" s="33">
        <v>45349</v>
      </c>
      <c r="C416" s="32" t="s">
        <v>11</v>
      </c>
      <c r="D416" s="32" t="s">
        <v>983</v>
      </c>
      <c r="E416" s="32" t="s">
        <v>984</v>
      </c>
      <c r="F416" s="32" t="s">
        <v>12</v>
      </c>
      <c r="G416" s="32" t="s">
        <v>455</v>
      </c>
      <c r="H416" s="32" t="s">
        <v>17</v>
      </c>
      <c r="I416" s="32" t="s">
        <v>985</v>
      </c>
      <c r="J416" s="32" t="s">
        <v>487</v>
      </c>
      <c r="K416" s="32" t="s">
        <v>59</v>
      </c>
      <c r="L416" s="32" t="s">
        <v>169</v>
      </c>
      <c r="M416" s="32" t="str">
        <f>IF(Table2[[#This Row],[Stage]]="Closed","Closed","Open")</f>
        <v>Closed</v>
      </c>
      <c r="N416" s="32" t="s">
        <v>986</v>
      </c>
      <c r="O416" s="32">
        <f ca="1">SUMIFS(Table3[Days with], Table3[Ref], Table2[[#This Row],[Ref]],Table3[Who With],"Legal")</f>
        <v>49</v>
      </c>
      <c r="P416" s="34">
        <f>SUMIFS(Table3[Total Cycle Time],Table3[Ref],Table2[[#This Row],[Ref]])</f>
        <v>49</v>
      </c>
    </row>
    <row r="417" spans="1:16" hidden="1" x14ac:dyDescent="0.25">
      <c r="A417" s="39" t="str">
        <f>IF(Table2[[#This Row],[Date Received]]="","",_xlfn.CONCAT(Table2[[#This Row],[Counterparty]]," - ",Table2[[#This Row],[Contract Name]]))</f>
        <v>Fencovis - Rebate Amendment</v>
      </c>
      <c r="B417" s="33">
        <v>45350</v>
      </c>
      <c r="C417" s="32" t="s">
        <v>11</v>
      </c>
      <c r="D417" s="32" t="s">
        <v>989</v>
      </c>
      <c r="E417" s="32"/>
      <c r="F417" s="32" t="s">
        <v>16</v>
      </c>
      <c r="G417" s="32" t="s">
        <v>14</v>
      </c>
      <c r="H417" s="32" t="s">
        <v>17</v>
      </c>
      <c r="I417" s="32" t="s">
        <v>990</v>
      </c>
      <c r="J417" s="32" t="s">
        <v>63</v>
      </c>
      <c r="K417" s="32" t="s">
        <v>28</v>
      </c>
      <c r="L417" s="32" t="s">
        <v>169</v>
      </c>
      <c r="M417" s="32" t="str">
        <f>IF(Table2[[#This Row],[Stage]]="Closed","Closed","Open")</f>
        <v>Closed</v>
      </c>
      <c r="N417" s="32" t="s">
        <v>991</v>
      </c>
      <c r="O417" s="32">
        <f ca="1">SUMIFS(Table3[Days with], Table3[Ref], Table2[[#This Row],[Ref]],Table3[Who With],"Legal")</f>
        <v>19</v>
      </c>
      <c r="P417" s="34">
        <f>SUMIFS(Table3[Total Cycle Time],Table3[Ref],Table2[[#This Row],[Ref]])</f>
        <v>19</v>
      </c>
    </row>
    <row r="418" spans="1:16" hidden="1" x14ac:dyDescent="0.25">
      <c r="A418" s="39" t="str">
        <f>IF(Table2[[#This Row],[Date Received]]="","",_xlfn.CONCAT(Table2[[#This Row],[Counterparty]]," - ",Table2[[#This Row],[Contract Name]]))</f>
        <v>Inspired Energy - Services Agreement</v>
      </c>
      <c r="B418" s="33">
        <v>45355</v>
      </c>
      <c r="C418" s="32" t="s">
        <v>11</v>
      </c>
      <c r="D418" s="32" t="s">
        <v>62</v>
      </c>
      <c r="E418" s="32" t="s">
        <v>13</v>
      </c>
      <c r="F418" s="32" t="s">
        <v>12</v>
      </c>
      <c r="G418" s="32" t="s">
        <v>14</v>
      </c>
      <c r="H418" s="32" t="s">
        <v>17</v>
      </c>
      <c r="I418" s="32" t="s">
        <v>32</v>
      </c>
      <c r="J418" s="32" t="s">
        <v>31</v>
      </c>
      <c r="K418" s="32" t="s">
        <v>59</v>
      </c>
      <c r="L418" s="32"/>
      <c r="M418" s="32" t="str">
        <f>IF(Table2[[#This Row],[Stage]]="Closed","Closed","Open")</f>
        <v>Open</v>
      </c>
      <c r="N418" s="32" t="s">
        <v>69</v>
      </c>
      <c r="O418" s="32">
        <f>SUMIFS(Table3[Days with], Table3[Ref], Table2[[#This Row],[Ref]],Table3[Who With],"Legal")</f>
        <v>0</v>
      </c>
      <c r="P418" s="34">
        <f>SUMIFS(Table3[Total Cycle Time],Table3[Ref],Table2[[#This Row],[Ref]])</f>
        <v>0</v>
      </c>
    </row>
    <row r="419" spans="1:16" x14ac:dyDescent="0.25">
      <c r="A419" s="39" t="str">
        <f>IF(Table2[[#This Row],[Date Received]]="","",_xlfn.CONCAT(Table2[[#This Row],[Counterparty]]," - ",Table2[[#This Row],[Contract Name]]))</f>
        <v>Sussex Police - Services Agreement</v>
      </c>
      <c r="B419" s="33">
        <v>45355</v>
      </c>
      <c r="C419" s="32" t="s">
        <v>11</v>
      </c>
      <c r="D419" s="32" t="s">
        <v>94</v>
      </c>
      <c r="E419" s="32" t="s">
        <v>95</v>
      </c>
      <c r="F419" s="32" t="s">
        <v>16</v>
      </c>
      <c r="G419" s="32" t="s">
        <v>36</v>
      </c>
      <c r="H419" s="32" t="s">
        <v>17</v>
      </c>
      <c r="I419" s="32" t="s">
        <v>32</v>
      </c>
      <c r="J419" s="32" t="s">
        <v>82</v>
      </c>
      <c r="K419" s="32" t="s">
        <v>8</v>
      </c>
      <c r="L419" s="32" t="s">
        <v>168</v>
      </c>
      <c r="M419" s="32" t="str">
        <f>IF(Table2[[#This Row],[Stage]]="Closed","Closed","Open")</f>
        <v>Open</v>
      </c>
      <c r="N419" s="32" t="s">
        <v>96</v>
      </c>
      <c r="O419" s="32">
        <f ca="1">SUMIFS(Table3[Days with], Table3[Ref], Table2[[#This Row],[Ref]],Table3[Who With],"Legal")</f>
        <v>41</v>
      </c>
      <c r="P419" s="34">
        <f>SUMIFS(Table3[Total Cycle Time],Table3[Ref],Table2[[#This Row],[Ref]])</f>
        <v>0</v>
      </c>
    </row>
    <row r="420" spans="1:16" hidden="1" x14ac:dyDescent="0.25">
      <c r="A420" s="39" t="str">
        <f>IF(Table2[[#This Row],[Date Received]]="","",_xlfn.CONCAT(Table2[[#This Row],[Counterparty]]," - ",Table2[[#This Row],[Contract Name]]))</f>
        <v>North Yorkshire Police - Services Agreement</v>
      </c>
      <c r="B420" s="33">
        <v>45357</v>
      </c>
      <c r="C420" s="32" t="s">
        <v>11</v>
      </c>
      <c r="D420" s="32" t="s">
        <v>994</v>
      </c>
      <c r="E420" s="32" t="s">
        <v>801</v>
      </c>
      <c r="F420" s="32" t="s">
        <v>16</v>
      </c>
      <c r="G420" s="32" t="s">
        <v>36</v>
      </c>
      <c r="H420" s="32" t="s">
        <v>17</v>
      </c>
      <c r="I420" s="32" t="s">
        <v>32</v>
      </c>
      <c r="J420" s="32" t="s">
        <v>995</v>
      </c>
      <c r="K420" s="32" t="s">
        <v>59</v>
      </c>
      <c r="L420" s="32" t="s">
        <v>169</v>
      </c>
      <c r="M420" s="32" t="str">
        <f>IF(Table2[[#This Row],[Stage]]="Closed","Closed","Open")</f>
        <v>Closed</v>
      </c>
      <c r="N420" s="32" t="s">
        <v>996</v>
      </c>
      <c r="O420" s="32">
        <f ca="1">SUMIFS(Table3[Days with], Table3[Ref], Table2[[#This Row],[Ref]],Table3[Who With],"Legal")</f>
        <v>93</v>
      </c>
      <c r="P420" s="34">
        <f>SUMIFS(Table3[Total Cycle Time],Table3[Ref],Table2[[#This Row],[Ref]])</f>
        <v>93</v>
      </c>
    </row>
    <row r="421" spans="1:16" hidden="1" x14ac:dyDescent="0.25">
      <c r="A421" s="39" t="str">
        <f>IF(Table2[[#This Row],[Date Received]]="","",_xlfn.CONCAT(Table2[[#This Row],[Counterparty]]," - ",Table2[[#This Row],[Contract Name]]))</f>
        <v>Dotdigital - Services Agreement</v>
      </c>
      <c r="B421" s="33">
        <v>45359</v>
      </c>
      <c r="C421" s="32" t="s">
        <v>11</v>
      </c>
      <c r="D421" s="32" t="s">
        <v>849</v>
      </c>
      <c r="E421" s="32" t="s">
        <v>13</v>
      </c>
      <c r="F421" s="32" t="s">
        <v>12</v>
      </c>
      <c r="G421" s="32" t="s">
        <v>233</v>
      </c>
      <c r="H421" s="32" t="s">
        <v>17</v>
      </c>
      <c r="I421" s="32" t="s">
        <v>32</v>
      </c>
      <c r="J421" s="32" t="s">
        <v>53</v>
      </c>
      <c r="K421" s="32" t="s">
        <v>12</v>
      </c>
      <c r="L421" s="32" t="s">
        <v>169</v>
      </c>
      <c r="M421" s="32" t="str">
        <f>IF(Table2[[#This Row],[Stage]]="Closed","Closed","Open")</f>
        <v>Closed</v>
      </c>
      <c r="N421" s="32" t="s">
        <v>814</v>
      </c>
      <c r="O421" s="32">
        <f ca="1">SUMIFS(Table3[Days with], Table3[Ref], Table2[[#This Row],[Ref]],Table3[Who With],"Legal")</f>
        <v>27</v>
      </c>
      <c r="P421" s="34">
        <f>SUMIFS(Table3[Total Cycle Time],Table3[Ref],Table2[[#This Row],[Ref]])</f>
        <v>27</v>
      </c>
    </row>
    <row r="422" spans="1:16" hidden="1" x14ac:dyDescent="0.25">
      <c r="A422" s="39" t="str">
        <f>IF(Table2[[#This Row],[Date Received]]="","",_xlfn.CONCAT(Table2[[#This Row],[Counterparty]]," - ",Table2[[#This Row],[Contract Name]]))</f>
        <v>xDesign - Services Agreement</v>
      </c>
      <c r="B422" s="33">
        <v>45359</v>
      </c>
      <c r="C422" s="32" t="s">
        <v>11</v>
      </c>
      <c r="D422" s="32" t="s">
        <v>992</v>
      </c>
      <c r="E422" s="32" t="s">
        <v>13</v>
      </c>
      <c r="F422" s="32" t="s">
        <v>12</v>
      </c>
      <c r="G422" s="32" t="s">
        <v>34</v>
      </c>
      <c r="H422" s="32" t="s">
        <v>17</v>
      </c>
      <c r="I422" s="32" t="s">
        <v>32</v>
      </c>
      <c r="J422" s="32" t="s">
        <v>35</v>
      </c>
      <c r="K422" s="32" t="s">
        <v>12</v>
      </c>
      <c r="L422" s="32" t="s">
        <v>169</v>
      </c>
      <c r="M422" s="32" t="str">
        <f>IF(Table2[[#This Row],[Stage]]="Closed","Closed","Open")</f>
        <v>Closed</v>
      </c>
      <c r="N422" s="32" t="s">
        <v>453</v>
      </c>
      <c r="O422" s="32">
        <f ca="1">SUMIFS(Table3[Days with], Table3[Ref], Table2[[#This Row],[Ref]],Table3[Who With],"Legal")</f>
        <v>61</v>
      </c>
      <c r="P422" s="34">
        <f>SUMIFS(Table3[Total Cycle Time],Table3[Ref],Table2[[#This Row],[Ref]])</f>
        <v>61</v>
      </c>
    </row>
    <row r="423" spans="1:16" x14ac:dyDescent="0.25">
      <c r="A423" s="39" t="str">
        <f>IF(Table2[[#This Row],[Date Received]]="","",_xlfn.CONCAT(Table2[[#This Row],[Counterparty]]," - ",Table2[[#This Row],[Contract Name]]))</f>
        <v>Pageone - Novation Agreement</v>
      </c>
      <c r="B423" s="33">
        <v>45365</v>
      </c>
      <c r="C423" s="32" t="s">
        <v>11</v>
      </c>
      <c r="D423" s="32" t="s">
        <v>117</v>
      </c>
      <c r="E423" s="32" t="s">
        <v>54</v>
      </c>
      <c r="F423" s="32" t="s">
        <v>16</v>
      </c>
      <c r="G423" s="32" t="s">
        <v>29</v>
      </c>
      <c r="H423" s="32" t="s">
        <v>17</v>
      </c>
      <c r="I423" s="32" t="s">
        <v>33</v>
      </c>
      <c r="J423" s="32" t="s">
        <v>42</v>
      </c>
      <c r="K423" s="32" t="s">
        <v>8</v>
      </c>
      <c r="L423" s="32" t="s">
        <v>164</v>
      </c>
      <c r="M423" s="32" t="str">
        <f>IF(Table2[[#This Row],[Stage]]="Closed","Closed","Open")</f>
        <v>Open</v>
      </c>
      <c r="N423" s="32" t="s">
        <v>118</v>
      </c>
      <c r="O423" s="32">
        <f ca="1">SUMIFS(Table3[Days with], Table3[Ref], Table2[[#This Row],[Ref]],Table3[Who With],"Legal")</f>
        <v>4</v>
      </c>
      <c r="P423" s="34">
        <f>SUMIFS(Table3[Total Cycle Time],Table3[Ref],Table2[[#This Row],[Ref]])</f>
        <v>0</v>
      </c>
    </row>
    <row r="424" spans="1:16" hidden="1" x14ac:dyDescent="0.25">
      <c r="A424" s="39" t="str">
        <f>IF(Table2[[#This Row],[Date Received]]="","",_xlfn.CONCAT(Table2[[#This Row],[Counterparty]]," - ",Table2[[#This Row],[Contract Name]]))</f>
        <v>Health Shield - Services Agreement</v>
      </c>
      <c r="B424" s="33">
        <v>45369</v>
      </c>
      <c r="C424" s="32" t="s">
        <v>11</v>
      </c>
      <c r="D424" s="32" t="s">
        <v>1001</v>
      </c>
      <c r="E424" s="32"/>
      <c r="F424" s="32" t="s">
        <v>16</v>
      </c>
      <c r="G424" s="32" t="s">
        <v>30</v>
      </c>
      <c r="H424" s="32" t="s">
        <v>17</v>
      </c>
      <c r="I424" s="32" t="s">
        <v>32</v>
      </c>
      <c r="J424" s="32" t="s">
        <v>83</v>
      </c>
      <c r="K424" s="32" t="s">
        <v>4</v>
      </c>
      <c r="L424" s="32" t="s">
        <v>169</v>
      </c>
      <c r="M424" s="32" t="str">
        <f>IF(Table2[[#This Row],[Stage]]="Closed","Closed","Open")</f>
        <v>Closed</v>
      </c>
      <c r="N424" s="32" t="s">
        <v>1002</v>
      </c>
      <c r="O424" s="32">
        <f ca="1">SUMIFS(Table3[Days with], Table3[Ref], Table2[[#This Row],[Ref]],Table3[Who With],"Legal")</f>
        <v>52</v>
      </c>
      <c r="P424" s="34">
        <f>SUMIFS(Table3[Total Cycle Time],Table3[Ref],Table2[[#This Row],[Ref]])</f>
        <v>52</v>
      </c>
    </row>
    <row r="425" spans="1:16" hidden="1" x14ac:dyDescent="0.25">
      <c r="A425" s="39" t="str">
        <f>IF(Table2[[#This Row],[Date Received]]="","",_xlfn.CONCAT(Table2[[#This Row],[Counterparty]]," - ",Table2[[#This Row],[Contract Name]]))</f>
        <v>Independent Vetcare Limited - OOH Agreement 1</v>
      </c>
      <c r="B425" s="33">
        <v>45370</v>
      </c>
      <c r="C425" s="32" t="s">
        <v>11</v>
      </c>
      <c r="D425" s="32" t="s">
        <v>1003</v>
      </c>
      <c r="E425" s="32" t="s">
        <v>1004</v>
      </c>
      <c r="F425" s="32" t="s">
        <v>16</v>
      </c>
      <c r="G425" s="32" t="s">
        <v>36</v>
      </c>
      <c r="H425" s="32" t="s">
        <v>17</v>
      </c>
      <c r="I425" s="32" t="s">
        <v>1473</v>
      </c>
      <c r="J425" s="32" t="s">
        <v>626</v>
      </c>
      <c r="K425" s="32" t="s">
        <v>4</v>
      </c>
      <c r="L425" s="32" t="s">
        <v>169</v>
      </c>
      <c r="M425" s="32" t="str">
        <f>IF(Table2[[#This Row],[Stage]]="Closed","Closed","Open")</f>
        <v>Closed</v>
      </c>
      <c r="N425" s="32" t="s">
        <v>1005</v>
      </c>
      <c r="O425" s="32">
        <f ca="1">SUMIFS(Table3[Days with], Table3[Ref], Table2[[#This Row],[Ref]],Table3[Who With],"Legal")</f>
        <v>44</v>
      </c>
      <c r="P425" s="34">
        <f>SUMIFS(Table3[Total Cycle Time],Table3[Ref],Table2[[#This Row],[Ref]])</f>
        <v>44</v>
      </c>
    </row>
    <row r="426" spans="1:16" hidden="1" x14ac:dyDescent="0.25">
      <c r="A426" s="39" t="str">
        <f>IF(Table2[[#This Row],[Date Received]]="","",_xlfn.CONCAT(Table2[[#This Row],[Counterparty]]," - ",Table2[[#This Row],[Contract Name]]))</f>
        <v>Independent Vetcare Limited - OOH Agreement 2</v>
      </c>
      <c r="B426" s="33">
        <v>45370</v>
      </c>
      <c r="C426" s="32" t="s">
        <v>11</v>
      </c>
      <c r="D426" s="32" t="s">
        <v>1003</v>
      </c>
      <c r="E426" s="32" t="s">
        <v>1006</v>
      </c>
      <c r="F426" s="32" t="s">
        <v>16</v>
      </c>
      <c r="G426" s="32" t="s">
        <v>36</v>
      </c>
      <c r="H426" s="32" t="s">
        <v>17</v>
      </c>
      <c r="I426" s="32" t="s">
        <v>1474</v>
      </c>
      <c r="J426" s="32" t="s">
        <v>626</v>
      </c>
      <c r="K426" s="32" t="s">
        <v>4</v>
      </c>
      <c r="L426" s="32" t="s">
        <v>169</v>
      </c>
      <c r="M426" s="32" t="str">
        <f>IF(Table2[[#This Row],[Stage]]="Closed","Closed","Open")</f>
        <v>Closed</v>
      </c>
      <c r="N426" s="32" t="s">
        <v>1005</v>
      </c>
      <c r="O426" s="32">
        <f ca="1">SUMIFS(Table3[Days with], Table3[Ref], Table2[[#This Row],[Ref]],Table3[Who With],"Legal")</f>
        <v>44</v>
      </c>
      <c r="P426" s="34">
        <f>SUMIFS(Table3[Total Cycle Time],Table3[Ref],Table2[[#This Row],[Ref]])</f>
        <v>44</v>
      </c>
    </row>
    <row r="427" spans="1:16" hidden="1" x14ac:dyDescent="0.25">
      <c r="A427" s="39" t="str">
        <f>IF(Table2[[#This Row],[Date Received]]="","",_xlfn.CONCAT(Table2[[#This Row],[Counterparty]]," - ",Table2[[#This Row],[Contract Name]]))</f>
        <v>Independent Vetcare Limited - OOH Agreement 3</v>
      </c>
      <c r="B427" s="33">
        <v>45370</v>
      </c>
      <c r="C427" s="32" t="s">
        <v>11</v>
      </c>
      <c r="D427" s="32" t="s">
        <v>1003</v>
      </c>
      <c r="E427" s="32" t="s">
        <v>1007</v>
      </c>
      <c r="F427" s="32" t="s">
        <v>16</v>
      </c>
      <c r="G427" s="32" t="s">
        <v>36</v>
      </c>
      <c r="H427" s="32" t="s">
        <v>17</v>
      </c>
      <c r="I427" s="32" t="s">
        <v>1475</v>
      </c>
      <c r="J427" s="32" t="s">
        <v>626</v>
      </c>
      <c r="K427" s="32" t="s">
        <v>4</v>
      </c>
      <c r="L427" s="32" t="s">
        <v>169</v>
      </c>
      <c r="M427" s="32" t="str">
        <f>IF(Table2[[#This Row],[Stage]]="Closed","Closed","Open")</f>
        <v>Closed</v>
      </c>
      <c r="N427" s="32" t="s">
        <v>1005</v>
      </c>
      <c r="O427" s="32">
        <f ca="1">SUMIFS(Table3[Days with], Table3[Ref], Table2[[#This Row],[Ref]],Table3[Who With],"Legal")</f>
        <v>44</v>
      </c>
      <c r="P427" s="34">
        <f>SUMIFS(Table3[Total Cycle Time],Table3[Ref],Table2[[#This Row],[Ref]])</f>
        <v>44</v>
      </c>
    </row>
    <row r="428" spans="1:16" hidden="1" x14ac:dyDescent="0.25">
      <c r="A428" s="39" t="str">
        <f>IF(Table2[[#This Row],[Date Received]]="","",_xlfn.CONCAT(Table2[[#This Row],[Counterparty]]," - ",Table2[[#This Row],[Contract Name]]))</f>
        <v>Independent Vetcare Limited - OOH Agreement 4</v>
      </c>
      <c r="B428" s="33">
        <v>45370</v>
      </c>
      <c r="C428" s="32" t="s">
        <v>11</v>
      </c>
      <c r="D428" s="32" t="s">
        <v>1003</v>
      </c>
      <c r="E428" s="32" t="s">
        <v>1008</v>
      </c>
      <c r="F428" s="32" t="s">
        <v>16</v>
      </c>
      <c r="G428" s="32" t="s">
        <v>36</v>
      </c>
      <c r="H428" s="32" t="s">
        <v>17</v>
      </c>
      <c r="I428" s="32" t="s">
        <v>1476</v>
      </c>
      <c r="J428" s="32" t="s">
        <v>626</v>
      </c>
      <c r="K428" s="32" t="s">
        <v>4</v>
      </c>
      <c r="L428" s="32" t="s">
        <v>169</v>
      </c>
      <c r="M428" s="32" t="str">
        <f>IF(Table2[[#This Row],[Stage]]="Closed","Closed","Open")</f>
        <v>Closed</v>
      </c>
      <c r="N428" s="32" t="s">
        <v>1005</v>
      </c>
      <c r="O428" s="32">
        <f ca="1">SUMIFS(Table3[Days with], Table3[Ref], Table2[[#This Row],[Ref]],Table3[Who With],"Legal")</f>
        <v>44</v>
      </c>
      <c r="P428" s="34">
        <f>SUMIFS(Table3[Total Cycle Time],Table3[Ref],Table2[[#This Row],[Ref]])</f>
        <v>44</v>
      </c>
    </row>
    <row r="429" spans="1:16" hidden="1" x14ac:dyDescent="0.25">
      <c r="A429" s="39" t="str">
        <f>IF(Table2[[#This Row],[Date Received]]="","",_xlfn.CONCAT(Table2[[#This Row],[Counterparty]]," - ",Table2[[#This Row],[Contract Name]]))</f>
        <v>Concur - Services Agreement</v>
      </c>
      <c r="B429" s="33">
        <v>45376</v>
      </c>
      <c r="C429" s="32" t="s">
        <v>11</v>
      </c>
      <c r="D429" s="32" t="s">
        <v>122</v>
      </c>
      <c r="E429" s="32"/>
      <c r="F429" s="32" t="s">
        <v>12</v>
      </c>
      <c r="G429" s="32" t="s">
        <v>34</v>
      </c>
      <c r="H429" s="32" t="s">
        <v>17</v>
      </c>
      <c r="I429" s="32" t="s">
        <v>32</v>
      </c>
      <c r="J429" s="32" t="s">
        <v>123</v>
      </c>
      <c r="K429" s="32" t="s">
        <v>59</v>
      </c>
      <c r="L429" s="32"/>
      <c r="M429" s="32" t="str">
        <f>IF(Table2[[#This Row],[Stage]]="Closed","Closed","Open")</f>
        <v>Open</v>
      </c>
      <c r="N429" s="32" t="s">
        <v>88</v>
      </c>
      <c r="O429" s="32">
        <f>SUMIFS(Table3[Days with], Table3[Ref], Table2[[#This Row],[Ref]],Table3[Who With],"Legal")</f>
        <v>0</v>
      </c>
      <c r="P429" s="34">
        <f>SUMIFS(Table3[Total Cycle Time],Table3[Ref],Table2[[#This Row],[Ref]])</f>
        <v>0</v>
      </c>
    </row>
    <row r="430" spans="1:16" hidden="1" x14ac:dyDescent="0.25">
      <c r="A430" s="39" t="str">
        <f>IF(Table2[[#This Row],[Date Received]]="","",_xlfn.CONCAT(Table2[[#This Row],[Counterparty]]," - ",Table2[[#This Row],[Contract Name]]))</f>
        <v>EY - Engagement Letter</v>
      </c>
      <c r="B430" s="33">
        <v>45379</v>
      </c>
      <c r="C430" s="32" t="s">
        <v>11</v>
      </c>
      <c r="D430" s="32" t="s">
        <v>357</v>
      </c>
      <c r="E430" s="32"/>
      <c r="F430" s="32" t="s">
        <v>12</v>
      </c>
      <c r="G430" s="32" t="s">
        <v>27</v>
      </c>
      <c r="H430" s="32" t="s">
        <v>17</v>
      </c>
      <c r="I430" s="32" t="s">
        <v>198</v>
      </c>
      <c r="J430" s="32" t="s">
        <v>394</v>
      </c>
      <c r="K430" s="32" t="s">
        <v>12</v>
      </c>
      <c r="L430" s="32" t="s">
        <v>169</v>
      </c>
      <c r="M430" s="32" t="str">
        <f>IF(Table2[[#This Row],[Stage]]="Closed","Closed","Open")</f>
        <v>Closed</v>
      </c>
      <c r="N430" s="32" t="s">
        <v>88</v>
      </c>
      <c r="O430" s="32">
        <f ca="1">SUMIFS(Table3[Days with], Table3[Ref], Table2[[#This Row],[Ref]],Table3[Who With],"Legal")</f>
        <v>8</v>
      </c>
      <c r="P430" s="34">
        <f>SUMIFS(Table3[Total Cycle Time],Table3[Ref],Table2[[#This Row],[Ref]])</f>
        <v>8</v>
      </c>
    </row>
    <row r="431" spans="1:16" hidden="1" x14ac:dyDescent="0.25">
      <c r="A431" s="39" t="str">
        <f>IF(Table2[[#This Row],[Date Received]]="","",_xlfn.CONCAT(Table2[[#This Row],[Counterparty]]," - ",Table2[[#This Row],[Contract Name]]))</f>
        <v>Vet CT - Services Agreement</v>
      </c>
      <c r="B431" s="33">
        <v>45405</v>
      </c>
      <c r="C431" s="32" t="s">
        <v>11</v>
      </c>
      <c r="D431" s="32" t="s">
        <v>75</v>
      </c>
      <c r="E431" s="32"/>
      <c r="F431" s="32" t="s">
        <v>12</v>
      </c>
      <c r="G431" s="32" t="s">
        <v>14</v>
      </c>
      <c r="H431" s="32" t="s">
        <v>17</v>
      </c>
      <c r="I431" s="32" t="s">
        <v>32</v>
      </c>
      <c r="J431" s="32" t="s">
        <v>31</v>
      </c>
      <c r="K431" s="32" t="s">
        <v>59</v>
      </c>
      <c r="L431" s="32"/>
      <c r="M431" s="32" t="str">
        <f>IF(Table2[[#This Row],[Stage]]="Closed","Closed","Open")</f>
        <v>Open</v>
      </c>
      <c r="N431" s="32" t="s">
        <v>69</v>
      </c>
      <c r="O431" s="32">
        <f>SUMIFS(Table3[Days with], Table3[Ref], Table2[[#This Row],[Ref]],Table3[Who With],"Legal")</f>
        <v>0</v>
      </c>
      <c r="P431" s="34">
        <f>SUMIFS(Table3[Total Cycle Time],Table3[Ref],Table2[[#This Row],[Ref]])</f>
        <v>0</v>
      </c>
    </row>
    <row r="432" spans="1:16" hidden="1" x14ac:dyDescent="0.25">
      <c r="A432" s="39" t="str">
        <f>IF(Table2[[#This Row],[Date Received]]="","",_xlfn.CONCAT(Table2[[#This Row],[Counterparty]]," - ",Table2[[#This Row],[Contract Name]]))</f>
        <v>MSD Animal Health - Sponsorship Agreement</v>
      </c>
      <c r="B432" s="33">
        <v>45415</v>
      </c>
      <c r="C432" s="32" t="s">
        <v>11</v>
      </c>
      <c r="D432" s="32" t="s">
        <v>1009</v>
      </c>
      <c r="E432" s="32" t="s">
        <v>13</v>
      </c>
      <c r="F432" s="32" t="s">
        <v>16</v>
      </c>
      <c r="G432" s="32" t="s">
        <v>14</v>
      </c>
      <c r="H432" s="32" t="s">
        <v>17</v>
      </c>
      <c r="I432" s="32" t="s">
        <v>234</v>
      </c>
      <c r="J432" s="32" t="s">
        <v>63</v>
      </c>
      <c r="K432" s="32" t="s">
        <v>63</v>
      </c>
      <c r="L432" s="32" t="s">
        <v>169</v>
      </c>
      <c r="M432" s="32" t="str">
        <f>IF(Table2[[#This Row],[Stage]]="Closed","Closed","Open")</f>
        <v>Closed</v>
      </c>
      <c r="N432" s="32" t="s">
        <v>1010</v>
      </c>
      <c r="O432" s="32">
        <f ca="1">SUMIFS(Table3[Days with], Table3[Ref], Table2[[#This Row],[Ref]],Table3[Who With],"Legal")</f>
        <v>14</v>
      </c>
      <c r="P432" s="34">
        <f>SUMIFS(Table3[Total Cycle Time],Table3[Ref],Table2[[#This Row],[Ref]])</f>
        <v>14</v>
      </c>
    </row>
    <row r="433" spans="1:16" hidden="1" x14ac:dyDescent="0.25">
      <c r="A433" s="39" t="str">
        <f>IF(Table2[[#This Row],[Date Received]]="","",_xlfn.CONCAT(Table2[[#This Row],[Counterparty]]," - ",Table2[[#This Row],[Contract Name]]))</f>
        <v>Airtricity - Utility contract</v>
      </c>
      <c r="B433" s="33">
        <v>45415</v>
      </c>
      <c r="C433" s="32" t="s">
        <v>11</v>
      </c>
      <c r="D433" s="32" t="s">
        <v>124</v>
      </c>
      <c r="E433" s="32" t="s">
        <v>125</v>
      </c>
      <c r="F433" s="32" t="s">
        <v>12</v>
      </c>
      <c r="G433" s="32" t="s">
        <v>126</v>
      </c>
      <c r="H433" s="32" t="s">
        <v>17</v>
      </c>
      <c r="I433" s="32" t="s">
        <v>68</v>
      </c>
      <c r="J433" s="32" t="s">
        <v>74</v>
      </c>
      <c r="K433" s="32" t="s">
        <v>59</v>
      </c>
      <c r="L433" s="32"/>
      <c r="M433" s="32" t="str">
        <f>IF(Table2[[#This Row],[Stage]]="Closed","Closed","Open")</f>
        <v>Open</v>
      </c>
      <c r="N433" s="32" t="s">
        <v>69</v>
      </c>
      <c r="O433" s="32">
        <f>SUMIFS(Table3[Days with], Table3[Ref], Table2[[#This Row],[Ref]],Table3[Who With],"Legal")</f>
        <v>0</v>
      </c>
      <c r="P433" s="34">
        <f>SUMIFS(Table3[Total Cycle Time],Table3[Ref],Table2[[#This Row],[Ref]])</f>
        <v>0</v>
      </c>
    </row>
    <row r="434" spans="1:16" hidden="1" x14ac:dyDescent="0.25">
      <c r="A434" s="39" t="str">
        <f>IF(Table2[[#This Row],[Date Received]]="","",_xlfn.CONCAT(Table2[[#This Row],[Counterparty]]," - ",Table2[[#This Row],[Contract Name]]))</f>
        <v>Locumbell - Services Contract</v>
      </c>
      <c r="B434" s="33">
        <v>45420</v>
      </c>
      <c r="C434" s="32" t="s">
        <v>11</v>
      </c>
      <c r="D434" s="32" t="s">
        <v>127</v>
      </c>
      <c r="E434" s="32"/>
      <c r="F434" s="32" t="s">
        <v>12</v>
      </c>
      <c r="G434" s="32" t="s">
        <v>36</v>
      </c>
      <c r="H434" s="32" t="s">
        <v>17</v>
      </c>
      <c r="I434" s="32" t="s">
        <v>71</v>
      </c>
      <c r="J434" s="32" t="s">
        <v>128</v>
      </c>
      <c r="K434" s="32" t="s">
        <v>8</v>
      </c>
      <c r="L434" s="32"/>
      <c r="M434" s="32" t="str">
        <f>IF(Table2[[#This Row],[Stage]]="Closed","Closed","Open")</f>
        <v>Open</v>
      </c>
      <c r="N434" s="32" t="s">
        <v>129</v>
      </c>
      <c r="O434" s="32">
        <f>SUMIFS(Table3[Days with], Table3[Ref], Table2[[#This Row],[Ref]],Table3[Who With],"Legal")</f>
        <v>0</v>
      </c>
      <c r="P434" s="34">
        <f>SUMIFS(Table3[Total Cycle Time],Table3[Ref],Table2[[#This Row],[Ref]])</f>
        <v>0</v>
      </c>
    </row>
    <row r="435" spans="1:16" hidden="1" x14ac:dyDescent="0.25">
      <c r="A435" s="39" t="str">
        <f>IF(Table2[[#This Row],[Date Received]]="","",_xlfn.CONCAT(Table2[[#This Row],[Counterparty]]," - ",Table2[[#This Row],[Contract Name]]))</f>
        <v>G4S - Cash Services</v>
      </c>
      <c r="B435" s="33">
        <v>45425</v>
      </c>
      <c r="C435" s="32" t="s">
        <v>11</v>
      </c>
      <c r="D435" s="32" t="s">
        <v>1012</v>
      </c>
      <c r="E435" s="32"/>
      <c r="F435" s="32" t="s">
        <v>16</v>
      </c>
      <c r="G435" s="32" t="s">
        <v>14</v>
      </c>
      <c r="H435" s="32" t="s">
        <v>17</v>
      </c>
      <c r="I435" s="32" t="s">
        <v>1013</v>
      </c>
      <c r="J435" s="32" t="s">
        <v>1014</v>
      </c>
      <c r="K435" s="32" t="s">
        <v>59</v>
      </c>
      <c r="L435" s="32" t="s">
        <v>169</v>
      </c>
      <c r="M435" s="32" t="str">
        <f>IF(Table2[[#This Row],[Stage]]="Closed","Closed","Open")</f>
        <v>Closed</v>
      </c>
      <c r="N435" s="32" t="s">
        <v>1015</v>
      </c>
      <c r="O435" s="32">
        <f ca="1">SUMIFS(Table3[Days with], Table3[Ref], Table2[[#This Row],[Ref]],Table3[Who With],"Legal")</f>
        <v>50</v>
      </c>
      <c r="P435" s="34">
        <f>SUMIFS(Table3[Total Cycle Time],Table3[Ref],Table2[[#This Row],[Ref]])</f>
        <v>50</v>
      </c>
    </row>
    <row r="436" spans="1:16" hidden="1" x14ac:dyDescent="0.25">
      <c r="A436" s="39" t="str">
        <f>IF(Table2[[#This Row],[Date Received]]="","",_xlfn.CONCAT(Table2[[#This Row],[Counterparty]]," - ",Table2[[#This Row],[Contract Name]]))</f>
        <v>Speakers Corner - Services Contract</v>
      </c>
      <c r="B436" s="33">
        <v>45427</v>
      </c>
      <c r="C436" s="32" t="s">
        <v>11</v>
      </c>
      <c r="D436" s="32" t="s">
        <v>1011</v>
      </c>
      <c r="E436" s="32"/>
      <c r="F436" s="32" t="s">
        <v>12</v>
      </c>
      <c r="G436" s="32" t="s">
        <v>36</v>
      </c>
      <c r="H436" s="32" t="s">
        <v>17</v>
      </c>
      <c r="I436" s="32" t="s">
        <v>71</v>
      </c>
      <c r="J436" s="32" t="s">
        <v>452</v>
      </c>
      <c r="K436" s="32" t="s">
        <v>59</v>
      </c>
      <c r="L436" s="32" t="s">
        <v>169</v>
      </c>
      <c r="M436" s="32" t="str">
        <f>IF(Table2[[#This Row],[Stage]]="Closed","Closed","Open")</f>
        <v>Closed</v>
      </c>
      <c r="N436" s="32" t="s">
        <v>453</v>
      </c>
      <c r="O436" s="32">
        <f ca="1">SUMIFS(Table3[Days with], Table3[Ref], Table2[[#This Row],[Ref]],Table3[Who With],"Legal")</f>
        <v>16</v>
      </c>
      <c r="P436" s="34">
        <f>SUMIFS(Table3[Total Cycle Time],Table3[Ref],Table2[[#This Row],[Ref]])</f>
        <v>16</v>
      </c>
    </row>
    <row r="437" spans="1:16" hidden="1" x14ac:dyDescent="0.25">
      <c r="A437" s="39" t="str">
        <f>IF(Table2[[#This Row],[Date Received]]="","",_xlfn.CONCAT(Table2[[#This Row],[Counterparty]]," - ",Table2[[#This Row],[Contract Name]]))</f>
        <v>Optimisely - Services Agreement</v>
      </c>
      <c r="B437" s="33">
        <v>45433</v>
      </c>
      <c r="C437" s="32" t="s">
        <v>11</v>
      </c>
      <c r="D437" s="32" t="s">
        <v>852</v>
      </c>
      <c r="E437" s="32"/>
      <c r="F437" s="32" t="s">
        <v>12</v>
      </c>
      <c r="G437" s="32" t="s">
        <v>36</v>
      </c>
      <c r="H437" s="32" t="s">
        <v>17</v>
      </c>
      <c r="I437" s="32" t="s">
        <v>32</v>
      </c>
      <c r="J437" s="32" t="s">
        <v>647</v>
      </c>
      <c r="K437" s="32" t="s">
        <v>647</v>
      </c>
      <c r="L437" s="32" t="s">
        <v>169</v>
      </c>
      <c r="M437" s="32" t="str">
        <f>IF(Table2[[#This Row],[Stage]]="Closed","Closed","Open")</f>
        <v>Closed</v>
      </c>
      <c r="N437" s="32" t="s">
        <v>1016</v>
      </c>
      <c r="O437" s="32">
        <f ca="1">SUMIFS(Table3[Days with], Table3[Ref], Table2[[#This Row],[Ref]],Table3[Who With],"Legal")</f>
        <v>10</v>
      </c>
      <c r="P437" s="34">
        <f>SUMIFS(Table3[Total Cycle Time],Table3[Ref],Table2[[#This Row],[Ref]])</f>
        <v>10</v>
      </c>
    </row>
    <row r="438" spans="1:16" hidden="1" x14ac:dyDescent="0.25">
      <c r="A438" s="39" t="str">
        <f>IF(Table2[[#This Row],[Date Received]]="","",_xlfn.CONCAT(Table2[[#This Row],[Counterparty]]," - ",Table2[[#This Row],[Contract Name]]))</f>
        <v>Cantelo - Consultancy Agreement</v>
      </c>
      <c r="B438" s="33">
        <v>45436</v>
      </c>
      <c r="C438" s="32" t="s">
        <v>11</v>
      </c>
      <c r="D438" s="32" t="s">
        <v>1017</v>
      </c>
      <c r="E438" s="32"/>
      <c r="F438" s="32" t="s">
        <v>12</v>
      </c>
      <c r="G438" s="32" t="s">
        <v>27</v>
      </c>
      <c r="H438" s="32" t="s">
        <v>15</v>
      </c>
      <c r="I438" s="32" t="s">
        <v>41</v>
      </c>
      <c r="J438" s="32" t="s">
        <v>28</v>
      </c>
      <c r="K438" s="32" t="s">
        <v>28</v>
      </c>
      <c r="L438" s="32" t="s">
        <v>169</v>
      </c>
      <c r="M438" s="32" t="str">
        <f>IF(Table2[[#This Row],[Stage]]="Closed","Closed","Open")</f>
        <v>Closed</v>
      </c>
      <c r="N438" s="32" t="s">
        <v>1018</v>
      </c>
      <c r="O438" s="32">
        <f ca="1">SUMIFS(Table3[Days with], Table3[Ref], Table2[[#This Row],[Ref]],Table3[Who With],"Legal")</f>
        <v>19</v>
      </c>
      <c r="P438" s="34">
        <f>SUMIFS(Table3[Total Cycle Time],Table3[Ref],Table2[[#This Row],[Ref]])</f>
        <v>19</v>
      </c>
    </row>
    <row r="439" spans="1:16" hidden="1" x14ac:dyDescent="0.25">
      <c r="A439" s="39" t="str">
        <f>IF(Table2[[#This Row],[Date Received]]="","",_xlfn.CONCAT(Table2[[#This Row],[Counterparty]]," - ",Table2[[#This Row],[Contract Name]]))</f>
        <v>Vodafone - Phone contract</v>
      </c>
      <c r="B439" s="33">
        <v>45440</v>
      </c>
      <c r="C439" s="32" t="s">
        <v>11</v>
      </c>
      <c r="D439" s="32" t="s">
        <v>130</v>
      </c>
      <c r="E439" s="32"/>
      <c r="F439" s="32" t="s">
        <v>12</v>
      </c>
      <c r="G439" s="32" t="s">
        <v>34</v>
      </c>
      <c r="H439" s="32" t="s">
        <v>17</v>
      </c>
      <c r="I439" s="32" t="s">
        <v>131</v>
      </c>
      <c r="J439" s="32" t="s">
        <v>78</v>
      </c>
      <c r="K439" s="32" t="s">
        <v>4</v>
      </c>
      <c r="L439" s="32"/>
      <c r="M439" s="32" t="str">
        <f>IF(Table2[[#This Row],[Stage]]="Closed","Closed","Open")</f>
        <v>Open</v>
      </c>
      <c r="N439" s="32" t="s">
        <v>70</v>
      </c>
      <c r="O439" s="32">
        <f>SUMIFS(Table3[Days with], Table3[Ref], Table2[[#This Row],[Ref]],Table3[Who With],"Legal")</f>
        <v>0</v>
      </c>
      <c r="P439" s="34">
        <f>SUMIFS(Table3[Total Cycle Time],Table3[Ref],Table2[[#This Row],[Ref]])</f>
        <v>0</v>
      </c>
    </row>
    <row r="440" spans="1:16" hidden="1" x14ac:dyDescent="0.25">
      <c r="A440" s="39" t="str">
        <f>IF(Table2[[#This Row],[Date Received]]="","",_xlfn.CONCAT(Table2[[#This Row],[Counterparty]]," - ",Table2[[#This Row],[Contract Name]]))</f>
        <v>Metlife - Life Insurance Contract</v>
      </c>
      <c r="B440" s="33">
        <v>45440</v>
      </c>
      <c r="C440" s="32" t="s">
        <v>11</v>
      </c>
      <c r="D440" s="32" t="s">
        <v>132</v>
      </c>
      <c r="E440" s="32"/>
      <c r="F440" s="32" t="s">
        <v>12</v>
      </c>
      <c r="G440" s="32" t="s">
        <v>30</v>
      </c>
      <c r="H440" s="32" t="s">
        <v>17</v>
      </c>
      <c r="I440" s="32" t="s">
        <v>133</v>
      </c>
      <c r="J440" s="32" t="s">
        <v>83</v>
      </c>
      <c r="K440" s="32" t="s">
        <v>4</v>
      </c>
      <c r="L440" s="32"/>
      <c r="M440" s="32" t="str">
        <f>IF(Table2[[#This Row],[Stage]]="Closed","Closed","Open")</f>
        <v>Open</v>
      </c>
      <c r="N440" s="32" t="s">
        <v>134</v>
      </c>
      <c r="O440" s="32">
        <f>SUMIFS(Table3[Days with], Table3[Ref], Table2[[#This Row],[Ref]],Table3[Who With],"Legal")</f>
        <v>0</v>
      </c>
      <c r="P440" s="34">
        <f>SUMIFS(Table3[Total Cycle Time],Table3[Ref],Table2[[#This Row],[Ref]])</f>
        <v>0</v>
      </c>
    </row>
    <row r="441" spans="1:16" hidden="1" x14ac:dyDescent="0.25">
      <c r="A441" s="39" t="str">
        <f>IF(Table2[[#This Row],[Date Received]]="","",_xlfn.CONCAT(Table2[[#This Row],[Counterparty]]," - ",Table2[[#This Row],[Contract Name]]))</f>
        <v>Hills - Sale of Goods contract</v>
      </c>
      <c r="B441" s="33">
        <v>45440</v>
      </c>
      <c r="C441" s="32" t="s">
        <v>11</v>
      </c>
      <c r="D441" s="32" t="s">
        <v>138</v>
      </c>
      <c r="E441" s="32"/>
      <c r="F441" s="32" t="s">
        <v>12</v>
      </c>
      <c r="G441" s="32" t="s">
        <v>14</v>
      </c>
      <c r="H441" s="32" t="s">
        <v>17</v>
      </c>
      <c r="I441" s="32" t="s">
        <v>139</v>
      </c>
      <c r="J441" s="32" t="s">
        <v>31</v>
      </c>
      <c r="K441" s="32" t="s">
        <v>4</v>
      </c>
      <c r="L441" s="32"/>
      <c r="M441" s="32" t="str">
        <f>IF(Table2[[#This Row],[Stage]]="Closed","Closed","Open")</f>
        <v>Open</v>
      </c>
      <c r="N441" s="32" t="s">
        <v>73</v>
      </c>
      <c r="O441" s="32">
        <f>SUMIFS(Table3[Days with], Table3[Ref], Table2[[#This Row],[Ref]],Table3[Who With],"Legal")</f>
        <v>0</v>
      </c>
      <c r="P441" s="34">
        <f>SUMIFS(Table3[Total Cycle Time],Table3[Ref],Table2[[#This Row],[Ref]])</f>
        <v>0</v>
      </c>
    </row>
    <row r="442" spans="1:16" x14ac:dyDescent="0.25">
      <c r="A442" s="39" t="str">
        <f>IF(Table2[[#This Row],[Date Received]]="","",_xlfn.CONCAT(Table2[[#This Row],[Counterparty]]," - ",Table2[[#This Row],[Contract Name]]))</f>
        <v>Efficio - SLA and T&amp;Cs</v>
      </c>
      <c r="B442" s="33">
        <v>45452</v>
      </c>
      <c r="C442" s="32" t="s">
        <v>11</v>
      </c>
      <c r="D442" s="32" t="s">
        <v>135</v>
      </c>
      <c r="E442" s="32"/>
      <c r="F442" s="32" t="s">
        <v>16</v>
      </c>
      <c r="G442" s="32" t="s">
        <v>27</v>
      </c>
      <c r="H442" s="32" t="s">
        <v>17</v>
      </c>
      <c r="I442" s="32" t="s">
        <v>136</v>
      </c>
      <c r="J442" s="32" t="s">
        <v>28</v>
      </c>
      <c r="K442" s="32" t="s">
        <v>4</v>
      </c>
      <c r="L442" s="32" t="s">
        <v>166</v>
      </c>
      <c r="M442" s="32" t="str">
        <f>IF(Table2[[#This Row],[Stage]]="Closed","Closed","Open")</f>
        <v>Open</v>
      </c>
      <c r="N442" s="32" t="s">
        <v>137</v>
      </c>
      <c r="O442" s="32">
        <f ca="1">SUMIFS(Table3[Days with], Table3[Ref], Table2[[#This Row],[Ref]],Table3[Who With],"Legal")</f>
        <v>3</v>
      </c>
      <c r="P442" s="34">
        <f>SUMIFS(Table3[Total Cycle Time],Table3[Ref],Table2[[#This Row],[Ref]])</f>
        <v>0</v>
      </c>
    </row>
    <row r="443" spans="1:16" hidden="1" x14ac:dyDescent="0.25">
      <c r="A443" s="39" t="str">
        <f>IF(Table2[[#This Row],[Date Received]]="","",_xlfn.CONCAT(Table2[[#This Row],[Counterparty]]," - ",Table2[[#This Row],[Contract Name]]))</f>
        <v>EY - Statement of Work</v>
      </c>
      <c r="B443" s="33">
        <v>45461</v>
      </c>
      <c r="C443" s="32" t="s">
        <v>11</v>
      </c>
      <c r="D443" s="32" t="s">
        <v>357</v>
      </c>
      <c r="E443" s="32"/>
      <c r="F443" s="32" t="s">
        <v>12</v>
      </c>
      <c r="G443" s="32" t="s">
        <v>27</v>
      </c>
      <c r="H443" s="32" t="s">
        <v>17</v>
      </c>
      <c r="I443" s="32" t="s">
        <v>1019</v>
      </c>
      <c r="J443" s="32" t="s">
        <v>394</v>
      </c>
      <c r="K443" s="32" t="s">
        <v>4</v>
      </c>
      <c r="L443" s="32" t="s">
        <v>169</v>
      </c>
      <c r="M443" s="32" t="str">
        <f>IF(Table2[[#This Row],[Stage]]="Closed","Closed","Open")</f>
        <v>Closed</v>
      </c>
      <c r="N443" s="32" t="s">
        <v>453</v>
      </c>
      <c r="O443" s="32">
        <f ca="1">SUMIFS(Table3[Days with], Table3[Ref], Table2[[#This Row],[Ref]],Table3[Who With],"Legal")</f>
        <v>15</v>
      </c>
      <c r="P443" s="34">
        <f>SUMIFS(Table3[Total Cycle Time],Table3[Ref],Table2[[#This Row],[Ref]])</f>
        <v>15</v>
      </c>
    </row>
    <row r="444" spans="1:16" hidden="1" x14ac:dyDescent="0.25">
      <c r="A444" s="39" t="str">
        <f>IF(Table2[[#This Row],[Date Received]]="","",_xlfn.CONCAT(Table2[[#This Row],[Counterparty]]," - ",Table2[[#This Row],[Contract Name]]))</f>
        <v>Hallmarq - CT Contract</v>
      </c>
      <c r="B444" s="33">
        <v>45461</v>
      </c>
      <c r="C444" s="32" t="s">
        <v>11</v>
      </c>
      <c r="D444" s="32" t="s">
        <v>1020</v>
      </c>
      <c r="E444" s="32"/>
      <c r="F444" s="32" t="s">
        <v>12</v>
      </c>
      <c r="G444" s="32" t="s">
        <v>36</v>
      </c>
      <c r="H444" s="32" t="s">
        <v>17</v>
      </c>
      <c r="I444" s="32" t="s">
        <v>1021</v>
      </c>
      <c r="J444" s="32" t="s">
        <v>1022</v>
      </c>
      <c r="K444" s="32" t="s">
        <v>1022</v>
      </c>
      <c r="L444" s="32" t="s">
        <v>169</v>
      </c>
      <c r="M444" s="32" t="str">
        <f>IF(Table2[[#This Row],[Stage]]="Closed","Closed","Open")</f>
        <v>Closed</v>
      </c>
      <c r="N444" s="32" t="s">
        <v>814</v>
      </c>
      <c r="O444" s="32">
        <f ca="1">SUMIFS(Table3[Days with], Table3[Ref], Table2[[#This Row],[Ref]],Table3[Who With],"Legal")</f>
        <v>15</v>
      </c>
      <c r="P444" s="34">
        <f>SUMIFS(Table3[Total Cycle Time],Table3[Ref],Table2[[#This Row],[Ref]])</f>
        <v>15</v>
      </c>
    </row>
    <row r="445" spans="1:16" hidden="1" x14ac:dyDescent="0.25">
      <c r="A445" s="39" t="str">
        <f>IF(Table2[[#This Row],[Date Received]]="","",_xlfn.CONCAT(Table2[[#This Row],[Counterparty]]," - ",Table2[[#This Row],[Contract Name]]))</f>
        <v>Stripe - Extension Agreement</v>
      </c>
      <c r="B445" s="33">
        <v>45469</v>
      </c>
      <c r="C445" s="32" t="s">
        <v>11</v>
      </c>
      <c r="D445" s="32" t="s">
        <v>89</v>
      </c>
      <c r="E445" s="32"/>
      <c r="F445" s="32" t="s">
        <v>12</v>
      </c>
      <c r="G445" s="32" t="s">
        <v>36</v>
      </c>
      <c r="H445" s="32" t="s">
        <v>17</v>
      </c>
      <c r="I445" s="32" t="s">
        <v>140</v>
      </c>
      <c r="J445" s="32" t="s">
        <v>141</v>
      </c>
      <c r="K445" s="32" t="s">
        <v>4</v>
      </c>
      <c r="L445" s="32"/>
      <c r="M445" s="32" t="str">
        <f>IF(Table2[[#This Row],[Stage]]="Closed","Closed","Open")</f>
        <v>Open</v>
      </c>
      <c r="N445" s="32" t="s">
        <v>142</v>
      </c>
      <c r="O445" s="32">
        <f>SUMIFS(Table3[Days with], Table3[Ref], Table2[[#This Row],[Ref]],Table3[Who With],"Legal")</f>
        <v>0</v>
      </c>
      <c r="P445" s="34">
        <f>SUMIFS(Table3[Total Cycle Time],Table3[Ref],Table2[[#This Row],[Ref]])</f>
        <v>0</v>
      </c>
    </row>
    <row r="446" spans="1:16" x14ac:dyDescent="0.25">
      <c r="A446" s="39" t="str">
        <f>IF(Table2[[#This Row],[Date Received]]="","",_xlfn.CONCAT(Table2[[#This Row],[Counterparty]]," - ",Table2[[#This Row],[Contract Name]]))</f>
        <v>Streetvet - Pro-bono Servuces Agreement</v>
      </c>
      <c r="B446" s="33">
        <v>45476</v>
      </c>
      <c r="C446" s="32" t="s">
        <v>11</v>
      </c>
      <c r="D446" s="32" t="s">
        <v>145</v>
      </c>
      <c r="E446" s="32" t="s">
        <v>146</v>
      </c>
      <c r="F446" s="32" t="s">
        <v>16</v>
      </c>
      <c r="G446" s="32" t="s">
        <v>36</v>
      </c>
      <c r="H446" s="32" t="s">
        <v>15</v>
      </c>
      <c r="I446" s="32" t="s">
        <v>147</v>
      </c>
      <c r="J446" s="32" t="s">
        <v>148</v>
      </c>
      <c r="K446" s="32" t="s">
        <v>24</v>
      </c>
      <c r="L446" s="32" t="s">
        <v>167</v>
      </c>
      <c r="M446" s="32" t="str">
        <f>IF(Table2[[#This Row],[Stage]]="Closed","Closed","Open")</f>
        <v>Open</v>
      </c>
      <c r="N446" s="32" t="s">
        <v>149</v>
      </c>
      <c r="O446" s="32">
        <f ca="1">SUMIFS(Table3[Days with], Table3[Ref], Table2[[#This Row],[Ref]],Table3[Who With],"Legal")</f>
        <v>1</v>
      </c>
      <c r="P446" s="34">
        <f>SUMIFS(Table3[Total Cycle Time],Table3[Ref],Table2[[#This Row],[Ref]])</f>
        <v>0</v>
      </c>
    </row>
    <row r="447" spans="1:16" hidden="1" x14ac:dyDescent="0.25">
      <c r="A447" s="39" t="str">
        <f>IF(Table2[[#This Row],[Date Received]]="","",_xlfn.CONCAT(Table2[[#This Row],[Counterparty]]," - ",Table2[[#This Row],[Contract Name]]))</f>
        <v>Adaptix  - Services agreement</v>
      </c>
      <c r="B447" s="33">
        <v>45476</v>
      </c>
      <c r="C447" s="32" t="s">
        <v>11</v>
      </c>
      <c r="D447" s="32" t="s">
        <v>44</v>
      </c>
      <c r="E447" s="32" t="s">
        <v>143</v>
      </c>
      <c r="F447" s="32" t="s">
        <v>12</v>
      </c>
      <c r="G447" s="32" t="s">
        <v>36</v>
      </c>
      <c r="H447" s="32" t="s">
        <v>17</v>
      </c>
      <c r="I447" s="32" t="s">
        <v>144</v>
      </c>
      <c r="J447" s="32" t="s">
        <v>76</v>
      </c>
      <c r="K447" s="32" t="s">
        <v>4</v>
      </c>
      <c r="L447" s="32"/>
      <c r="M447" s="32" t="str">
        <f>IF(Table2[[#This Row],[Stage]]="Closed","Closed","Open")</f>
        <v>Open</v>
      </c>
      <c r="N447" s="32" t="s">
        <v>73</v>
      </c>
      <c r="O447" s="32">
        <f>SUMIFS(Table3[Days with], Table3[Ref], Table2[[#This Row],[Ref]],Table3[Who With],"Legal")</f>
        <v>0</v>
      </c>
      <c r="P447" s="34">
        <f>SUMIFS(Table3[Total Cycle Time],Table3[Ref],Table2[[#This Row],[Ref]])</f>
        <v>0</v>
      </c>
    </row>
    <row r="448" spans="1:16" x14ac:dyDescent="0.25">
      <c r="A448" s="39" t="str">
        <f>IF(Table2[[#This Row],[Date Received]]="","",_xlfn.CONCAT(Table2[[#This Row],[Counterparty]]," - ",Table2[[#This Row],[Contract Name]]))</f>
        <v>Lintbells - Rebate Agreement 4</v>
      </c>
      <c r="B448" s="33">
        <v>45484</v>
      </c>
      <c r="C448" s="32" t="s">
        <v>11</v>
      </c>
      <c r="D448" s="32" t="s">
        <v>56</v>
      </c>
      <c r="E448" s="32" t="s">
        <v>13</v>
      </c>
      <c r="F448" s="32" t="s">
        <v>16</v>
      </c>
      <c r="G448" s="32" t="s">
        <v>14</v>
      </c>
      <c r="H448" s="32" t="s">
        <v>17</v>
      </c>
      <c r="I448" s="32" t="s">
        <v>1481</v>
      </c>
      <c r="J448" s="32" t="s">
        <v>63</v>
      </c>
      <c r="K448" s="32" t="s">
        <v>8</v>
      </c>
      <c r="L448" s="32" t="s">
        <v>23</v>
      </c>
      <c r="M448" s="32" t="str">
        <f>IF(Table2[[#This Row],[Stage]]="Closed","Closed","Open")</f>
        <v>Open</v>
      </c>
      <c r="N448" s="32" t="s">
        <v>1564</v>
      </c>
      <c r="O448" s="32">
        <f ca="1">SUMIFS(Table3[Days with], Table3[Ref], Table2[[#This Row],[Ref]],Table3[Who With],"Legal")</f>
        <v>11</v>
      </c>
      <c r="P448" s="34">
        <f>SUMIFS(Table3[Total Cycle Time],Table3[Ref],Table2[[#This Row],[Ref]])</f>
        <v>0</v>
      </c>
    </row>
    <row r="449" spans="1:16" x14ac:dyDescent="0.25">
      <c r="A449" s="39" t="str">
        <f>IF(Table2[[#This Row],[Date Received]]="","",_xlfn.CONCAT(Table2[[#This Row],[Counterparty]]," - ",Table2[[#This Row],[Contract Name]]))</f>
        <v>Norbrook - Rebate Agreement</v>
      </c>
      <c r="B449" s="33">
        <v>45484</v>
      </c>
      <c r="C449" s="32" t="s">
        <v>11</v>
      </c>
      <c r="D449" s="32" t="s">
        <v>58</v>
      </c>
      <c r="E449" s="32" t="s">
        <v>13</v>
      </c>
      <c r="F449" s="32" t="s">
        <v>16</v>
      </c>
      <c r="G449" s="32" t="s">
        <v>14</v>
      </c>
      <c r="H449" s="32" t="s">
        <v>17</v>
      </c>
      <c r="I449" s="32" t="s">
        <v>48</v>
      </c>
      <c r="J449" s="32" t="s">
        <v>63</v>
      </c>
      <c r="K449" s="32" t="s">
        <v>8</v>
      </c>
      <c r="L449" s="32" t="s">
        <v>23</v>
      </c>
      <c r="M449" s="32" t="str">
        <f>IF(Table2[[#This Row],[Stage]]="Closed","Closed","Open")</f>
        <v>Open</v>
      </c>
      <c r="N449" s="32" t="s">
        <v>150</v>
      </c>
      <c r="O449" s="32">
        <f ca="1">SUMIFS(Table3[Days with], Table3[Ref], Table2[[#This Row],[Ref]],Table3[Who With],"Legal")</f>
        <v>11</v>
      </c>
      <c r="P449" s="34">
        <f>SUMIFS(Table3[Total Cycle Time],Table3[Ref],Table2[[#This Row],[Ref]])</f>
        <v>0</v>
      </c>
    </row>
    <row r="450" spans="1:16" x14ac:dyDescent="0.25">
      <c r="A450" s="39" t="str">
        <f>IF(Table2[[#This Row],[Date Received]]="","",_xlfn.CONCAT(Table2[[#This Row],[Counterparty]]," - ",Table2[[#This Row],[Contract Name]]))</f>
        <v>Vetoquinol  - Rebate Agreement</v>
      </c>
      <c r="B450" s="33">
        <v>45484</v>
      </c>
      <c r="C450" s="32" t="s">
        <v>11</v>
      </c>
      <c r="D450" s="32" t="s">
        <v>57</v>
      </c>
      <c r="E450" s="32" t="s">
        <v>13</v>
      </c>
      <c r="F450" s="32" t="s">
        <v>16</v>
      </c>
      <c r="G450" s="32" t="s">
        <v>14</v>
      </c>
      <c r="H450" s="32" t="s">
        <v>17</v>
      </c>
      <c r="I450" s="32" t="s">
        <v>48</v>
      </c>
      <c r="J450" s="32" t="s">
        <v>63</v>
      </c>
      <c r="K450" s="32" t="s">
        <v>8</v>
      </c>
      <c r="L450" s="32" t="s">
        <v>23</v>
      </c>
      <c r="M450" s="32" t="str">
        <f>IF(Table2[[#This Row],[Stage]]="Closed","Closed","Open")</f>
        <v>Open</v>
      </c>
      <c r="N450" s="32" t="s">
        <v>150</v>
      </c>
      <c r="O450" s="32">
        <f ca="1">SUMIFS(Table3[Days with], Table3[Ref], Table2[[#This Row],[Ref]],Table3[Who With],"Legal")</f>
        <v>11</v>
      </c>
      <c r="P450" s="34">
        <f>SUMIFS(Table3[Total Cycle Time],Table3[Ref],Table2[[#This Row],[Ref]])</f>
        <v>0</v>
      </c>
    </row>
    <row r="451" spans="1:16" hidden="1" x14ac:dyDescent="0.25">
      <c r="A451" s="39" t="str">
        <f>IF(Table2[[#This Row],[Date Received]]="","",_xlfn.CONCAT(Table2[[#This Row],[Counterparty]]," - ",Table2[[#This Row],[Contract Name]]))</f>
        <v>Veolia - NDA</v>
      </c>
      <c r="B451" s="33">
        <v>45484</v>
      </c>
      <c r="C451" s="32" t="s">
        <v>11</v>
      </c>
      <c r="D451" s="32" t="s">
        <v>1023</v>
      </c>
      <c r="E451" s="32" t="s">
        <v>13</v>
      </c>
      <c r="F451" s="32" t="s">
        <v>16</v>
      </c>
      <c r="G451" s="32" t="s">
        <v>14</v>
      </c>
      <c r="H451" s="32" t="s">
        <v>17</v>
      </c>
      <c r="I451" s="32" t="s">
        <v>264</v>
      </c>
      <c r="J451" s="32" t="s">
        <v>1014</v>
      </c>
      <c r="K451" s="32" t="s">
        <v>59</v>
      </c>
      <c r="L451" s="32" t="s">
        <v>169</v>
      </c>
      <c r="M451" s="32" t="str">
        <f>IF(Table2[[#This Row],[Stage]]="Closed","Closed","Open")</f>
        <v>Closed</v>
      </c>
      <c r="N451" s="32" t="s">
        <v>1024</v>
      </c>
      <c r="O451" s="32">
        <f ca="1">SUMIFS(Table3[Days with], Table3[Ref], Table2[[#This Row],[Ref]],Table3[Who With],"Legal")</f>
        <v>251</v>
      </c>
      <c r="P451" s="34">
        <f>SUMIFS(Table3[Total Cycle Time],Table3[Ref],Table2[[#This Row],[Ref]])</f>
        <v>0</v>
      </c>
    </row>
    <row r="452" spans="1:16" x14ac:dyDescent="0.25">
      <c r="A452" s="39" t="str">
        <f>IF(Table2[[#This Row],[Date Received]]="","",_xlfn.CONCAT(Table2[[#This Row],[Counterparty]]," - ",Table2[[#This Row],[Contract Name]]))</f>
        <v>Animalcare - Rebate Agreement</v>
      </c>
      <c r="B452" s="33">
        <v>45484</v>
      </c>
      <c r="C452" s="32" t="s">
        <v>11</v>
      </c>
      <c r="D452" s="32" t="s">
        <v>50</v>
      </c>
      <c r="E452" s="32" t="s">
        <v>13</v>
      </c>
      <c r="F452" s="32" t="s">
        <v>16</v>
      </c>
      <c r="G452" s="32" t="s">
        <v>14</v>
      </c>
      <c r="H452" s="32" t="s">
        <v>17</v>
      </c>
      <c r="I452" s="32" t="s">
        <v>48</v>
      </c>
      <c r="J452" s="32" t="s">
        <v>63</v>
      </c>
      <c r="K452" s="32" t="s">
        <v>8</v>
      </c>
      <c r="L452" s="32" t="s">
        <v>23</v>
      </c>
      <c r="M452" s="32" t="str">
        <f>IF(Table2[[#This Row],[Stage]]="Closed","Closed","Open")</f>
        <v>Open</v>
      </c>
      <c r="N452" s="32" t="s">
        <v>1564</v>
      </c>
      <c r="O452" s="32">
        <f ca="1">SUMIFS(Table3[Days with], Table3[Ref], Table2[[#This Row],[Ref]],Table3[Who With],"Legal")</f>
        <v>11</v>
      </c>
      <c r="P452" s="34">
        <f>SUMIFS(Table3[Total Cycle Time],Table3[Ref],Table2[[#This Row],[Ref]])</f>
        <v>0</v>
      </c>
    </row>
    <row r="453" spans="1:16" x14ac:dyDescent="0.25">
      <c r="A453" s="39" t="str">
        <f>IF(Table2[[#This Row],[Date Received]]="","",_xlfn.CONCAT(Table2[[#This Row],[Counterparty]]," - ",Table2[[#This Row],[Contract Name]]))</f>
        <v>Elanco UK AH Limited   - Rebate Agreement</v>
      </c>
      <c r="B453" s="33">
        <v>45484</v>
      </c>
      <c r="C453" s="32" t="s">
        <v>11</v>
      </c>
      <c r="D453" s="32" t="s">
        <v>64</v>
      </c>
      <c r="E453" s="32" t="s">
        <v>13</v>
      </c>
      <c r="F453" s="32" t="s">
        <v>16</v>
      </c>
      <c r="G453" s="32" t="s">
        <v>14</v>
      </c>
      <c r="H453" s="32" t="s">
        <v>17</v>
      </c>
      <c r="I453" s="32" t="s">
        <v>48</v>
      </c>
      <c r="J453" s="32" t="s">
        <v>63</v>
      </c>
      <c r="K453" s="32" t="s">
        <v>8</v>
      </c>
      <c r="L453" s="32" t="s">
        <v>23</v>
      </c>
      <c r="M453" s="32" t="str">
        <f>IF(Table2[[#This Row],[Stage]]="Closed","Closed","Open")</f>
        <v>Open</v>
      </c>
      <c r="N453" s="32" t="s">
        <v>1564</v>
      </c>
      <c r="O453" s="32">
        <f ca="1">SUMIFS(Table3[Days with], Table3[Ref], Table2[[#This Row],[Ref]],Table3[Who With],"Legal")</f>
        <v>11</v>
      </c>
      <c r="P453" s="34">
        <f>SUMIFS(Table3[Total Cycle Time],Table3[Ref],Table2[[#This Row],[Ref]])</f>
        <v>0</v>
      </c>
    </row>
    <row r="454" spans="1:16" x14ac:dyDescent="0.25">
      <c r="A454" s="39" t="str">
        <f>IF(Table2[[#This Row],[Date Received]]="","",_xlfn.CONCAT(Table2[[#This Row],[Counterparty]]," - ",Table2[[#This Row],[Contract Name]]))</f>
        <v>MSD - Supply Agreement</v>
      </c>
      <c r="B454" s="33">
        <v>45484</v>
      </c>
      <c r="C454" s="32" t="s">
        <v>11</v>
      </c>
      <c r="D454" s="32" t="s">
        <v>65</v>
      </c>
      <c r="E454" s="32" t="s">
        <v>13</v>
      </c>
      <c r="F454" s="32" t="s">
        <v>16</v>
      </c>
      <c r="G454" s="32" t="s">
        <v>14</v>
      </c>
      <c r="H454" s="32" t="s">
        <v>17</v>
      </c>
      <c r="I454" s="32" t="s">
        <v>46</v>
      </c>
      <c r="J454" s="32" t="s">
        <v>63</v>
      </c>
      <c r="K454" s="32" t="s">
        <v>8</v>
      </c>
      <c r="L454" s="32" t="s">
        <v>23</v>
      </c>
      <c r="M454" s="32" t="str">
        <f>IF(Table2[[#This Row],[Stage]]="Closed","Closed","Open")</f>
        <v>Open</v>
      </c>
      <c r="N454" s="32" t="s">
        <v>1564</v>
      </c>
      <c r="O454" s="32">
        <f ca="1">SUMIFS(Table3[Days with], Table3[Ref], Table2[[#This Row],[Ref]],Table3[Who With],"Legal")</f>
        <v>11</v>
      </c>
      <c r="P454" s="34">
        <f>SUMIFS(Table3[Total Cycle Time],Table3[Ref],Table2[[#This Row],[Ref]])</f>
        <v>0</v>
      </c>
    </row>
    <row r="455" spans="1:16" hidden="1" x14ac:dyDescent="0.25">
      <c r="A455" s="41" t="str">
        <f>IF(Table2[[#This Row],[Date Received]]="","",_xlfn.CONCAT(Table2[[#This Row],[Counterparty]]," - ",Table2[[#This Row],[Contract Name]]))</f>
        <v>EDF - Utility contract</v>
      </c>
      <c r="B455" s="37">
        <v>45485</v>
      </c>
      <c r="C455" s="36" t="s">
        <v>11</v>
      </c>
      <c r="D455" s="36" t="s">
        <v>67</v>
      </c>
      <c r="E455" s="36"/>
      <c r="F455" s="36" t="s">
        <v>12</v>
      </c>
      <c r="G455" s="36" t="s">
        <v>14</v>
      </c>
      <c r="H455" s="36" t="s">
        <v>17</v>
      </c>
      <c r="I455" s="36" t="s">
        <v>68</v>
      </c>
      <c r="J455" s="36" t="s">
        <v>31</v>
      </c>
      <c r="K455" s="36" t="s">
        <v>24</v>
      </c>
      <c r="L455" s="36"/>
      <c r="M455" s="36" t="str">
        <f>IF(Table2[[#This Row],[Stage]]="Closed","Closed","Open")</f>
        <v>Open</v>
      </c>
      <c r="N455" s="36" t="s">
        <v>55</v>
      </c>
      <c r="O455" s="36">
        <f>SUMIFS(Table3[Days with], Table3[Ref], Table2[[#This Row],[Ref]],Table3[Who With],"Legal")</f>
        <v>0</v>
      </c>
      <c r="P455" s="38">
        <f>SUMIFS(Table3[Total Cycle Time],Table3[Ref],Table2[[#This Row],[Ref]])</f>
        <v>0</v>
      </c>
    </row>
    <row r="456" spans="1:16" hidden="1" x14ac:dyDescent="0.25">
      <c r="A456" s="41" t="str">
        <f>IF(Table2[[#This Row],[Date Received]]="","",_xlfn.CONCAT(Table2[[#This Row],[Counterparty]]," - ",Table2[[#This Row],[Contract Name]]))</f>
        <v>MSD Animal Health - Rebate Agreement New</v>
      </c>
      <c r="B456" s="37">
        <v>45485</v>
      </c>
      <c r="C456" s="36" t="s">
        <v>11</v>
      </c>
      <c r="D456" s="36" t="s">
        <v>1009</v>
      </c>
      <c r="E456" s="36" t="s">
        <v>1547</v>
      </c>
      <c r="F456" s="36" t="s">
        <v>12</v>
      </c>
      <c r="G456" s="36" t="s">
        <v>14</v>
      </c>
      <c r="H456" s="36" t="s">
        <v>17</v>
      </c>
      <c r="I456" s="36" t="s">
        <v>1548</v>
      </c>
      <c r="J456" s="36" t="s">
        <v>31</v>
      </c>
      <c r="K456" s="36" t="s">
        <v>4</v>
      </c>
      <c r="L456" s="36" t="s">
        <v>23</v>
      </c>
      <c r="M456" s="36" t="str">
        <f>IF(Table2[[#This Row],[Stage]]="Closed","Closed","Open")</f>
        <v>Open</v>
      </c>
      <c r="N456" s="36" t="s">
        <v>1549</v>
      </c>
      <c r="O456" s="36">
        <f ca="1">SUMIFS(Table3[Days with], Table3[Ref], Table2[[#This Row],[Ref]],Table3[Who With],"Legal")</f>
        <v>250</v>
      </c>
      <c r="P456" s="38">
        <f>SUMIFS(Table3[Total Cycle Time],Table3[Ref],Table2[[#This Row],[Ref]])</f>
        <v>0</v>
      </c>
    </row>
    <row r="457" spans="1:16" x14ac:dyDescent="0.25">
      <c r="A457" s="41" t="str">
        <f>IF(Table2[[#This Row],[Date Received]]="","",_xlfn.CONCAT(Table2[[#This Row],[Counterparty]]," - ",Table2[[#This Row],[Contract Name]]))</f>
        <v>PPL PRS - Terms and Conditions</v>
      </c>
      <c r="B457" s="37">
        <v>45489</v>
      </c>
      <c r="C457" s="36" t="s">
        <v>11</v>
      </c>
      <c r="D457" s="36" t="s">
        <v>1551</v>
      </c>
      <c r="E457" s="36" t="s">
        <v>1547</v>
      </c>
      <c r="F457" s="36" t="s">
        <v>16</v>
      </c>
      <c r="G457" s="36" t="s">
        <v>14</v>
      </c>
      <c r="H457" s="36" t="s">
        <v>17</v>
      </c>
      <c r="I457" s="36" t="s">
        <v>1552</v>
      </c>
      <c r="J457" s="36" t="s">
        <v>1553</v>
      </c>
      <c r="K457" s="32" t="s">
        <v>8</v>
      </c>
      <c r="L457" s="36" t="s">
        <v>23</v>
      </c>
      <c r="M457" s="36" t="str">
        <f>IF(Table2[[#This Row],[Stage]]="Closed","Closed","Open")</f>
        <v>Open</v>
      </c>
      <c r="N457" s="36" t="s">
        <v>1554</v>
      </c>
      <c r="O457" s="36">
        <f>SUMIFS(Table3[Days with], Table3[Ref], Table2[[#This Row],[Ref]],Table3[Who With],"Legal")</f>
        <v>0</v>
      </c>
      <c r="P457" s="38">
        <f>SUMIFS(Table3[Total Cycle Time],Table3[Ref],Table2[[#This Row],[Ref]])</f>
        <v>0</v>
      </c>
    </row>
  </sheetData>
  <conditionalFormatting sqref="A1:A1048576">
    <cfRule type="duplicateValues" dxfId="66" priority="1"/>
    <cfRule type="duplicateValues" dxfId="65" priority="2"/>
  </conditionalFormatting>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36DDB4-C76B-44A0-9D92-699364992DF9}">
  <sheetPr codeName="Sheet1"/>
  <dimension ref="B1:N419"/>
  <sheetViews>
    <sheetView topLeftCell="A396" workbookViewId="0">
      <selection activeCell="A2" sqref="A2:N419"/>
    </sheetView>
  </sheetViews>
  <sheetFormatPr defaultRowHeight="13.8" x14ac:dyDescent="0.25"/>
  <cols>
    <col min="11" max="12" width="12.69921875" customWidth="1"/>
  </cols>
  <sheetData>
    <row r="1" spans="2:14" x14ac:dyDescent="0.25">
      <c r="B1" s="49" t="s">
        <v>0</v>
      </c>
      <c r="C1" s="7" t="s">
        <v>1</v>
      </c>
      <c r="D1" s="7" t="s">
        <v>2</v>
      </c>
      <c r="E1" s="7" t="s">
        <v>3</v>
      </c>
      <c r="F1" s="7" t="s">
        <v>4</v>
      </c>
      <c r="G1" s="7" t="s">
        <v>5</v>
      </c>
      <c r="H1" s="7" t="s">
        <v>6</v>
      </c>
      <c r="I1" s="7" t="s">
        <v>7</v>
      </c>
      <c r="J1" s="7" t="s">
        <v>8</v>
      </c>
      <c r="K1" s="7" t="s">
        <v>9</v>
      </c>
      <c r="L1" s="7"/>
      <c r="M1" s="7" t="s">
        <v>196</v>
      </c>
      <c r="N1" s="7" t="s">
        <v>10</v>
      </c>
    </row>
    <row r="2" spans="2:14" x14ac:dyDescent="0.25">
      <c r="B2" s="50">
        <v>44616</v>
      </c>
      <c r="C2" s="8" t="s">
        <v>1078</v>
      </c>
      <c r="D2" s="8" t="s">
        <v>197</v>
      </c>
      <c r="E2" s="8"/>
      <c r="F2" s="8" t="s">
        <v>20</v>
      </c>
      <c r="G2" s="8" t="s">
        <v>27</v>
      </c>
      <c r="H2" s="8" t="s">
        <v>17</v>
      </c>
      <c r="I2" s="8" t="s">
        <v>198</v>
      </c>
      <c r="J2" s="8" t="s">
        <v>28</v>
      </c>
      <c r="K2" s="8" t="s">
        <v>199</v>
      </c>
      <c r="L2" s="8"/>
      <c r="M2" s="8" t="s">
        <v>169</v>
      </c>
      <c r="N2" s="8"/>
    </row>
    <row r="3" spans="2:14" x14ac:dyDescent="0.25">
      <c r="B3" s="51">
        <v>44617</v>
      </c>
      <c r="C3" s="10" t="s">
        <v>11</v>
      </c>
      <c r="D3" s="10" t="s">
        <v>200</v>
      </c>
      <c r="E3" s="10" t="s">
        <v>199</v>
      </c>
      <c r="F3" s="10" t="s">
        <v>20</v>
      </c>
      <c r="G3" s="10" t="s">
        <v>27</v>
      </c>
      <c r="H3" s="10" t="s">
        <v>17</v>
      </c>
      <c r="I3" s="10" t="s">
        <v>201</v>
      </c>
      <c r="J3" s="10" t="s">
        <v>28</v>
      </c>
      <c r="K3" s="10" t="s">
        <v>199</v>
      </c>
      <c r="L3" s="10"/>
      <c r="M3" s="10" t="s">
        <v>169</v>
      </c>
      <c r="N3" s="10"/>
    </row>
    <row r="4" spans="2:14" x14ac:dyDescent="0.25">
      <c r="B4" s="50">
        <v>44629</v>
      </c>
      <c r="C4" s="8" t="s">
        <v>1078</v>
      </c>
      <c r="D4" s="8" t="s">
        <v>197</v>
      </c>
      <c r="E4" s="8"/>
      <c r="F4" s="8" t="s">
        <v>20</v>
      </c>
      <c r="G4" s="8" t="s">
        <v>27</v>
      </c>
      <c r="H4" s="8" t="s">
        <v>17</v>
      </c>
      <c r="I4" s="8" t="s">
        <v>198</v>
      </c>
      <c r="J4" s="8" t="s">
        <v>28</v>
      </c>
      <c r="K4" s="8" t="s">
        <v>199</v>
      </c>
      <c r="L4" s="8"/>
      <c r="M4" s="8" t="s">
        <v>169</v>
      </c>
      <c r="N4" s="8"/>
    </row>
    <row r="5" spans="2:14" x14ac:dyDescent="0.25">
      <c r="B5" s="51">
        <v>44630</v>
      </c>
      <c r="C5" s="10" t="s">
        <v>11</v>
      </c>
      <c r="D5" s="10" t="s">
        <v>202</v>
      </c>
      <c r="E5" s="10" t="s">
        <v>203</v>
      </c>
      <c r="F5" s="10" t="s">
        <v>16</v>
      </c>
      <c r="G5" s="10" t="s">
        <v>29</v>
      </c>
      <c r="H5" s="10" t="s">
        <v>17</v>
      </c>
      <c r="I5" s="10" t="s">
        <v>204</v>
      </c>
      <c r="J5" s="10" t="s">
        <v>205</v>
      </c>
      <c r="K5" s="10" t="s">
        <v>8</v>
      </c>
      <c r="L5" s="10"/>
      <c r="M5" s="10" t="s">
        <v>169</v>
      </c>
      <c r="N5" s="10" t="s">
        <v>206</v>
      </c>
    </row>
    <row r="6" spans="2:14" x14ac:dyDescent="0.25">
      <c r="B6" s="50">
        <v>44616</v>
      </c>
      <c r="C6" s="8" t="s">
        <v>11</v>
      </c>
      <c r="D6" s="8" t="s">
        <v>207</v>
      </c>
      <c r="E6" s="8"/>
      <c r="F6" s="8" t="s">
        <v>20</v>
      </c>
      <c r="G6" s="8" t="s">
        <v>30</v>
      </c>
      <c r="H6" s="8" t="s">
        <v>17</v>
      </c>
      <c r="I6" s="8" t="s">
        <v>201</v>
      </c>
      <c r="J6" s="8" t="s">
        <v>208</v>
      </c>
      <c r="K6" s="8" t="s">
        <v>199</v>
      </c>
      <c r="L6" s="8"/>
      <c r="M6" s="8" t="s">
        <v>169</v>
      </c>
      <c r="N6" s="8"/>
    </row>
    <row r="7" spans="2:14" x14ac:dyDescent="0.25">
      <c r="B7" s="51">
        <v>44617</v>
      </c>
      <c r="C7" s="10" t="s">
        <v>11</v>
      </c>
      <c r="D7" s="10" t="s">
        <v>207</v>
      </c>
      <c r="E7" s="10"/>
      <c r="F7" s="10" t="s">
        <v>20</v>
      </c>
      <c r="G7" s="10" t="s">
        <v>30</v>
      </c>
      <c r="H7" s="10" t="s">
        <v>17</v>
      </c>
      <c r="I7" s="10" t="s">
        <v>209</v>
      </c>
      <c r="J7" s="10" t="s">
        <v>208</v>
      </c>
      <c r="K7" s="10" t="s">
        <v>199</v>
      </c>
      <c r="L7" s="10"/>
      <c r="M7" s="10" t="s">
        <v>169</v>
      </c>
      <c r="N7" s="10"/>
    </row>
    <row r="8" spans="2:14" x14ac:dyDescent="0.25">
      <c r="B8" s="50">
        <v>44627</v>
      </c>
      <c r="C8" s="8" t="s">
        <v>1078</v>
      </c>
      <c r="D8" s="8" t="s">
        <v>197</v>
      </c>
      <c r="E8" s="8"/>
      <c r="F8" s="8" t="s">
        <v>20</v>
      </c>
      <c r="G8" s="8" t="s">
        <v>27</v>
      </c>
      <c r="H8" s="8" t="s">
        <v>17</v>
      </c>
      <c r="I8" s="8" t="s">
        <v>198</v>
      </c>
      <c r="J8" s="8" t="s">
        <v>28</v>
      </c>
      <c r="K8" s="8" t="s">
        <v>199</v>
      </c>
      <c r="L8" s="8"/>
      <c r="M8" s="8" t="s">
        <v>169</v>
      </c>
      <c r="N8" s="8"/>
    </row>
    <row r="9" spans="2:14" x14ac:dyDescent="0.25">
      <c r="B9" s="51">
        <v>44631</v>
      </c>
      <c r="C9" s="10" t="s">
        <v>1079</v>
      </c>
      <c r="D9" s="10" t="s">
        <v>210</v>
      </c>
      <c r="E9" s="10"/>
      <c r="F9" s="10" t="s">
        <v>20</v>
      </c>
      <c r="G9" s="10" t="s">
        <v>27</v>
      </c>
      <c r="H9" s="10" t="s">
        <v>17</v>
      </c>
      <c r="I9" s="10" t="s">
        <v>198</v>
      </c>
      <c r="J9" s="10" t="s">
        <v>211</v>
      </c>
      <c r="K9" s="10" t="s">
        <v>199</v>
      </c>
      <c r="L9" s="10"/>
      <c r="M9" s="10" t="s">
        <v>169</v>
      </c>
      <c r="N9" s="10"/>
    </row>
    <row r="10" spans="2:14" x14ac:dyDescent="0.25">
      <c r="B10" s="50">
        <v>44617</v>
      </c>
      <c r="C10" s="8" t="s">
        <v>11</v>
      </c>
      <c r="D10" s="8" t="s">
        <v>212</v>
      </c>
      <c r="E10" s="8"/>
      <c r="F10" s="8" t="s">
        <v>20</v>
      </c>
      <c r="G10" s="8" t="s">
        <v>14</v>
      </c>
      <c r="H10" s="8" t="s">
        <v>17</v>
      </c>
      <c r="I10" s="8" t="s">
        <v>213</v>
      </c>
      <c r="J10" s="8" t="s">
        <v>31</v>
      </c>
      <c r="K10" s="8" t="s">
        <v>8</v>
      </c>
      <c r="L10" s="8"/>
      <c r="M10" s="8" t="s">
        <v>169</v>
      </c>
      <c r="N10" s="8" t="s">
        <v>214</v>
      </c>
    </row>
    <row r="11" spans="2:14" x14ac:dyDescent="0.25">
      <c r="B11" s="51">
        <v>44620</v>
      </c>
      <c r="C11" s="10" t="s">
        <v>11</v>
      </c>
      <c r="D11" s="10" t="s">
        <v>215</v>
      </c>
      <c r="E11" s="10"/>
      <c r="F11" s="10" t="s">
        <v>20</v>
      </c>
      <c r="G11" s="10" t="s">
        <v>14</v>
      </c>
      <c r="H11" s="10" t="s">
        <v>17</v>
      </c>
      <c r="I11" s="10" t="s">
        <v>32</v>
      </c>
      <c r="J11" s="10" t="s">
        <v>216</v>
      </c>
      <c r="K11" s="10" t="s">
        <v>8</v>
      </c>
      <c r="L11" s="10"/>
      <c r="M11" s="10" t="s">
        <v>169</v>
      </c>
      <c r="N11" s="10" t="s">
        <v>217</v>
      </c>
    </row>
    <row r="12" spans="2:14" x14ac:dyDescent="0.25">
      <c r="B12" s="50">
        <v>44643</v>
      </c>
      <c r="C12" s="8" t="s">
        <v>1080</v>
      </c>
      <c r="D12" s="8" t="s">
        <v>218</v>
      </c>
      <c r="E12" s="8"/>
      <c r="F12" s="8" t="s">
        <v>20</v>
      </c>
      <c r="G12" s="8" t="s">
        <v>27</v>
      </c>
      <c r="H12" s="8" t="s">
        <v>17</v>
      </c>
      <c r="I12" s="8" t="s">
        <v>198</v>
      </c>
      <c r="J12" s="8" t="s">
        <v>28</v>
      </c>
      <c r="K12" s="8" t="s">
        <v>199</v>
      </c>
      <c r="L12" s="8"/>
      <c r="M12" s="8" t="s">
        <v>169</v>
      </c>
      <c r="N12" s="8"/>
    </row>
    <row r="13" spans="2:14" x14ac:dyDescent="0.25">
      <c r="B13" s="51">
        <v>44641</v>
      </c>
      <c r="C13" s="10" t="s">
        <v>11</v>
      </c>
      <c r="D13" s="10" t="s">
        <v>219</v>
      </c>
      <c r="E13" s="10"/>
      <c r="F13" s="10" t="s">
        <v>20</v>
      </c>
      <c r="G13" s="10" t="s">
        <v>14</v>
      </c>
      <c r="H13" s="10" t="s">
        <v>17</v>
      </c>
      <c r="I13" s="10" t="s">
        <v>32</v>
      </c>
      <c r="J13" s="10" t="s">
        <v>31</v>
      </c>
      <c r="K13" s="10" t="s">
        <v>2</v>
      </c>
      <c r="L13" s="10"/>
      <c r="M13" s="10" t="s">
        <v>169</v>
      </c>
      <c r="N13" s="10"/>
    </row>
    <row r="14" spans="2:14" x14ac:dyDescent="0.25">
      <c r="B14" s="50">
        <v>44655</v>
      </c>
      <c r="C14" s="8" t="s">
        <v>11</v>
      </c>
      <c r="D14" s="8" t="s">
        <v>220</v>
      </c>
      <c r="E14" s="8"/>
      <c r="F14" s="8" t="s">
        <v>20</v>
      </c>
      <c r="G14" s="8" t="s">
        <v>27</v>
      </c>
      <c r="H14" s="8" t="s">
        <v>17</v>
      </c>
      <c r="I14" s="8" t="s">
        <v>198</v>
      </c>
      <c r="J14" s="8" t="s">
        <v>28</v>
      </c>
      <c r="K14" s="8" t="s">
        <v>199</v>
      </c>
      <c r="L14" s="8"/>
      <c r="M14" s="8" t="s">
        <v>169</v>
      </c>
      <c r="N14" s="8"/>
    </row>
    <row r="15" spans="2:14" x14ac:dyDescent="0.25">
      <c r="B15" s="51">
        <v>44630</v>
      </c>
      <c r="C15" s="10" t="s">
        <v>1078</v>
      </c>
      <c r="D15" s="10" t="s">
        <v>197</v>
      </c>
      <c r="E15" s="10"/>
      <c r="F15" s="10" t="s">
        <v>20</v>
      </c>
      <c r="G15" s="10" t="s">
        <v>27</v>
      </c>
      <c r="H15" s="10" t="s">
        <v>17</v>
      </c>
      <c r="I15" s="10" t="s">
        <v>198</v>
      </c>
      <c r="J15" s="10" t="s">
        <v>28</v>
      </c>
      <c r="K15" s="10" t="s">
        <v>199</v>
      </c>
      <c r="L15" s="10"/>
      <c r="M15" s="10" t="s">
        <v>169</v>
      </c>
      <c r="N15" s="10"/>
    </row>
    <row r="16" spans="2:14" x14ac:dyDescent="0.25">
      <c r="B16" s="50">
        <v>44656</v>
      </c>
      <c r="C16" s="8" t="s">
        <v>11</v>
      </c>
      <c r="D16" s="8" t="s">
        <v>221</v>
      </c>
      <c r="E16" s="8"/>
      <c r="F16" s="8" t="s">
        <v>20</v>
      </c>
      <c r="G16" s="8" t="s">
        <v>27</v>
      </c>
      <c r="H16" s="8" t="s">
        <v>17</v>
      </c>
      <c r="I16" s="8" t="s">
        <v>222</v>
      </c>
      <c r="J16" s="8" t="s">
        <v>28</v>
      </c>
      <c r="K16" s="8" t="s">
        <v>199</v>
      </c>
      <c r="L16" s="8"/>
      <c r="M16" s="8" t="s">
        <v>169</v>
      </c>
      <c r="N16" s="8"/>
    </row>
    <row r="17" spans="2:14" x14ac:dyDescent="0.25">
      <c r="B17" s="51">
        <v>44631</v>
      </c>
      <c r="C17" s="10" t="s">
        <v>11</v>
      </c>
      <c r="D17" s="10" t="s">
        <v>202</v>
      </c>
      <c r="E17" s="10" t="s">
        <v>203</v>
      </c>
      <c r="F17" s="10" t="s">
        <v>16</v>
      </c>
      <c r="G17" s="10" t="s">
        <v>29</v>
      </c>
      <c r="H17" s="10" t="s">
        <v>17</v>
      </c>
      <c r="I17" s="10" t="s">
        <v>223</v>
      </c>
      <c r="J17" s="10" t="s">
        <v>205</v>
      </c>
      <c r="K17" s="10" t="s">
        <v>8</v>
      </c>
      <c r="L17" s="10"/>
      <c r="M17" s="10" t="s">
        <v>169</v>
      </c>
      <c r="N17" s="10" t="s">
        <v>206</v>
      </c>
    </row>
    <row r="18" spans="2:14" x14ac:dyDescent="0.25">
      <c r="B18" s="50">
        <v>44631</v>
      </c>
      <c r="C18" s="8" t="s">
        <v>11</v>
      </c>
      <c r="D18" s="8" t="s">
        <v>202</v>
      </c>
      <c r="E18" s="8" t="s">
        <v>203</v>
      </c>
      <c r="F18" s="8" t="s">
        <v>16</v>
      </c>
      <c r="G18" s="8" t="s">
        <v>29</v>
      </c>
      <c r="H18" s="8" t="s">
        <v>17</v>
      </c>
      <c r="I18" s="8" t="s">
        <v>224</v>
      </c>
      <c r="J18" s="8" t="s">
        <v>205</v>
      </c>
      <c r="K18" s="8" t="s">
        <v>8</v>
      </c>
      <c r="L18" s="8"/>
      <c r="M18" s="8" t="s">
        <v>169</v>
      </c>
      <c r="N18" s="8" t="s">
        <v>206</v>
      </c>
    </row>
    <row r="19" spans="2:14" x14ac:dyDescent="0.25">
      <c r="B19" s="51">
        <v>44636</v>
      </c>
      <c r="C19" s="10" t="s">
        <v>11</v>
      </c>
      <c r="D19" s="10" t="s">
        <v>225</v>
      </c>
      <c r="E19" s="10"/>
      <c r="F19" s="10" t="s">
        <v>20</v>
      </c>
      <c r="G19" s="10" t="s">
        <v>14</v>
      </c>
      <c r="H19" s="10" t="s">
        <v>17</v>
      </c>
      <c r="I19" s="10" t="s">
        <v>33</v>
      </c>
      <c r="J19" s="10" t="s">
        <v>31</v>
      </c>
      <c r="K19" s="10" t="s">
        <v>8</v>
      </c>
      <c r="L19" s="10"/>
      <c r="M19" s="10" t="s">
        <v>169</v>
      </c>
      <c r="N19" s="10" t="s">
        <v>217</v>
      </c>
    </row>
    <row r="20" spans="2:14" x14ac:dyDescent="0.25">
      <c r="B20" s="50">
        <v>44645</v>
      </c>
      <c r="C20" s="8" t="s">
        <v>1078</v>
      </c>
      <c r="D20" s="8" t="s">
        <v>197</v>
      </c>
      <c r="E20" s="8"/>
      <c r="F20" s="8" t="s">
        <v>20</v>
      </c>
      <c r="G20" s="8" t="s">
        <v>27</v>
      </c>
      <c r="H20" s="8" t="s">
        <v>17</v>
      </c>
      <c r="I20" s="8" t="s">
        <v>226</v>
      </c>
      <c r="J20" s="8" t="s">
        <v>28</v>
      </c>
      <c r="K20" s="8" t="s">
        <v>199</v>
      </c>
      <c r="L20" s="8"/>
      <c r="M20" s="8" t="s">
        <v>169</v>
      </c>
      <c r="N20" s="8"/>
    </row>
    <row r="21" spans="2:14" x14ac:dyDescent="0.25">
      <c r="B21" s="51">
        <v>44649</v>
      </c>
      <c r="C21" s="10" t="s">
        <v>11</v>
      </c>
      <c r="D21" s="10" t="s">
        <v>227</v>
      </c>
      <c r="E21" s="10"/>
      <c r="F21" s="10" t="s">
        <v>20</v>
      </c>
      <c r="G21" s="10" t="s">
        <v>30</v>
      </c>
      <c r="H21" s="10" t="s">
        <v>17</v>
      </c>
      <c r="I21" s="10" t="s">
        <v>228</v>
      </c>
      <c r="J21" s="10" t="s">
        <v>229</v>
      </c>
      <c r="K21" s="10" t="s">
        <v>20</v>
      </c>
      <c r="L21" s="10"/>
      <c r="M21" s="10" t="s">
        <v>169</v>
      </c>
      <c r="N21" s="10" t="s">
        <v>230</v>
      </c>
    </row>
    <row r="22" spans="2:14" x14ac:dyDescent="0.25">
      <c r="B22" s="50">
        <v>44650</v>
      </c>
      <c r="C22" s="8" t="s">
        <v>11</v>
      </c>
      <c r="D22" s="8" t="s">
        <v>231</v>
      </c>
      <c r="E22" s="8"/>
      <c r="F22" s="8" t="s">
        <v>232</v>
      </c>
      <c r="G22" s="8" t="s">
        <v>233</v>
      </c>
      <c r="H22" s="8" t="s">
        <v>17</v>
      </c>
      <c r="I22" s="8" t="s">
        <v>234</v>
      </c>
      <c r="J22" s="8" t="s">
        <v>208</v>
      </c>
      <c r="K22" s="8" t="s">
        <v>2</v>
      </c>
      <c r="L22" s="8"/>
      <c r="M22" s="8" t="s">
        <v>169</v>
      </c>
      <c r="N22" s="8" t="s">
        <v>235</v>
      </c>
    </row>
    <row r="23" spans="2:14" x14ac:dyDescent="0.25">
      <c r="B23" s="51">
        <v>44652</v>
      </c>
      <c r="C23" s="10" t="s">
        <v>11</v>
      </c>
      <c r="D23" s="10" t="s">
        <v>236</v>
      </c>
      <c r="E23" s="10" t="s">
        <v>237</v>
      </c>
      <c r="F23" s="10" t="s">
        <v>16</v>
      </c>
      <c r="G23" s="10" t="s">
        <v>29</v>
      </c>
      <c r="H23" s="10" t="s">
        <v>17</v>
      </c>
      <c r="I23" s="10" t="s">
        <v>238</v>
      </c>
      <c r="J23" s="10" t="s">
        <v>205</v>
      </c>
      <c r="K23" s="10" t="s">
        <v>8</v>
      </c>
      <c r="L23" s="10"/>
      <c r="M23" s="10" t="s">
        <v>169</v>
      </c>
      <c r="N23" s="10" t="s">
        <v>239</v>
      </c>
    </row>
    <row r="24" spans="2:14" x14ac:dyDescent="0.25">
      <c r="B24" s="50">
        <v>44652</v>
      </c>
      <c r="C24" s="8" t="s">
        <v>11</v>
      </c>
      <c r="D24" s="8" t="s">
        <v>240</v>
      </c>
      <c r="E24" s="8" t="s">
        <v>241</v>
      </c>
      <c r="F24" s="8" t="s">
        <v>16</v>
      </c>
      <c r="G24" s="8" t="s">
        <v>29</v>
      </c>
      <c r="H24" s="8" t="s">
        <v>17</v>
      </c>
      <c r="I24" s="8" t="s">
        <v>242</v>
      </c>
      <c r="J24" s="8" t="s">
        <v>205</v>
      </c>
      <c r="K24" s="8" t="s">
        <v>8</v>
      </c>
      <c r="L24" s="8"/>
      <c r="M24" s="8" t="s">
        <v>169</v>
      </c>
      <c r="N24" s="8" t="s">
        <v>239</v>
      </c>
    </row>
    <row r="25" spans="2:14" x14ac:dyDescent="0.25">
      <c r="B25" s="51">
        <v>44631</v>
      </c>
      <c r="C25" s="10" t="s">
        <v>11</v>
      </c>
      <c r="D25" s="10" t="s">
        <v>243</v>
      </c>
      <c r="E25" s="10"/>
      <c r="F25" s="10" t="s">
        <v>20</v>
      </c>
      <c r="G25" s="10" t="s">
        <v>29</v>
      </c>
      <c r="H25" s="10" t="s">
        <v>17</v>
      </c>
      <c r="I25" s="10" t="s">
        <v>244</v>
      </c>
      <c r="J25" s="10" t="s">
        <v>245</v>
      </c>
      <c r="K25" s="10" t="s">
        <v>8</v>
      </c>
      <c r="L25" s="10"/>
      <c r="M25" s="10" t="s">
        <v>169</v>
      </c>
      <c r="N25" s="10"/>
    </row>
    <row r="26" spans="2:14" x14ac:dyDescent="0.25">
      <c r="B26" s="50">
        <v>44637</v>
      </c>
      <c r="C26" s="8" t="s">
        <v>11</v>
      </c>
      <c r="D26" s="8" t="s">
        <v>246</v>
      </c>
      <c r="E26" s="8" t="s">
        <v>199</v>
      </c>
      <c r="F26" s="8" t="s">
        <v>20</v>
      </c>
      <c r="G26" s="8" t="s">
        <v>34</v>
      </c>
      <c r="H26" s="8" t="s">
        <v>17</v>
      </c>
      <c r="I26" s="8" t="s">
        <v>201</v>
      </c>
      <c r="J26" s="8" t="s">
        <v>35</v>
      </c>
      <c r="K26" s="8" t="s">
        <v>20</v>
      </c>
      <c r="L26" s="8"/>
      <c r="M26" s="8" t="s">
        <v>169</v>
      </c>
      <c r="N26" s="8"/>
    </row>
    <row r="27" spans="2:14" x14ac:dyDescent="0.25">
      <c r="B27" s="51">
        <v>44659</v>
      </c>
      <c r="C27" s="10" t="s">
        <v>11</v>
      </c>
      <c r="D27" s="10" t="s">
        <v>247</v>
      </c>
      <c r="E27" s="10" t="s">
        <v>248</v>
      </c>
      <c r="F27" s="10" t="s">
        <v>16</v>
      </c>
      <c r="G27" s="10" t="s">
        <v>3</v>
      </c>
      <c r="H27" s="10" t="s">
        <v>249</v>
      </c>
      <c r="I27" s="10" t="s">
        <v>250</v>
      </c>
      <c r="J27" s="10" t="s">
        <v>251</v>
      </c>
      <c r="K27" s="10" t="s">
        <v>8</v>
      </c>
      <c r="L27" s="10"/>
      <c r="M27" s="10" t="s">
        <v>169</v>
      </c>
      <c r="N27" s="10" t="s">
        <v>206</v>
      </c>
    </row>
    <row r="28" spans="2:14" x14ac:dyDescent="0.25">
      <c r="B28" s="50">
        <v>44660</v>
      </c>
      <c r="C28" s="8" t="s">
        <v>11</v>
      </c>
      <c r="D28" s="8" t="s">
        <v>252</v>
      </c>
      <c r="E28" s="8" t="s">
        <v>253</v>
      </c>
      <c r="F28" s="8" t="s">
        <v>16</v>
      </c>
      <c r="G28" s="8" t="s">
        <v>36</v>
      </c>
      <c r="H28" s="8" t="s">
        <v>249</v>
      </c>
      <c r="I28" s="8" t="s">
        <v>228</v>
      </c>
      <c r="J28" s="8" t="s">
        <v>254</v>
      </c>
      <c r="K28" s="8" t="s">
        <v>2</v>
      </c>
      <c r="L28" s="8"/>
      <c r="M28" s="8" t="s">
        <v>169</v>
      </c>
      <c r="N28" s="8" t="s">
        <v>255</v>
      </c>
    </row>
    <row r="29" spans="2:14" x14ac:dyDescent="0.25">
      <c r="B29" s="51">
        <v>44662</v>
      </c>
      <c r="C29" s="10" t="s">
        <v>11</v>
      </c>
      <c r="D29" s="10" t="s">
        <v>240</v>
      </c>
      <c r="E29" s="10" t="s">
        <v>256</v>
      </c>
      <c r="F29" s="10" t="s">
        <v>16</v>
      </c>
      <c r="G29" s="10" t="s">
        <v>29</v>
      </c>
      <c r="H29" s="10" t="s">
        <v>17</v>
      </c>
      <c r="I29" s="10" t="s">
        <v>242</v>
      </c>
      <c r="J29" s="10" t="s">
        <v>205</v>
      </c>
      <c r="K29" s="10" t="s">
        <v>8</v>
      </c>
      <c r="L29" s="10"/>
      <c r="M29" s="10" t="s">
        <v>169</v>
      </c>
      <c r="N29" s="10" t="s">
        <v>257</v>
      </c>
    </row>
    <row r="30" spans="2:14" x14ac:dyDescent="0.25">
      <c r="B30" s="50">
        <v>44662</v>
      </c>
      <c r="C30" s="8" t="s">
        <v>11</v>
      </c>
      <c r="D30" s="8" t="s">
        <v>240</v>
      </c>
      <c r="E30" s="8" t="s">
        <v>258</v>
      </c>
      <c r="F30" s="8" t="s">
        <v>16</v>
      </c>
      <c r="G30" s="8" t="s">
        <v>29</v>
      </c>
      <c r="H30" s="8" t="s">
        <v>17</v>
      </c>
      <c r="I30" s="8" t="s">
        <v>242</v>
      </c>
      <c r="J30" s="8" t="s">
        <v>205</v>
      </c>
      <c r="K30" s="8" t="s">
        <v>8</v>
      </c>
      <c r="L30" s="8"/>
      <c r="M30" s="8" t="s">
        <v>169</v>
      </c>
      <c r="N30" s="8" t="s">
        <v>257</v>
      </c>
    </row>
    <row r="31" spans="2:14" x14ac:dyDescent="0.25">
      <c r="B31" s="51">
        <v>44638</v>
      </c>
      <c r="C31" s="10" t="s">
        <v>11</v>
      </c>
      <c r="D31" s="10" t="s">
        <v>259</v>
      </c>
      <c r="E31" s="10"/>
      <c r="F31" s="10" t="s">
        <v>20</v>
      </c>
      <c r="G31" s="10" t="s">
        <v>30</v>
      </c>
      <c r="H31" s="10" t="s">
        <v>17</v>
      </c>
      <c r="I31" s="10" t="s">
        <v>260</v>
      </c>
      <c r="J31" s="10" t="s">
        <v>261</v>
      </c>
      <c r="K31" s="10" t="s">
        <v>20</v>
      </c>
      <c r="L31" s="10"/>
      <c r="M31" s="10" t="s">
        <v>169</v>
      </c>
      <c r="N31" s="10"/>
    </row>
    <row r="32" spans="2:14" x14ac:dyDescent="0.25">
      <c r="B32" s="50">
        <v>44665</v>
      </c>
      <c r="C32" s="8" t="s">
        <v>11</v>
      </c>
      <c r="D32" s="8" t="s">
        <v>240</v>
      </c>
      <c r="E32" s="8" t="s">
        <v>237</v>
      </c>
      <c r="F32" s="8" t="s">
        <v>16</v>
      </c>
      <c r="G32" s="8" t="s">
        <v>29</v>
      </c>
      <c r="H32" s="8" t="s">
        <v>17</v>
      </c>
      <c r="I32" s="8" t="s">
        <v>242</v>
      </c>
      <c r="J32" s="8" t="s">
        <v>205</v>
      </c>
      <c r="K32" s="8" t="s">
        <v>8</v>
      </c>
      <c r="L32" s="8"/>
      <c r="M32" s="8" t="s">
        <v>169</v>
      </c>
      <c r="N32" s="8" t="s">
        <v>262</v>
      </c>
    </row>
    <row r="33" spans="2:14" x14ac:dyDescent="0.25">
      <c r="B33" s="51">
        <v>44706</v>
      </c>
      <c r="C33" s="10" t="s">
        <v>11</v>
      </c>
      <c r="D33" s="10" t="s">
        <v>263</v>
      </c>
      <c r="E33" s="10"/>
      <c r="F33" s="10" t="s">
        <v>20</v>
      </c>
      <c r="G33" s="10" t="s">
        <v>37</v>
      </c>
      <c r="H33" s="10"/>
      <c r="I33" s="10" t="s">
        <v>264</v>
      </c>
      <c r="J33" s="10" t="s">
        <v>38</v>
      </c>
      <c r="K33" s="10"/>
      <c r="L33" s="10"/>
      <c r="M33" s="10" t="s">
        <v>169</v>
      </c>
      <c r="N33" s="10"/>
    </row>
    <row r="34" spans="2:14" x14ac:dyDescent="0.25">
      <c r="B34" s="50">
        <v>44698</v>
      </c>
      <c r="C34" s="8" t="s">
        <v>11</v>
      </c>
      <c r="D34" s="8" t="s">
        <v>265</v>
      </c>
      <c r="E34" s="8"/>
      <c r="F34" s="8" t="s">
        <v>20</v>
      </c>
      <c r="G34" s="8" t="s">
        <v>36</v>
      </c>
      <c r="H34" s="8" t="s">
        <v>17</v>
      </c>
      <c r="I34" s="8" t="s">
        <v>266</v>
      </c>
      <c r="J34" s="8" t="s">
        <v>20</v>
      </c>
      <c r="K34" s="8"/>
      <c r="L34" s="8"/>
      <c r="M34" s="8" t="s">
        <v>169</v>
      </c>
      <c r="N34" s="8"/>
    </row>
    <row r="35" spans="2:14" x14ac:dyDescent="0.25">
      <c r="B35" s="51">
        <v>44641</v>
      </c>
      <c r="C35" s="10" t="s">
        <v>11</v>
      </c>
      <c r="D35" s="10" t="s">
        <v>267</v>
      </c>
      <c r="E35" s="10"/>
      <c r="F35" s="10" t="s">
        <v>232</v>
      </c>
      <c r="G35" s="10" t="s">
        <v>233</v>
      </c>
      <c r="H35" s="10" t="s">
        <v>17</v>
      </c>
      <c r="I35" s="10" t="s">
        <v>209</v>
      </c>
      <c r="J35" s="10"/>
      <c r="K35" s="10" t="s">
        <v>199</v>
      </c>
      <c r="L35" s="10"/>
      <c r="M35" s="10" t="s">
        <v>169</v>
      </c>
      <c r="N35" s="10"/>
    </row>
    <row r="36" spans="2:14" x14ac:dyDescent="0.25">
      <c r="B36" s="50">
        <v>44706</v>
      </c>
      <c r="C36" s="8" t="s">
        <v>11</v>
      </c>
      <c r="D36" s="8" t="s">
        <v>268</v>
      </c>
      <c r="E36" s="8"/>
      <c r="F36" s="8" t="s">
        <v>20</v>
      </c>
      <c r="G36" s="8" t="s">
        <v>4</v>
      </c>
      <c r="H36" s="8"/>
      <c r="I36" s="8" t="s">
        <v>264</v>
      </c>
      <c r="J36" s="8" t="s">
        <v>20</v>
      </c>
      <c r="K36" s="8"/>
      <c r="L36" s="8"/>
      <c r="M36" s="8" t="s">
        <v>169</v>
      </c>
      <c r="N36" s="8"/>
    </row>
    <row r="37" spans="2:14" x14ac:dyDescent="0.25">
      <c r="B37" s="51">
        <v>44701</v>
      </c>
      <c r="C37" s="10" t="s">
        <v>11</v>
      </c>
      <c r="D37" s="10" t="s">
        <v>263</v>
      </c>
      <c r="E37" s="10"/>
      <c r="F37" s="10" t="s">
        <v>20</v>
      </c>
      <c r="G37" s="10" t="s">
        <v>27</v>
      </c>
      <c r="H37" s="10" t="s">
        <v>17</v>
      </c>
      <c r="I37" s="10" t="s">
        <v>269</v>
      </c>
      <c r="J37" s="10" t="s">
        <v>270</v>
      </c>
      <c r="K37" s="10"/>
      <c r="L37" s="10"/>
      <c r="M37" s="10" t="s">
        <v>169</v>
      </c>
      <c r="N37" s="10"/>
    </row>
    <row r="38" spans="2:14" x14ac:dyDescent="0.25">
      <c r="B38" s="50">
        <v>44698</v>
      </c>
      <c r="C38" s="8" t="s">
        <v>11</v>
      </c>
      <c r="D38" s="8" t="s">
        <v>271</v>
      </c>
      <c r="E38" s="8"/>
      <c r="F38" s="8" t="s">
        <v>20</v>
      </c>
      <c r="G38" s="8" t="s">
        <v>4</v>
      </c>
      <c r="H38" s="8" t="s">
        <v>17</v>
      </c>
      <c r="I38" s="8" t="s">
        <v>272</v>
      </c>
      <c r="J38" s="8" t="s">
        <v>20</v>
      </c>
      <c r="K38" s="8"/>
      <c r="L38" s="8"/>
      <c r="M38" s="8" t="s">
        <v>169</v>
      </c>
      <c r="N38" s="8"/>
    </row>
    <row r="39" spans="2:14" x14ac:dyDescent="0.25">
      <c r="B39" s="51">
        <v>44670</v>
      </c>
      <c r="C39" s="10" t="s">
        <v>11</v>
      </c>
      <c r="D39" s="10" t="s">
        <v>202</v>
      </c>
      <c r="E39" s="10" t="s">
        <v>273</v>
      </c>
      <c r="F39" s="10" t="s">
        <v>232</v>
      </c>
      <c r="G39" s="10" t="s">
        <v>29</v>
      </c>
      <c r="H39" s="10" t="s">
        <v>17</v>
      </c>
      <c r="I39" s="10" t="s">
        <v>204</v>
      </c>
      <c r="J39" s="10" t="s">
        <v>205</v>
      </c>
      <c r="K39" s="10" t="s">
        <v>2</v>
      </c>
      <c r="L39" s="10"/>
      <c r="M39" s="10" t="s">
        <v>169</v>
      </c>
      <c r="N39" s="10"/>
    </row>
    <row r="40" spans="2:14" x14ac:dyDescent="0.25">
      <c r="B40" s="50">
        <v>44670</v>
      </c>
      <c r="C40" s="8" t="s">
        <v>11</v>
      </c>
      <c r="D40" s="8" t="s">
        <v>202</v>
      </c>
      <c r="E40" s="8" t="s">
        <v>273</v>
      </c>
      <c r="F40" s="8" t="s">
        <v>232</v>
      </c>
      <c r="G40" s="8" t="s">
        <v>29</v>
      </c>
      <c r="H40" s="8" t="s">
        <v>17</v>
      </c>
      <c r="I40" s="8" t="s">
        <v>223</v>
      </c>
      <c r="J40" s="8" t="s">
        <v>205</v>
      </c>
      <c r="K40" s="8" t="s">
        <v>2</v>
      </c>
      <c r="L40" s="8"/>
      <c r="M40" s="8" t="s">
        <v>169</v>
      </c>
      <c r="N40" s="8"/>
    </row>
    <row r="41" spans="2:14" x14ac:dyDescent="0.25">
      <c r="B41" s="51">
        <v>44670</v>
      </c>
      <c r="C41" s="10" t="s">
        <v>11</v>
      </c>
      <c r="D41" s="10" t="s">
        <v>202</v>
      </c>
      <c r="E41" s="10" t="s">
        <v>273</v>
      </c>
      <c r="F41" s="10" t="s">
        <v>232</v>
      </c>
      <c r="G41" s="10" t="s">
        <v>29</v>
      </c>
      <c r="H41" s="10" t="s">
        <v>17</v>
      </c>
      <c r="I41" s="10" t="s">
        <v>224</v>
      </c>
      <c r="J41" s="10" t="s">
        <v>205</v>
      </c>
      <c r="K41" s="10" t="s">
        <v>2</v>
      </c>
      <c r="L41" s="10"/>
      <c r="M41" s="10" t="s">
        <v>169</v>
      </c>
      <c r="N41" s="10"/>
    </row>
    <row r="42" spans="2:14" x14ac:dyDescent="0.25">
      <c r="B42" s="50">
        <v>44687</v>
      </c>
      <c r="C42" s="8" t="s">
        <v>11</v>
      </c>
      <c r="D42" s="8" t="s">
        <v>274</v>
      </c>
      <c r="E42" s="8" t="s">
        <v>275</v>
      </c>
      <c r="F42" s="8" t="s">
        <v>232</v>
      </c>
      <c r="G42" s="8" t="s">
        <v>36</v>
      </c>
      <c r="H42" s="8" t="s">
        <v>249</v>
      </c>
      <c r="I42" s="8" t="s">
        <v>276</v>
      </c>
      <c r="J42" s="8" t="s">
        <v>39</v>
      </c>
      <c r="K42" s="8" t="s">
        <v>232</v>
      </c>
      <c r="L42" s="8"/>
      <c r="M42" s="8" t="s">
        <v>169</v>
      </c>
      <c r="N42" s="8"/>
    </row>
    <row r="43" spans="2:14" x14ac:dyDescent="0.25">
      <c r="B43" s="51">
        <v>44690</v>
      </c>
      <c r="C43" s="10" t="s">
        <v>11</v>
      </c>
      <c r="D43" s="10" t="s">
        <v>277</v>
      </c>
      <c r="E43" s="10" t="s">
        <v>278</v>
      </c>
      <c r="F43" s="10" t="s">
        <v>232</v>
      </c>
      <c r="G43" s="10" t="s">
        <v>36</v>
      </c>
      <c r="H43" s="10" t="s">
        <v>17</v>
      </c>
      <c r="I43" s="10" t="s">
        <v>276</v>
      </c>
      <c r="J43" s="10" t="s">
        <v>279</v>
      </c>
      <c r="K43" s="10" t="s">
        <v>20</v>
      </c>
      <c r="L43" s="10"/>
      <c r="M43" s="10" t="s">
        <v>169</v>
      </c>
      <c r="N43" s="10"/>
    </row>
    <row r="44" spans="2:14" x14ac:dyDescent="0.25">
      <c r="B44" s="50">
        <v>44690</v>
      </c>
      <c r="C44" s="8" t="s">
        <v>11</v>
      </c>
      <c r="D44" s="8" t="s">
        <v>280</v>
      </c>
      <c r="E44" s="8"/>
      <c r="F44" s="8" t="s">
        <v>20</v>
      </c>
      <c r="G44" s="8" t="s">
        <v>14</v>
      </c>
      <c r="H44" s="8"/>
      <c r="I44" s="8" t="s">
        <v>264</v>
      </c>
      <c r="J44" s="8" t="s">
        <v>31</v>
      </c>
      <c r="K44" s="8"/>
      <c r="L44" s="8"/>
      <c r="M44" s="8" t="s">
        <v>169</v>
      </c>
      <c r="N44" s="8"/>
    </row>
    <row r="45" spans="2:14" x14ac:dyDescent="0.25">
      <c r="B45" s="51">
        <v>44694</v>
      </c>
      <c r="C45" s="10" t="s">
        <v>11</v>
      </c>
      <c r="D45" s="10" t="s">
        <v>281</v>
      </c>
      <c r="E45" s="10"/>
      <c r="F45" s="10" t="s">
        <v>20</v>
      </c>
      <c r="G45" s="10" t="s">
        <v>36</v>
      </c>
      <c r="H45" s="10" t="s">
        <v>17</v>
      </c>
      <c r="I45" s="10" t="s">
        <v>264</v>
      </c>
      <c r="J45" s="10" t="s">
        <v>216</v>
      </c>
      <c r="K45" s="10"/>
      <c r="L45" s="10"/>
      <c r="M45" s="10" t="s">
        <v>169</v>
      </c>
      <c r="N45" s="10"/>
    </row>
    <row r="46" spans="2:14" x14ac:dyDescent="0.25">
      <c r="B46" s="50">
        <v>44711</v>
      </c>
      <c r="C46" s="8" t="s">
        <v>11</v>
      </c>
      <c r="D46" s="8" t="s">
        <v>252</v>
      </c>
      <c r="E46" s="8" t="s">
        <v>40</v>
      </c>
      <c r="F46" s="8" t="s">
        <v>20</v>
      </c>
      <c r="G46" s="8" t="s">
        <v>36</v>
      </c>
      <c r="H46" s="8" t="s">
        <v>17</v>
      </c>
      <c r="I46" s="8" t="s">
        <v>276</v>
      </c>
      <c r="J46" s="8" t="s">
        <v>282</v>
      </c>
      <c r="K46" s="8" t="s">
        <v>20</v>
      </c>
      <c r="L46" s="8"/>
      <c r="M46" s="8" t="s">
        <v>169</v>
      </c>
      <c r="N46" s="8"/>
    </row>
    <row r="47" spans="2:14" x14ac:dyDescent="0.25">
      <c r="B47" s="51">
        <v>44711</v>
      </c>
      <c r="C47" s="10" t="s">
        <v>11</v>
      </c>
      <c r="D47" s="10" t="s">
        <v>252</v>
      </c>
      <c r="E47" s="10" t="s">
        <v>283</v>
      </c>
      <c r="F47" s="10" t="s">
        <v>20</v>
      </c>
      <c r="G47" s="10" t="s">
        <v>36</v>
      </c>
      <c r="H47" s="10" t="s">
        <v>17</v>
      </c>
      <c r="I47" s="10" t="s">
        <v>276</v>
      </c>
      <c r="J47" s="10" t="s">
        <v>282</v>
      </c>
      <c r="K47" s="10" t="s">
        <v>20</v>
      </c>
      <c r="L47" s="10"/>
      <c r="M47" s="10" t="s">
        <v>169</v>
      </c>
      <c r="N47" s="10"/>
    </row>
    <row r="48" spans="2:14" x14ac:dyDescent="0.25">
      <c r="B48" s="50">
        <v>44728</v>
      </c>
      <c r="C48" s="8" t="s">
        <v>11</v>
      </c>
      <c r="D48" s="8" t="s">
        <v>284</v>
      </c>
      <c r="E48" s="8"/>
      <c r="F48" s="8" t="s">
        <v>20</v>
      </c>
      <c r="G48" s="8" t="s">
        <v>34</v>
      </c>
      <c r="H48" s="8" t="s">
        <v>17</v>
      </c>
      <c r="I48" s="8" t="s">
        <v>285</v>
      </c>
      <c r="J48" s="8" t="s">
        <v>35</v>
      </c>
      <c r="K48" s="8" t="s">
        <v>20</v>
      </c>
      <c r="L48" s="8"/>
      <c r="M48" s="8" t="s">
        <v>169</v>
      </c>
      <c r="N48" s="8"/>
    </row>
    <row r="49" spans="2:14" x14ac:dyDescent="0.25">
      <c r="B49" s="51">
        <v>44733</v>
      </c>
      <c r="C49" s="10" t="s">
        <v>11</v>
      </c>
      <c r="D49" s="10" t="s">
        <v>286</v>
      </c>
      <c r="E49" s="10"/>
      <c r="F49" s="10" t="s">
        <v>20</v>
      </c>
      <c r="G49" s="10" t="s">
        <v>34</v>
      </c>
      <c r="H49" s="10" t="s">
        <v>17</v>
      </c>
      <c r="I49" s="10" t="s">
        <v>41</v>
      </c>
      <c r="J49" s="10" t="s">
        <v>35</v>
      </c>
      <c r="K49" s="10" t="s">
        <v>287</v>
      </c>
      <c r="L49" s="10"/>
      <c r="M49" s="10" t="s">
        <v>169</v>
      </c>
      <c r="N49" s="10"/>
    </row>
    <row r="50" spans="2:14" x14ac:dyDescent="0.25">
      <c r="B50" s="50">
        <v>44746</v>
      </c>
      <c r="C50" s="8" t="s">
        <v>11</v>
      </c>
      <c r="D50" s="8" t="s">
        <v>288</v>
      </c>
      <c r="E50" s="8"/>
      <c r="F50" s="8" t="s">
        <v>287</v>
      </c>
      <c r="G50" s="8" t="s">
        <v>289</v>
      </c>
      <c r="H50" s="8" t="s">
        <v>17</v>
      </c>
      <c r="I50" s="8" t="s">
        <v>264</v>
      </c>
      <c r="J50" s="8" t="s">
        <v>290</v>
      </c>
      <c r="K50" s="8" t="s">
        <v>291</v>
      </c>
      <c r="L50" s="8"/>
      <c r="M50" s="8" t="s">
        <v>169</v>
      </c>
      <c r="N50" s="8"/>
    </row>
    <row r="51" spans="2:14" x14ac:dyDescent="0.25">
      <c r="B51" s="51">
        <v>44708</v>
      </c>
      <c r="C51" s="10" t="s">
        <v>11</v>
      </c>
      <c r="D51" s="10" t="s">
        <v>292</v>
      </c>
      <c r="E51" s="10" t="s">
        <v>293</v>
      </c>
      <c r="F51" s="10" t="s">
        <v>20</v>
      </c>
      <c r="G51" s="10" t="s">
        <v>29</v>
      </c>
      <c r="H51" s="10" t="s">
        <v>17</v>
      </c>
      <c r="I51" s="10" t="s">
        <v>33</v>
      </c>
      <c r="J51" s="10" t="s">
        <v>294</v>
      </c>
      <c r="K51" s="10" t="s">
        <v>20</v>
      </c>
      <c r="L51" s="10"/>
      <c r="M51" s="10" t="s">
        <v>169</v>
      </c>
      <c r="N51" s="10"/>
    </row>
    <row r="52" spans="2:14" x14ac:dyDescent="0.25">
      <c r="B52" s="50">
        <v>44729</v>
      </c>
      <c r="C52" s="8" t="s">
        <v>11</v>
      </c>
      <c r="D52" s="8" t="s">
        <v>295</v>
      </c>
      <c r="E52" s="8" t="s">
        <v>296</v>
      </c>
      <c r="F52" s="8" t="s">
        <v>287</v>
      </c>
      <c r="G52" s="8" t="s">
        <v>29</v>
      </c>
      <c r="H52" s="8" t="s">
        <v>17</v>
      </c>
      <c r="I52" s="8" t="s">
        <v>297</v>
      </c>
      <c r="J52" s="8" t="s">
        <v>42</v>
      </c>
      <c r="K52" s="8" t="s">
        <v>287</v>
      </c>
      <c r="L52" s="8"/>
      <c r="M52" s="8" t="s">
        <v>169</v>
      </c>
      <c r="N52" s="8"/>
    </row>
    <row r="53" spans="2:14" x14ac:dyDescent="0.25">
      <c r="B53" s="51">
        <v>44720</v>
      </c>
      <c r="C53" s="10" t="s">
        <v>11</v>
      </c>
      <c r="D53" s="10" t="s">
        <v>298</v>
      </c>
      <c r="E53" s="10"/>
      <c r="F53" s="10" t="s">
        <v>299</v>
      </c>
      <c r="G53" s="10" t="s">
        <v>14</v>
      </c>
      <c r="H53" s="10"/>
      <c r="I53" s="10" t="s">
        <v>300</v>
      </c>
      <c r="J53" s="10" t="s">
        <v>31</v>
      </c>
      <c r="K53" s="10" t="s">
        <v>31</v>
      </c>
      <c r="L53" s="10"/>
      <c r="M53" s="10" t="s">
        <v>169</v>
      </c>
      <c r="N53" s="10" t="s">
        <v>301</v>
      </c>
    </row>
    <row r="54" spans="2:14" x14ac:dyDescent="0.25">
      <c r="B54" s="50">
        <v>44754</v>
      </c>
      <c r="C54" s="8" t="s">
        <v>11</v>
      </c>
      <c r="D54" s="8" t="s">
        <v>295</v>
      </c>
      <c r="E54" s="8" t="s">
        <v>302</v>
      </c>
      <c r="F54" s="8" t="s">
        <v>287</v>
      </c>
      <c r="G54" s="8" t="s">
        <v>29</v>
      </c>
      <c r="H54" s="8" t="s">
        <v>17</v>
      </c>
      <c r="I54" s="8" t="s">
        <v>297</v>
      </c>
      <c r="J54" s="8" t="s">
        <v>42</v>
      </c>
      <c r="K54" s="8" t="s">
        <v>287</v>
      </c>
      <c r="L54" s="8"/>
      <c r="M54" s="8" t="s">
        <v>169</v>
      </c>
      <c r="N54" s="8"/>
    </row>
    <row r="55" spans="2:14" x14ac:dyDescent="0.25">
      <c r="B55" s="51">
        <v>44754</v>
      </c>
      <c r="C55" s="10" t="s">
        <v>1081</v>
      </c>
      <c r="D55" s="10" t="s">
        <v>295</v>
      </c>
      <c r="E55" s="10" t="s">
        <v>302</v>
      </c>
      <c r="F55" s="10" t="s">
        <v>287</v>
      </c>
      <c r="G55" s="10" t="s">
        <v>29</v>
      </c>
      <c r="H55" s="10" t="s">
        <v>17</v>
      </c>
      <c r="I55" s="10" t="s">
        <v>224</v>
      </c>
      <c r="J55" s="10" t="s">
        <v>42</v>
      </c>
      <c r="K55" s="10" t="s">
        <v>287</v>
      </c>
      <c r="L55" s="10"/>
      <c r="M55" s="10" t="s">
        <v>169</v>
      </c>
      <c r="N55" s="10"/>
    </row>
    <row r="56" spans="2:14" x14ac:dyDescent="0.25">
      <c r="B56" s="50">
        <v>44757</v>
      </c>
      <c r="C56" s="8" t="s">
        <v>11</v>
      </c>
      <c r="D56" s="8" t="s">
        <v>303</v>
      </c>
      <c r="E56" s="8"/>
      <c r="F56" s="8" t="s">
        <v>287</v>
      </c>
      <c r="G56" s="8" t="s">
        <v>4</v>
      </c>
      <c r="H56" s="8" t="s">
        <v>17</v>
      </c>
      <c r="I56" s="8" t="s">
        <v>264</v>
      </c>
      <c r="J56" s="8"/>
      <c r="K56" s="8"/>
      <c r="L56" s="8"/>
      <c r="M56" s="8" t="s">
        <v>169</v>
      </c>
      <c r="N56" s="8"/>
    </row>
    <row r="57" spans="2:14" x14ac:dyDescent="0.25">
      <c r="B57" s="51">
        <v>44729</v>
      </c>
      <c r="C57" s="10" t="s">
        <v>11</v>
      </c>
      <c r="D57" s="10" t="s">
        <v>304</v>
      </c>
      <c r="E57" s="10" t="s">
        <v>305</v>
      </c>
      <c r="F57" s="10" t="s">
        <v>20</v>
      </c>
      <c r="G57" s="10" t="s">
        <v>36</v>
      </c>
      <c r="H57" s="10" t="s">
        <v>17</v>
      </c>
      <c r="I57" s="10" t="s">
        <v>276</v>
      </c>
      <c r="J57" s="10" t="s">
        <v>306</v>
      </c>
      <c r="K57" s="10" t="s">
        <v>20</v>
      </c>
      <c r="L57" s="10"/>
      <c r="M57" s="10" t="s">
        <v>169</v>
      </c>
      <c r="N57" s="10"/>
    </row>
    <row r="58" spans="2:14" x14ac:dyDescent="0.25">
      <c r="B58" s="50">
        <v>44729</v>
      </c>
      <c r="C58" s="8" t="s">
        <v>1082</v>
      </c>
      <c r="D58" s="8" t="s">
        <v>295</v>
      </c>
      <c r="E58" s="8" t="s">
        <v>296</v>
      </c>
      <c r="F58" s="8" t="s">
        <v>16</v>
      </c>
      <c r="G58" s="8" t="s">
        <v>29</v>
      </c>
      <c r="H58" s="8" t="s">
        <v>17</v>
      </c>
      <c r="I58" s="8" t="s">
        <v>224</v>
      </c>
      <c r="J58" s="8" t="s">
        <v>42</v>
      </c>
      <c r="K58" s="8" t="s">
        <v>20</v>
      </c>
      <c r="L58" s="8"/>
      <c r="M58" s="8" t="s">
        <v>169</v>
      </c>
      <c r="N58" s="8" t="s">
        <v>307</v>
      </c>
    </row>
    <row r="59" spans="2:14" x14ac:dyDescent="0.25">
      <c r="B59" s="51">
        <v>44762</v>
      </c>
      <c r="C59" s="10" t="s">
        <v>11</v>
      </c>
      <c r="D59" s="10" t="s">
        <v>308</v>
      </c>
      <c r="E59" s="10"/>
      <c r="F59" s="10" t="s">
        <v>287</v>
      </c>
      <c r="G59" s="10" t="s">
        <v>309</v>
      </c>
      <c r="H59" s="10" t="s">
        <v>17</v>
      </c>
      <c r="I59" s="10" t="s">
        <v>264</v>
      </c>
      <c r="J59" s="10" t="s">
        <v>310</v>
      </c>
      <c r="K59" s="10" t="s">
        <v>310</v>
      </c>
      <c r="L59" s="10"/>
      <c r="M59" s="10" t="s">
        <v>169</v>
      </c>
      <c r="N59" s="10"/>
    </row>
    <row r="60" spans="2:14" x14ac:dyDescent="0.25">
      <c r="B60" s="50">
        <v>44718</v>
      </c>
      <c r="C60" s="8" t="s">
        <v>11</v>
      </c>
      <c r="D60" s="8" t="s">
        <v>43</v>
      </c>
      <c r="E60" s="8"/>
      <c r="F60" s="8" t="s">
        <v>20</v>
      </c>
      <c r="G60" s="8" t="s">
        <v>14</v>
      </c>
      <c r="H60" s="8"/>
      <c r="I60" s="8" t="s">
        <v>32</v>
      </c>
      <c r="J60" s="8" t="s">
        <v>31</v>
      </c>
      <c r="K60" s="8" t="s">
        <v>20</v>
      </c>
      <c r="L60" s="8"/>
      <c r="M60" s="8" t="s">
        <v>169</v>
      </c>
      <c r="N60" s="8"/>
    </row>
    <row r="61" spans="2:14" x14ac:dyDescent="0.25">
      <c r="B61" s="51">
        <v>44739</v>
      </c>
      <c r="C61" s="10" t="s">
        <v>11</v>
      </c>
      <c r="D61" s="10" t="s">
        <v>311</v>
      </c>
      <c r="E61" s="10"/>
      <c r="F61" s="10" t="s">
        <v>20</v>
      </c>
      <c r="G61" s="10" t="s">
        <v>30</v>
      </c>
      <c r="H61" s="10" t="s">
        <v>17</v>
      </c>
      <c r="I61" s="10" t="s">
        <v>312</v>
      </c>
      <c r="J61" s="10" t="s">
        <v>313</v>
      </c>
      <c r="K61" s="10" t="s">
        <v>314</v>
      </c>
      <c r="L61" s="10"/>
      <c r="M61" s="10" t="s">
        <v>169</v>
      </c>
      <c r="N61" s="10"/>
    </row>
    <row r="62" spans="2:14" x14ac:dyDescent="0.25">
      <c r="B62" s="50">
        <v>44746</v>
      </c>
      <c r="C62" s="8" t="s">
        <v>11</v>
      </c>
      <c r="D62" s="8" t="s">
        <v>315</v>
      </c>
      <c r="E62" s="8"/>
      <c r="F62" s="8" t="s">
        <v>20</v>
      </c>
      <c r="G62" s="8" t="s">
        <v>316</v>
      </c>
      <c r="H62" s="8" t="s">
        <v>17</v>
      </c>
      <c r="I62" s="8" t="s">
        <v>317</v>
      </c>
      <c r="J62" s="8" t="s">
        <v>318</v>
      </c>
      <c r="K62" s="8" t="s">
        <v>20</v>
      </c>
      <c r="L62" s="8"/>
      <c r="M62" s="8" t="s">
        <v>169</v>
      </c>
      <c r="N62" s="8"/>
    </row>
    <row r="63" spans="2:14" x14ac:dyDescent="0.25">
      <c r="B63" s="51">
        <v>44760</v>
      </c>
      <c r="C63" s="10" t="s">
        <v>11</v>
      </c>
      <c r="D63" s="10" t="s">
        <v>319</v>
      </c>
      <c r="E63" s="10"/>
      <c r="F63" s="10" t="s">
        <v>16</v>
      </c>
      <c r="G63" s="10" t="s">
        <v>309</v>
      </c>
      <c r="H63" s="10" t="s">
        <v>17</v>
      </c>
      <c r="I63" s="10" t="s">
        <v>264</v>
      </c>
      <c r="J63" s="10" t="s">
        <v>310</v>
      </c>
      <c r="K63" s="10" t="s">
        <v>310</v>
      </c>
      <c r="L63" s="10"/>
      <c r="M63" s="10" t="s">
        <v>169</v>
      </c>
      <c r="N63" s="10" t="s">
        <v>255</v>
      </c>
    </row>
    <row r="64" spans="2:14" x14ac:dyDescent="0.25">
      <c r="B64" s="50">
        <v>44776</v>
      </c>
      <c r="C64" s="8" t="s">
        <v>11</v>
      </c>
      <c r="D64" s="8" t="s">
        <v>320</v>
      </c>
      <c r="E64" s="8" t="s">
        <v>248</v>
      </c>
      <c r="F64" s="8" t="s">
        <v>20</v>
      </c>
      <c r="G64" s="8" t="s">
        <v>3</v>
      </c>
      <c r="H64" s="8" t="s">
        <v>249</v>
      </c>
      <c r="I64" s="8" t="s">
        <v>276</v>
      </c>
      <c r="J64" s="8" t="s">
        <v>251</v>
      </c>
      <c r="K64" s="8" t="s">
        <v>251</v>
      </c>
      <c r="L64" s="8"/>
      <c r="M64" s="8" t="s">
        <v>169</v>
      </c>
      <c r="N64" s="8"/>
    </row>
    <row r="65" spans="2:14" x14ac:dyDescent="0.25">
      <c r="B65" s="51">
        <v>44770</v>
      </c>
      <c r="C65" s="10" t="s">
        <v>11</v>
      </c>
      <c r="D65" s="10" t="s">
        <v>321</v>
      </c>
      <c r="E65" s="10" t="s">
        <v>322</v>
      </c>
      <c r="F65" s="10" t="s">
        <v>16</v>
      </c>
      <c r="G65" s="10" t="s">
        <v>29</v>
      </c>
      <c r="H65" s="10" t="s">
        <v>17</v>
      </c>
      <c r="I65" s="10" t="s">
        <v>201</v>
      </c>
      <c r="J65" s="10" t="s">
        <v>323</v>
      </c>
      <c r="K65" s="10" t="s">
        <v>287</v>
      </c>
      <c r="L65" s="10"/>
      <c r="M65" s="10" t="s">
        <v>169</v>
      </c>
      <c r="N65" s="10" t="s">
        <v>255</v>
      </c>
    </row>
    <row r="66" spans="2:14" x14ac:dyDescent="0.25">
      <c r="B66" s="50">
        <v>44770</v>
      </c>
      <c r="C66" s="8" t="s">
        <v>11</v>
      </c>
      <c r="D66" s="8" t="s">
        <v>225</v>
      </c>
      <c r="E66" s="8" t="s">
        <v>324</v>
      </c>
      <c r="F66" s="8" t="s">
        <v>16</v>
      </c>
      <c r="G66" s="8" t="s">
        <v>29</v>
      </c>
      <c r="H66" s="8" t="s">
        <v>17</v>
      </c>
      <c r="I66" s="8" t="s">
        <v>325</v>
      </c>
      <c r="J66" s="8" t="s">
        <v>31</v>
      </c>
      <c r="K66" s="8" t="s">
        <v>31</v>
      </c>
      <c r="L66" s="8"/>
      <c r="M66" s="8" t="s">
        <v>169</v>
      </c>
      <c r="N66" s="8" t="s">
        <v>255</v>
      </c>
    </row>
    <row r="67" spans="2:14" x14ac:dyDescent="0.25">
      <c r="B67" s="51">
        <v>44770</v>
      </c>
      <c r="C67" s="10" t="s">
        <v>11</v>
      </c>
      <c r="D67" s="10" t="s">
        <v>225</v>
      </c>
      <c r="E67" s="10" t="s">
        <v>326</v>
      </c>
      <c r="F67" s="10" t="s">
        <v>16</v>
      </c>
      <c r="G67" s="10" t="s">
        <v>29</v>
      </c>
      <c r="H67" s="10" t="s">
        <v>17</v>
      </c>
      <c r="I67" s="10" t="s">
        <v>325</v>
      </c>
      <c r="J67" s="10" t="s">
        <v>31</v>
      </c>
      <c r="K67" s="10" t="s">
        <v>31</v>
      </c>
      <c r="L67" s="10"/>
      <c r="M67" s="10" t="s">
        <v>169</v>
      </c>
      <c r="N67" s="10" t="s">
        <v>255</v>
      </c>
    </row>
    <row r="68" spans="2:14" x14ac:dyDescent="0.25">
      <c r="B68" s="50">
        <v>44770</v>
      </c>
      <c r="C68" s="8" t="s">
        <v>11</v>
      </c>
      <c r="D68" s="8" t="s">
        <v>225</v>
      </c>
      <c r="E68" s="8" t="s">
        <v>324</v>
      </c>
      <c r="F68" s="8" t="s">
        <v>16</v>
      </c>
      <c r="G68" s="8" t="s">
        <v>29</v>
      </c>
      <c r="H68" s="8" t="s">
        <v>17</v>
      </c>
      <c r="I68" s="8" t="s">
        <v>327</v>
      </c>
      <c r="J68" s="8" t="s">
        <v>31</v>
      </c>
      <c r="K68" s="8" t="s">
        <v>31</v>
      </c>
      <c r="L68" s="8"/>
      <c r="M68" s="8" t="s">
        <v>169</v>
      </c>
      <c r="N68" s="8" t="s">
        <v>255</v>
      </c>
    </row>
    <row r="69" spans="2:14" x14ac:dyDescent="0.25">
      <c r="B69" s="51">
        <v>44770</v>
      </c>
      <c r="C69" s="10" t="s">
        <v>11</v>
      </c>
      <c r="D69" s="10" t="s">
        <v>225</v>
      </c>
      <c r="E69" s="10" t="s">
        <v>326</v>
      </c>
      <c r="F69" s="10" t="s">
        <v>16</v>
      </c>
      <c r="G69" s="10" t="s">
        <v>29</v>
      </c>
      <c r="H69" s="10" t="s">
        <v>17</v>
      </c>
      <c r="I69" s="10" t="s">
        <v>327</v>
      </c>
      <c r="J69" s="10" t="s">
        <v>31</v>
      </c>
      <c r="K69" s="10" t="s">
        <v>31</v>
      </c>
      <c r="L69" s="10"/>
      <c r="M69" s="10" t="s">
        <v>169</v>
      </c>
      <c r="N69" s="10" t="s">
        <v>255</v>
      </c>
    </row>
    <row r="70" spans="2:14" x14ac:dyDescent="0.25">
      <c r="B70" s="50">
        <v>44770</v>
      </c>
      <c r="C70" s="8" t="s">
        <v>11</v>
      </c>
      <c r="D70" s="8" t="s">
        <v>328</v>
      </c>
      <c r="E70" s="8"/>
      <c r="F70" s="8" t="s">
        <v>16</v>
      </c>
      <c r="G70" s="8" t="s">
        <v>289</v>
      </c>
      <c r="H70" s="8" t="s">
        <v>17</v>
      </c>
      <c r="I70" s="8" t="s">
        <v>234</v>
      </c>
      <c r="J70" s="8" t="s">
        <v>290</v>
      </c>
      <c r="K70" s="8" t="s">
        <v>291</v>
      </c>
      <c r="L70" s="8"/>
      <c r="M70" s="8" t="s">
        <v>169</v>
      </c>
      <c r="N70" s="8" t="s">
        <v>255</v>
      </c>
    </row>
    <row r="71" spans="2:14" x14ac:dyDescent="0.25">
      <c r="B71" s="51">
        <v>44774</v>
      </c>
      <c r="C71" s="10" t="s">
        <v>11</v>
      </c>
      <c r="D71" s="10" t="s">
        <v>329</v>
      </c>
      <c r="E71" s="10" t="s">
        <v>330</v>
      </c>
      <c r="F71" s="10" t="s">
        <v>16</v>
      </c>
      <c r="G71" s="10" t="s">
        <v>29</v>
      </c>
      <c r="H71" s="10" t="s">
        <v>17</v>
      </c>
      <c r="I71" s="10" t="s">
        <v>331</v>
      </c>
      <c r="J71" s="10" t="s">
        <v>332</v>
      </c>
      <c r="K71" s="10" t="s">
        <v>332</v>
      </c>
      <c r="L71" s="10"/>
      <c r="M71" s="10" t="s">
        <v>169</v>
      </c>
      <c r="N71" s="10" t="s">
        <v>255</v>
      </c>
    </row>
    <row r="72" spans="2:14" x14ac:dyDescent="0.25">
      <c r="B72" s="50">
        <v>44774</v>
      </c>
      <c r="C72" s="8" t="s">
        <v>11</v>
      </c>
      <c r="D72" s="8" t="s">
        <v>329</v>
      </c>
      <c r="E72" s="8" t="s">
        <v>330</v>
      </c>
      <c r="F72" s="8" t="s">
        <v>16</v>
      </c>
      <c r="G72" s="8" t="s">
        <v>29</v>
      </c>
      <c r="H72" s="8" t="s">
        <v>15</v>
      </c>
      <c r="I72" s="8" t="s">
        <v>224</v>
      </c>
      <c r="J72" s="8" t="s">
        <v>332</v>
      </c>
      <c r="K72" s="8" t="s">
        <v>332</v>
      </c>
      <c r="L72" s="8"/>
      <c r="M72" s="8" t="s">
        <v>169</v>
      </c>
      <c r="N72" s="8" t="s">
        <v>255</v>
      </c>
    </row>
    <row r="73" spans="2:14" x14ac:dyDescent="0.25">
      <c r="B73" s="51">
        <v>44774</v>
      </c>
      <c r="C73" s="10" t="s">
        <v>11</v>
      </c>
      <c r="D73" s="10" t="s">
        <v>333</v>
      </c>
      <c r="E73" s="10" t="s">
        <v>322</v>
      </c>
      <c r="F73" s="10" t="s">
        <v>16</v>
      </c>
      <c r="G73" s="10" t="s">
        <v>29</v>
      </c>
      <c r="H73" s="10" t="s">
        <v>17</v>
      </c>
      <c r="I73" s="10" t="s">
        <v>334</v>
      </c>
      <c r="J73" s="10" t="s">
        <v>335</v>
      </c>
      <c r="K73" s="10" t="s">
        <v>335</v>
      </c>
      <c r="L73" s="10"/>
      <c r="M73" s="10" t="s">
        <v>169</v>
      </c>
      <c r="N73" s="10" t="s">
        <v>255</v>
      </c>
    </row>
    <row r="74" spans="2:14" x14ac:dyDescent="0.25">
      <c r="B74" s="50">
        <v>44774</v>
      </c>
      <c r="C74" s="8" t="s">
        <v>11</v>
      </c>
      <c r="D74" s="8" t="s">
        <v>333</v>
      </c>
      <c r="E74" s="8" t="s">
        <v>322</v>
      </c>
      <c r="F74" s="8" t="s">
        <v>16</v>
      </c>
      <c r="G74" s="8" t="s">
        <v>29</v>
      </c>
      <c r="H74" s="8" t="s">
        <v>17</v>
      </c>
      <c r="I74" s="8" t="s">
        <v>224</v>
      </c>
      <c r="J74" s="8" t="s">
        <v>335</v>
      </c>
      <c r="K74" s="8" t="s">
        <v>335</v>
      </c>
      <c r="L74" s="8"/>
      <c r="M74" s="8" t="s">
        <v>169</v>
      </c>
      <c r="N74" s="8" t="s">
        <v>255</v>
      </c>
    </row>
    <row r="75" spans="2:14" x14ac:dyDescent="0.25">
      <c r="B75" s="51">
        <v>44774</v>
      </c>
      <c r="C75" s="10" t="s">
        <v>11</v>
      </c>
      <c r="D75" s="10" t="s">
        <v>336</v>
      </c>
      <c r="E75" s="10" t="s">
        <v>237</v>
      </c>
      <c r="F75" s="10" t="s">
        <v>16</v>
      </c>
      <c r="G75" s="10" t="s">
        <v>29</v>
      </c>
      <c r="H75" s="10" t="s">
        <v>17</v>
      </c>
      <c r="I75" s="10" t="s">
        <v>33</v>
      </c>
      <c r="J75" s="10" t="s">
        <v>337</v>
      </c>
      <c r="K75" s="10" t="s">
        <v>337</v>
      </c>
      <c r="L75" s="10"/>
      <c r="M75" s="10" t="s">
        <v>169</v>
      </c>
      <c r="N75" s="10" t="s">
        <v>255</v>
      </c>
    </row>
    <row r="76" spans="2:14" x14ac:dyDescent="0.25">
      <c r="B76" s="50">
        <v>44775</v>
      </c>
      <c r="C76" s="8" t="s">
        <v>11</v>
      </c>
      <c r="D76" s="8" t="s">
        <v>338</v>
      </c>
      <c r="E76" s="8" t="s">
        <v>339</v>
      </c>
      <c r="F76" s="8" t="s">
        <v>16</v>
      </c>
      <c r="G76" s="8" t="s">
        <v>29</v>
      </c>
      <c r="H76" s="8" t="s">
        <v>17</v>
      </c>
      <c r="I76" s="8" t="s">
        <v>340</v>
      </c>
      <c r="J76" s="8" t="s">
        <v>337</v>
      </c>
      <c r="K76" s="8" t="s">
        <v>287</v>
      </c>
      <c r="L76" s="8"/>
      <c r="M76" s="8" t="s">
        <v>169</v>
      </c>
      <c r="N76" s="8" t="s">
        <v>255</v>
      </c>
    </row>
    <row r="77" spans="2:14" x14ac:dyDescent="0.25">
      <c r="B77" s="51">
        <v>44711</v>
      </c>
      <c r="C77" s="10" t="s">
        <v>11</v>
      </c>
      <c r="D77" s="10" t="s">
        <v>341</v>
      </c>
      <c r="E77" s="10" t="s">
        <v>296</v>
      </c>
      <c r="F77" s="10" t="s">
        <v>20</v>
      </c>
      <c r="G77" s="10" t="s">
        <v>29</v>
      </c>
      <c r="H77" s="10" t="s">
        <v>17</v>
      </c>
      <c r="I77" s="10" t="s">
        <v>33</v>
      </c>
      <c r="J77" s="10" t="s">
        <v>42</v>
      </c>
      <c r="K77" s="10" t="s">
        <v>20</v>
      </c>
      <c r="L77" s="10"/>
      <c r="M77" s="10" t="s">
        <v>169</v>
      </c>
      <c r="N77" s="10"/>
    </row>
    <row r="78" spans="2:14" x14ac:dyDescent="0.25">
      <c r="B78" s="50">
        <v>44776</v>
      </c>
      <c r="C78" s="8" t="s">
        <v>11</v>
      </c>
      <c r="D78" s="8" t="s">
        <v>342</v>
      </c>
      <c r="E78" s="8" t="s">
        <v>296</v>
      </c>
      <c r="F78" s="8" t="s">
        <v>16</v>
      </c>
      <c r="G78" s="8" t="s">
        <v>29</v>
      </c>
      <c r="H78" s="8" t="s">
        <v>17</v>
      </c>
      <c r="I78" s="8" t="s">
        <v>343</v>
      </c>
      <c r="J78" s="8" t="s">
        <v>42</v>
      </c>
      <c r="K78" s="8" t="s">
        <v>287</v>
      </c>
      <c r="L78" s="8"/>
      <c r="M78" s="8" t="s">
        <v>169</v>
      </c>
      <c r="N78" s="8" t="s">
        <v>255</v>
      </c>
    </row>
    <row r="79" spans="2:14" x14ac:dyDescent="0.25">
      <c r="B79" s="51">
        <v>44776</v>
      </c>
      <c r="C79" s="10" t="s">
        <v>11</v>
      </c>
      <c r="D79" s="10" t="s">
        <v>338</v>
      </c>
      <c r="E79" s="10" t="s">
        <v>344</v>
      </c>
      <c r="F79" s="10" t="s">
        <v>16</v>
      </c>
      <c r="G79" s="10" t="s">
        <v>29</v>
      </c>
      <c r="H79" s="10" t="s">
        <v>17</v>
      </c>
      <c r="I79" s="10" t="s">
        <v>340</v>
      </c>
      <c r="J79" s="10" t="s">
        <v>337</v>
      </c>
      <c r="K79" s="10" t="s">
        <v>287</v>
      </c>
      <c r="L79" s="10"/>
      <c r="M79" s="10" t="s">
        <v>169</v>
      </c>
      <c r="N79" s="10" t="s">
        <v>255</v>
      </c>
    </row>
    <row r="80" spans="2:14" x14ac:dyDescent="0.25">
      <c r="B80" s="50">
        <v>44777</v>
      </c>
      <c r="C80" s="8" t="s">
        <v>11</v>
      </c>
      <c r="D80" s="8" t="s">
        <v>345</v>
      </c>
      <c r="E80" s="8" t="s">
        <v>302</v>
      </c>
      <c r="F80" s="8" t="s">
        <v>16</v>
      </c>
      <c r="G80" s="8" t="s">
        <v>29</v>
      </c>
      <c r="H80" s="8" t="s">
        <v>17</v>
      </c>
      <c r="I80" s="8" t="s">
        <v>346</v>
      </c>
      <c r="J80" s="8" t="s">
        <v>332</v>
      </c>
      <c r="K80" s="8" t="s">
        <v>287</v>
      </c>
      <c r="L80" s="8"/>
      <c r="M80" s="8" t="s">
        <v>169</v>
      </c>
      <c r="N80" s="8" t="s">
        <v>255</v>
      </c>
    </row>
    <row r="81" spans="2:14" x14ac:dyDescent="0.25">
      <c r="B81" s="51">
        <v>44750</v>
      </c>
      <c r="C81" s="10" t="s">
        <v>11</v>
      </c>
      <c r="D81" s="10" t="s">
        <v>347</v>
      </c>
      <c r="E81" s="10" t="s">
        <v>248</v>
      </c>
      <c r="F81" s="10" t="s">
        <v>20</v>
      </c>
      <c r="G81" s="10" t="s">
        <v>3</v>
      </c>
      <c r="H81" s="10" t="s">
        <v>249</v>
      </c>
      <c r="I81" s="10" t="s">
        <v>276</v>
      </c>
      <c r="J81" s="10" t="s">
        <v>251</v>
      </c>
      <c r="K81" s="10" t="s">
        <v>348</v>
      </c>
      <c r="L81" s="10"/>
      <c r="M81" s="10" t="s">
        <v>169</v>
      </c>
      <c r="N81" s="10"/>
    </row>
    <row r="82" spans="2:14" x14ac:dyDescent="0.25">
      <c r="B82" s="50">
        <v>44740</v>
      </c>
      <c r="C82" s="8" t="s">
        <v>11</v>
      </c>
      <c r="D82" s="8" t="s">
        <v>44</v>
      </c>
      <c r="E82" s="8" t="s">
        <v>349</v>
      </c>
      <c r="F82" s="8" t="s">
        <v>20</v>
      </c>
      <c r="G82" s="8" t="s">
        <v>36</v>
      </c>
      <c r="H82" s="8" t="s">
        <v>17</v>
      </c>
      <c r="I82" s="8" t="s">
        <v>350</v>
      </c>
      <c r="J82" s="8" t="s">
        <v>282</v>
      </c>
      <c r="K82" s="8" t="s">
        <v>351</v>
      </c>
      <c r="L82" s="8"/>
      <c r="M82" s="8" t="s">
        <v>169</v>
      </c>
      <c r="N82" s="8" t="s">
        <v>352</v>
      </c>
    </row>
    <row r="83" spans="2:14" x14ac:dyDescent="0.25">
      <c r="B83" s="51">
        <v>44782</v>
      </c>
      <c r="C83" s="10" t="s">
        <v>11</v>
      </c>
      <c r="D83" s="10" t="s">
        <v>353</v>
      </c>
      <c r="E83" s="10" t="s">
        <v>354</v>
      </c>
      <c r="F83" s="10" t="s">
        <v>299</v>
      </c>
      <c r="G83" s="10" t="s">
        <v>3</v>
      </c>
      <c r="H83" s="10" t="s">
        <v>249</v>
      </c>
      <c r="I83" s="10" t="s">
        <v>276</v>
      </c>
      <c r="J83" s="10" t="s">
        <v>355</v>
      </c>
      <c r="K83" s="10" t="s">
        <v>355</v>
      </c>
      <c r="L83" s="10"/>
      <c r="M83" s="10" t="s">
        <v>169</v>
      </c>
      <c r="N83" s="10" t="s">
        <v>356</v>
      </c>
    </row>
    <row r="84" spans="2:14" x14ac:dyDescent="0.25">
      <c r="B84" s="50">
        <v>44784</v>
      </c>
      <c r="C84" s="8" t="s">
        <v>1080</v>
      </c>
      <c r="D84" s="8" t="s">
        <v>357</v>
      </c>
      <c r="E84" s="8"/>
      <c r="F84" s="8" t="s">
        <v>20</v>
      </c>
      <c r="G84" s="8"/>
      <c r="H84" s="8" t="s">
        <v>17</v>
      </c>
      <c r="I84" s="8" t="s">
        <v>358</v>
      </c>
      <c r="J84" s="8"/>
      <c r="K84" s="8"/>
      <c r="L84" s="8"/>
      <c r="M84" s="8" t="s">
        <v>169</v>
      </c>
      <c r="N84" s="8"/>
    </row>
    <row r="85" spans="2:14" x14ac:dyDescent="0.25">
      <c r="B85" s="51">
        <v>44690</v>
      </c>
      <c r="C85" s="10" t="s">
        <v>11</v>
      </c>
      <c r="D85" s="10" t="s">
        <v>359</v>
      </c>
      <c r="E85" s="10" t="s">
        <v>360</v>
      </c>
      <c r="F85" s="10" t="s">
        <v>20</v>
      </c>
      <c r="G85" s="10" t="s">
        <v>36</v>
      </c>
      <c r="H85" s="10" t="s">
        <v>249</v>
      </c>
      <c r="I85" s="10" t="s">
        <v>250</v>
      </c>
      <c r="J85" s="10" t="s">
        <v>361</v>
      </c>
      <c r="K85" s="10" t="s">
        <v>20</v>
      </c>
      <c r="L85" s="10"/>
      <c r="M85" s="10" t="s">
        <v>169</v>
      </c>
      <c r="N85" s="10" t="s">
        <v>362</v>
      </c>
    </row>
    <row r="86" spans="2:14" x14ac:dyDescent="0.25">
      <c r="B86" s="50">
        <v>44693</v>
      </c>
      <c r="C86" s="8" t="s">
        <v>11</v>
      </c>
      <c r="D86" s="8" t="s">
        <v>45</v>
      </c>
      <c r="E86" s="8" t="s">
        <v>305</v>
      </c>
      <c r="F86" s="8" t="s">
        <v>20</v>
      </c>
      <c r="G86" s="8" t="s">
        <v>36</v>
      </c>
      <c r="H86" s="8" t="s">
        <v>249</v>
      </c>
      <c r="I86" s="8" t="s">
        <v>32</v>
      </c>
      <c r="J86" s="8" t="s">
        <v>306</v>
      </c>
      <c r="K86" s="8" t="s">
        <v>20</v>
      </c>
      <c r="L86" s="8"/>
      <c r="M86" s="8" t="s">
        <v>169</v>
      </c>
      <c r="N86" s="8" t="s">
        <v>362</v>
      </c>
    </row>
    <row r="87" spans="2:14" x14ac:dyDescent="0.25">
      <c r="B87" s="51">
        <v>44706</v>
      </c>
      <c r="C87" s="10" t="s">
        <v>11</v>
      </c>
      <c r="D87" s="10" t="s">
        <v>363</v>
      </c>
      <c r="E87" s="10" t="s">
        <v>293</v>
      </c>
      <c r="F87" s="10" t="s">
        <v>20</v>
      </c>
      <c r="G87" s="10" t="s">
        <v>29</v>
      </c>
      <c r="H87" s="10" t="s">
        <v>17</v>
      </c>
      <c r="I87" s="10" t="s">
        <v>33</v>
      </c>
      <c r="J87" s="10" t="s">
        <v>335</v>
      </c>
      <c r="K87" s="10" t="s">
        <v>20</v>
      </c>
      <c r="L87" s="10"/>
      <c r="M87" s="10" t="s">
        <v>169</v>
      </c>
      <c r="N87" s="10" t="s">
        <v>362</v>
      </c>
    </row>
    <row r="88" spans="2:14" x14ac:dyDescent="0.25">
      <c r="B88" s="50">
        <v>44706</v>
      </c>
      <c r="C88" s="8" t="s">
        <v>11</v>
      </c>
      <c r="D88" s="8" t="s">
        <v>292</v>
      </c>
      <c r="E88" s="8" t="s">
        <v>364</v>
      </c>
      <c r="F88" s="8" t="s">
        <v>20</v>
      </c>
      <c r="G88" s="8" t="s">
        <v>29</v>
      </c>
      <c r="H88" s="8" t="s">
        <v>17</v>
      </c>
      <c r="I88" s="8" t="s">
        <v>33</v>
      </c>
      <c r="J88" s="8" t="s">
        <v>335</v>
      </c>
      <c r="K88" s="8" t="s">
        <v>20</v>
      </c>
      <c r="L88" s="8"/>
      <c r="M88" s="8" t="s">
        <v>169</v>
      </c>
      <c r="N88" s="8" t="s">
        <v>362</v>
      </c>
    </row>
    <row r="89" spans="2:14" x14ac:dyDescent="0.25">
      <c r="B89" s="51">
        <v>44720</v>
      </c>
      <c r="C89" s="10" t="s">
        <v>11</v>
      </c>
      <c r="D89" s="10" t="s">
        <v>365</v>
      </c>
      <c r="E89" s="10"/>
      <c r="F89" s="10" t="s">
        <v>20</v>
      </c>
      <c r="G89" s="10" t="s">
        <v>14</v>
      </c>
      <c r="H89" s="10"/>
      <c r="I89" s="10" t="s">
        <v>366</v>
      </c>
      <c r="J89" s="10" t="s">
        <v>31</v>
      </c>
      <c r="K89" s="10" t="s">
        <v>20</v>
      </c>
      <c r="L89" s="10"/>
      <c r="M89" s="10" t="s">
        <v>169</v>
      </c>
      <c r="N89" s="10" t="s">
        <v>362</v>
      </c>
    </row>
    <row r="90" spans="2:14" x14ac:dyDescent="0.25">
      <c r="B90" s="50">
        <v>44729</v>
      </c>
      <c r="C90" s="8" t="s">
        <v>1083</v>
      </c>
      <c r="D90" s="8" t="s">
        <v>367</v>
      </c>
      <c r="E90" s="8" t="s">
        <v>368</v>
      </c>
      <c r="F90" s="8" t="s">
        <v>20</v>
      </c>
      <c r="G90" s="8" t="s">
        <v>29</v>
      </c>
      <c r="H90" s="8" t="s">
        <v>17</v>
      </c>
      <c r="I90" s="8" t="s">
        <v>33</v>
      </c>
      <c r="J90" s="8" t="s">
        <v>337</v>
      </c>
      <c r="K90" s="8" t="s">
        <v>20</v>
      </c>
      <c r="L90" s="8"/>
      <c r="M90" s="8" t="s">
        <v>169</v>
      </c>
      <c r="N90" s="8" t="s">
        <v>362</v>
      </c>
    </row>
    <row r="91" spans="2:14" x14ac:dyDescent="0.25">
      <c r="B91" s="51">
        <v>44740</v>
      </c>
      <c r="C91" s="10" t="s">
        <v>11</v>
      </c>
      <c r="D91" s="10" t="s">
        <v>369</v>
      </c>
      <c r="E91" s="10"/>
      <c r="F91" s="10" t="s">
        <v>20</v>
      </c>
      <c r="G91" s="10" t="s">
        <v>316</v>
      </c>
      <c r="H91" s="10" t="s">
        <v>17</v>
      </c>
      <c r="I91" s="10" t="s">
        <v>46</v>
      </c>
      <c r="J91" s="10" t="s">
        <v>318</v>
      </c>
      <c r="K91" s="10" t="s">
        <v>351</v>
      </c>
      <c r="L91" s="10"/>
      <c r="M91" s="10" t="s">
        <v>169</v>
      </c>
      <c r="N91" s="10" t="s">
        <v>362</v>
      </c>
    </row>
    <row r="92" spans="2:14" x14ac:dyDescent="0.25">
      <c r="B92" s="50">
        <v>44747</v>
      </c>
      <c r="C92" s="8" t="s">
        <v>11</v>
      </c>
      <c r="D92" s="8" t="s">
        <v>370</v>
      </c>
      <c r="E92" s="8"/>
      <c r="F92" s="8" t="s">
        <v>20</v>
      </c>
      <c r="G92" s="8" t="s">
        <v>233</v>
      </c>
      <c r="H92" s="8" t="s">
        <v>17</v>
      </c>
      <c r="I92" s="8" t="s">
        <v>371</v>
      </c>
      <c r="J92" s="8" t="s">
        <v>47</v>
      </c>
      <c r="K92" s="8" t="s">
        <v>351</v>
      </c>
      <c r="L92" s="8"/>
      <c r="M92" s="8" t="s">
        <v>169</v>
      </c>
      <c r="N92" s="8" t="s">
        <v>362</v>
      </c>
    </row>
    <row r="93" spans="2:14" x14ac:dyDescent="0.25">
      <c r="B93" s="51">
        <v>44769</v>
      </c>
      <c r="C93" s="10" t="s">
        <v>11</v>
      </c>
      <c r="D93" s="10" t="s">
        <v>372</v>
      </c>
      <c r="E93" s="10"/>
      <c r="F93" s="10" t="s">
        <v>20</v>
      </c>
      <c r="G93" s="10" t="s">
        <v>14</v>
      </c>
      <c r="H93" s="10" t="s">
        <v>17</v>
      </c>
      <c r="I93" s="10" t="s">
        <v>48</v>
      </c>
      <c r="J93" s="10" t="s">
        <v>31</v>
      </c>
      <c r="K93" s="10" t="s">
        <v>31</v>
      </c>
      <c r="L93" s="10"/>
      <c r="M93" s="10" t="s">
        <v>169</v>
      </c>
      <c r="N93" s="10" t="s">
        <v>373</v>
      </c>
    </row>
    <row r="94" spans="2:14" x14ac:dyDescent="0.25">
      <c r="B94" s="50">
        <v>44720</v>
      </c>
      <c r="C94" s="8" t="s">
        <v>11</v>
      </c>
      <c r="D94" s="12" t="s">
        <v>374</v>
      </c>
      <c r="E94" s="8"/>
      <c r="F94" s="8" t="s">
        <v>299</v>
      </c>
      <c r="G94" s="8" t="s">
        <v>14</v>
      </c>
      <c r="H94" s="8"/>
      <c r="I94" s="8" t="s">
        <v>46</v>
      </c>
      <c r="J94" s="8" t="s">
        <v>31</v>
      </c>
      <c r="K94" s="8" t="s">
        <v>31</v>
      </c>
      <c r="L94" s="8"/>
      <c r="M94" s="8" t="s">
        <v>169</v>
      </c>
      <c r="N94" s="8"/>
    </row>
    <row r="95" spans="2:14" x14ac:dyDescent="0.25">
      <c r="B95" s="51">
        <v>44720</v>
      </c>
      <c r="C95" s="10" t="s">
        <v>11</v>
      </c>
      <c r="D95" s="10" t="s">
        <v>375</v>
      </c>
      <c r="E95" s="10"/>
      <c r="F95" s="10" t="s">
        <v>299</v>
      </c>
      <c r="G95" s="10" t="s">
        <v>14</v>
      </c>
      <c r="H95" s="10"/>
      <c r="I95" s="10" t="s">
        <v>376</v>
      </c>
      <c r="J95" s="10" t="s">
        <v>31</v>
      </c>
      <c r="K95" s="10" t="s">
        <v>31</v>
      </c>
      <c r="L95" s="10"/>
      <c r="M95" s="10" t="s">
        <v>169</v>
      </c>
      <c r="N95" s="10" t="s">
        <v>377</v>
      </c>
    </row>
    <row r="96" spans="2:14" x14ac:dyDescent="0.25">
      <c r="B96" s="50">
        <v>44769</v>
      </c>
      <c r="C96" s="8" t="s">
        <v>11</v>
      </c>
      <c r="D96" s="8" t="s">
        <v>378</v>
      </c>
      <c r="E96" s="8"/>
      <c r="F96" s="8" t="s">
        <v>299</v>
      </c>
      <c r="G96" s="8" t="s">
        <v>14</v>
      </c>
      <c r="H96" s="8" t="s">
        <v>17</v>
      </c>
      <c r="I96" s="8" t="s">
        <v>48</v>
      </c>
      <c r="J96" s="8" t="s">
        <v>31</v>
      </c>
      <c r="K96" s="8" t="s">
        <v>31</v>
      </c>
      <c r="L96" s="8"/>
      <c r="M96" s="8" t="s">
        <v>169</v>
      </c>
      <c r="N96" s="8"/>
    </row>
    <row r="97" spans="2:14" x14ac:dyDescent="0.25">
      <c r="B97" s="51">
        <v>44788</v>
      </c>
      <c r="C97" s="10" t="s">
        <v>11</v>
      </c>
      <c r="D97" s="10" t="s">
        <v>379</v>
      </c>
      <c r="E97" s="10"/>
      <c r="F97" s="10" t="s">
        <v>299</v>
      </c>
      <c r="G97" s="10" t="s">
        <v>316</v>
      </c>
      <c r="H97" s="10" t="s">
        <v>17</v>
      </c>
      <c r="I97" s="10" t="s">
        <v>32</v>
      </c>
      <c r="J97" s="10" t="s">
        <v>318</v>
      </c>
      <c r="K97" s="10"/>
      <c r="L97" s="10"/>
      <c r="M97" s="10" t="s">
        <v>169</v>
      </c>
      <c r="N97" s="10" t="s">
        <v>380</v>
      </c>
    </row>
    <row r="98" spans="2:14" x14ac:dyDescent="0.25">
      <c r="B98" s="50">
        <v>44788</v>
      </c>
      <c r="C98" s="8" t="s">
        <v>11</v>
      </c>
      <c r="D98" s="8" t="s">
        <v>381</v>
      </c>
      <c r="E98" s="8"/>
      <c r="F98" s="8" t="s">
        <v>12</v>
      </c>
      <c r="G98" s="8" t="s">
        <v>30</v>
      </c>
      <c r="H98" s="8" t="s">
        <v>17</v>
      </c>
      <c r="I98" s="8" t="s">
        <v>32</v>
      </c>
      <c r="J98" s="8" t="s">
        <v>208</v>
      </c>
      <c r="K98" s="8" t="s">
        <v>348</v>
      </c>
      <c r="L98" s="8"/>
      <c r="M98" s="8" t="s">
        <v>169</v>
      </c>
      <c r="N98" s="8" t="s">
        <v>382</v>
      </c>
    </row>
    <row r="99" spans="2:14" x14ac:dyDescent="0.25">
      <c r="B99" s="51">
        <v>44777</v>
      </c>
      <c r="C99" s="10" t="s">
        <v>11</v>
      </c>
      <c r="D99" s="10" t="s">
        <v>236</v>
      </c>
      <c r="E99" s="10" t="s">
        <v>296</v>
      </c>
      <c r="F99" s="10" t="s">
        <v>16</v>
      </c>
      <c r="G99" s="10" t="s">
        <v>29</v>
      </c>
      <c r="H99" s="10" t="s">
        <v>17</v>
      </c>
      <c r="I99" s="10" t="s">
        <v>383</v>
      </c>
      <c r="J99" s="10" t="s">
        <v>337</v>
      </c>
      <c r="K99" s="10" t="s">
        <v>337</v>
      </c>
      <c r="L99" s="10"/>
      <c r="M99" s="10" t="s">
        <v>169</v>
      </c>
      <c r="N99" s="10"/>
    </row>
    <row r="100" spans="2:14" x14ac:dyDescent="0.25">
      <c r="B100" s="50">
        <v>44789</v>
      </c>
      <c r="C100" s="8" t="s">
        <v>11</v>
      </c>
      <c r="D100" s="8" t="s">
        <v>225</v>
      </c>
      <c r="E100" s="8" t="s">
        <v>384</v>
      </c>
      <c r="F100" s="8" t="s">
        <v>16</v>
      </c>
      <c r="G100" s="8" t="s">
        <v>29</v>
      </c>
      <c r="H100" s="8" t="s">
        <v>17</v>
      </c>
      <c r="I100" s="8" t="s">
        <v>224</v>
      </c>
      <c r="J100" s="8" t="s">
        <v>31</v>
      </c>
      <c r="K100" s="8" t="s">
        <v>31</v>
      </c>
      <c r="L100" s="8"/>
      <c r="M100" s="8" t="s">
        <v>169</v>
      </c>
      <c r="N100" s="8" t="s">
        <v>255</v>
      </c>
    </row>
    <row r="101" spans="2:14" x14ac:dyDescent="0.25">
      <c r="B101" s="51">
        <v>44826</v>
      </c>
      <c r="C101" s="10" t="s">
        <v>11</v>
      </c>
      <c r="D101" s="10" t="s">
        <v>385</v>
      </c>
      <c r="E101" s="10"/>
      <c r="F101" s="10" t="s">
        <v>12</v>
      </c>
      <c r="G101" s="10" t="s">
        <v>30</v>
      </c>
      <c r="H101" s="10" t="s">
        <v>17</v>
      </c>
      <c r="I101" s="10" t="s">
        <v>32</v>
      </c>
      <c r="J101" s="10" t="s">
        <v>208</v>
      </c>
      <c r="K101" s="10" t="s">
        <v>208</v>
      </c>
      <c r="L101" s="10"/>
      <c r="M101" s="10" t="s">
        <v>169</v>
      </c>
      <c r="N101" s="10" t="s">
        <v>386</v>
      </c>
    </row>
    <row r="102" spans="2:14" x14ac:dyDescent="0.25">
      <c r="B102" s="50">
        <v>44813</v>
      </c>
      <c r="C102" s="8" t="s">
        <v>1084</v>
      </c>
      <c r="D102" s="8" t="s">
        <v>49</v>
      </c>
      <c r="E102" s="8" t="s">
        <v>40</v>
      </c>
      <c r="F102" s="8" t="s">
        <v>16</v>
      </c>
      <c r="G102" s="8" t="s">
        <v>29</v>
      </c>
      <c r="H102" s="8" t="s">
        <v>17</v>
      </c>
      <c r="I102" s="8" t="s">
        <v>383</v>
      </c>
      <c r="J102" s="8" t="s">
        <v>335</v>
      </c>
      <c r="K102" s="8" t="s">
        <v>335</v>
      </c>
      <c r="L102" s="8"/>
      <c r="M102" s="8" t="s">
        <v>169</v>
      </c>
      <c r="N102" s="8" t="s">
        <v>387</v>
      </c>
    </row>
    <row r="103" spans="2:14" x14ac:dyDescent="0.25">
      <c r="B103" s="51">
        <v>44862</v>
      </c>
      <c r="C103" s="10" t="s">
        <v>11</v>
      </c>
      <c r="D103" s="10" t="s">
        <v>388</v>
      </c>
      <c r="E103" s="10"/>
      <c r="F103" s="10" t="s">
        <v>299</v>
      </c>
      <c r="G103" s="10" t="s">
        <v>34</v>
      </c>
      <c r="H103" s="10" t="s">
        <v>17</v>
      </c>
      <c r="I103" s="10" t="s">
        <v>204</v>
      </c>
      <c r="J103" s="10" t="s">
        <v>389</v>
      </c>
      <c r="K103" s="10"/>
      <c r="L103" s="10"/>
      <c r="M103" s="10" t="s">
        <v>169</v>
      </c>
      <c r="N103" s="10" t="s">
        <v>390</v>
      </c>
    </row>
    <row r="104" spans="2:14" x14ac:dyDescent="0.25">
      <c r="B104" s="50">
        <v>44747</v>
      </c>
      <c r="C104" s="8" t="s">
        <v>11</v>
      </c>
      <c r="D104" s="8" t="s">
        <v>281</v>
      </c>
      <c r="E104" s="8"/>
      <c r="F104" s="8" t="s">
        <v>20</v>
      </c>
      <c r="G104" s="8" t="s">
        <v>14</v>
      </c>
      <c r="H104" s="8" t="s">
        <v>17</v>
      </c>
      <c r="I104" s="8" t="s">
        <v>391</v>
      </c>
      <c r="J104" s="8" t="s">
        <v>31</v>
      </c>
      <c r="K104" s="8" t="s">
        <v>31</v>
      </c>
      <c r="L104" s="8"/>
      <c r="M104" s="8" t="s">
        <v>169</v>
      </c>
      <c r="N104" s="8" t="s">
        <v>392</v>
      </c>
    </row>
    <row r="105" spans="2:14" x14ac:dyDescent="0.25">
      <c r="B105" s="51">
        <v>44847</v>
      </c>
      <c r="C105" s="10" t="s">
        <v>11</v>
      </c>
      <c r="D105" s="10" t="s">
        <v>393</v>
      </c>
      <c r="E105" s="10"/>
      <c r="F105" s="10" t="s">
        <v>299</v>
      </c>
      <c r="G105" s="10" t="s">
        <v>27</v>
      </c>
      <c r="H105" s="10" t="s">
        <v>17</v>
      </c>
      <c r="I105" s="10" t="s">
        <v>32</v>
      </c>
      <c r="J105" s="10" t="s">
        <v>394</v>
      </c>
      <c r="K105" s="10" t="s">
        <v>348</v>
      </c>
      <c r="L105" s="10"/>
      <c r="M105" s="10" t="s">
        <v>169</v>
      </c>
      <c r="N105" s="10" t="s">
        <v>395</v>
      </c>
    </row>
    <row r="106" spans="2:14" x14ac:dyDescent="0.25">
      <c r="B106" s="50">
        <v>44813</v>
      </c>
      <c r="C106" s="8" t="s">
        <v>1084</v>
      </c>
      <c r="D106" s="8" t="s">
        <v>49</v>
      </c>
      <c r="E106" s="8" t="s">
        <v>40</v>
      </c>
      <c r="F106" s="8" t="s">
        <v>16</v>
      </c>
      <c r="G106" s="8" t="s">
        <v>29</v>
      </c>
      <c r="H106" s="8" t="s">
        <v>17</v>
      </c>
      <c r="I106" s="8" t="s">
        <v>383</v>
      </c>
      <c r="J106" s="8" t="s">
        <v>335</v>
      </c>
      <c r="K106" s="8" t="s">
        <v>335</v>
      </c>
      <c r="L106" s="8"/>
      <c r="M106" s="8" t="s">
        <v>169</v>
      </c>
      <c r="N106" s="8" t="s">
        <v>387</v>
      </c>
    </row>
    <row r="107" spans="2:14" x14ac:dyDescent="0.25">
      <c r="B107" s="51">
        <v>44816</v>
      </c>
      <c r="C107" s="10" t="s">
        <v>1085</v>
      </c>
      <c r="D107" s="10" t="s">
        <v>345</v>
      </c>
      <c r="E107" s="10" t="s">
        <v>396</v>
      </c>
      <c r="F107" s="10" t="s">
        <v>16</v>
      </c>
      <c r="G107" s="10" t="s">
        <v>29</v>
      </c>
      <c r="H107" s="10" t="s">
        <v>17</v>
      </c>
      <c r="I107" s="10" t="s">
        <v>397</v>
      </c>
      <c r="J107" s="10" t="s">
        <v>332</v>
      </c>
      <c r="K107" s="10" t="s">
        <v>332</v>
      </c>
      <c r="L107" s="10"/>
      <c r="M107" s="10" t="s">
        <v>169</v>
      </c>
      <c r="N107" s="10" t="s">
        <v>398</v>
      </c>
    </row>
    <row r="108" spans="2:14" x14ac:dyDescent="0.25">
      <c r="B108" s="50">
        <v>44862</v>
      </c>
      <c r="C108" s="8" t="s">
        <v>11</v>
      </c>
      <c r="D108" s="8" t="s">
        <v>399</v>
      </c>
      <c r="E108" s="8"/>
      <c r="F108" s="8" t="s">
        <v>12</v>
      </c>
      <c r="G108" s="8" t="s">
        <v>289</v>
      </c>
      <c r="H108" s="8" t="s">
        <v>15</v>
      </c>
      <c r="I108" s="8" t="s">
        <v>234</v>
      </c>
      <c r="J108" s="8" t="s">
        <v>400</v>
      </c>
      <c r="K108" s="8" t="s">
        <v>400</v>
      </c>
      <c r="L108" s="8"/>
      <c r="M108" s="8" t="s">
        <v>169</v>
      </c>
      <c r="N108" s="8" t="s">
        <v>401</v>
      </c>
    </row>
    <row r="109" spans="2:14" x14ac:dyDescent="0.25">
      <c r="B109" s="51">
        <v>44862</v>
      </c>
      <c r="C109" s="10" t="s">
        <v>11</v>
      </c>
      <c r="D109" s="10" t="s">
        <v>402</v>
      </c>
      <c r="E109" s="10"/>
      <c r="F109" s="10" t="s">
        <v>12</v>
      </c>
      <c r="G109" s="10" t="s">
        <v>289</v>
      </c>
      <c r="H109" s="10" t="s">
        <v>15</v>
      </c>
      <c r="I109" s="10" t="s">
        <v>234</v>
      </c>
      <c r="J109" s="10" t="s">
        <v>400</v>
      </c>
      <c r="K109" s="10" t="s">
        <v>400</v>
      </c>
      <c r="L109" s="10"/>
      <c r="M109" s="10" t="s">
        <v>169</v>
      </c>
      <c r="N109" s="10" t="s">
        <v>401</v>
      </c>
    </row>
    <row r="110" spans="2:14" x14ac:dyDescent="0.25">
      <c r="B110" s="50">
        <v>44817</v>
      </c>
      <c r="C110" s="8" t="s">
        <v>11</v>
      </c>
      <c r="D110" s="8" t="s">
        <v>403</v>
      </c>
      <c r="E110" s="8" t="s">
        <v>404</v>
      </c>
      <c r="F110" s="8" t="s">
        <v>16</v>
      </c>
      <c r="G110" s="8" t="s">
        <v>29</v>
      </c>
      <c r="H110" s="8" t="s">
        <v>17</v>
      </c>
      <c r="I110" s="8" t="s">
        <v>201</v>
      </c>
      <c r="J110" s="8" t="s">
        <v>405</v>
      </c>
      <c r="K110" s="8" t="s">
        <v>287</v>
      </c>
      <c r="L110" s="8"/>
      <c r="M110" s="8" t="s">
        <v>169</v>
      </c>
      <c r="N110" s="8" t="s">
        <v>406</v>
      </c>
    </row>
    <row r="111" spans="2:14" x14ac:dyDescent="0.25">
      <c r="B111" s="51">
        <v>44819</v>
      </c>
      <c r="C111" s="10" t="s">
        <v>11</v>
      </c>
      <c r="D111" s="10" t="s">
        <v>49</v>
      </c>
      <c r="E111" s="10" t="s">
        <v>407</v>
      </c>
      <c r="F111" s="10" t="s">
        <v>16</v>
      </c>
      <c r="G111" s="10" t="s">
        <v>29</v>
      </c>
      <c r="H111" s="10" t="s">
        <v>17</v>
      </c>
      <c r="I111" s="10" t="s">
        <v>383</v>
      </c>
      <c r="J111" s="10" t="s">
        <v>408</v>
      </c>
      <c r="K111" s="10" t="s">
        <v>287</v>
      </c>
      <c r="L111" s="10"/>
      <c r="M111" s="10" t="s">
        <v>169</v>
      </c>
      <c r="N111" s="10" t="s">
        <v>409</v>
      </c>
    </row>
    <row r="112" spans="2:14" x14ac:dyDescent="0.25">
      <c r="B112" s="50">
        <v>44862</v>
      </c>
      <c r="C112" s="8" t="s">
        <v>11</v>
      </c>
      <c r="D112" s="8" t="s">
        <v>410</v>
      </c>
      <c r="E112" s="8"/>
      <c r="F112" s="8" t="s">
        <v>12</v>
      </c>
      <c r="G112" s="8" t="s">
        <v>36</v>
      </c>
      <c r="H112" s="8" t="s">
        <v>17</v>
      </c>
      <c r="I112" s="8" t="s">
        <v>32</v>
      </c>
      <c r="J112" s="8" t="s">
        <v>47</v>
      </c>
      <c r="K112" s="8" t="s">
        <v>411</v>
      </c>
      <c r="L112" s="8"/>
      <c r="M112" s="8" t="s">
        <v>169</v>
      </c>
      <c r="N112" s="8" t="s">
        <v>412</v>
      </c>
    </row>
    <row r="113" spans="2:14" x14ac:dyDescent="0.25">
      <c r="B113" s="51">
        <v>44881</v>
      </c>
      <c r="C113" s="10" t="s">
        <v>11</v>
      </c>
      <c r="D113" s="10" t="s">
        <v>413</v>
      </c>
      <c r="E113" s="10"/>
      <c r="F113" s="10" t="s">
        <v>12</v>
      </c>
      <c r="G113" s="10" t="s">
        <v>14</v>
      </c>
      <c r="H113" s="10" t="s">
        <v>17</v>
      </c>
      <c r="I113" s="10" t="s">
        <v>32</v>
      </c>
      <c r="J113" s="10" t="s">
        <v>414</v>
      </c>
      <c r="K113" s="10" t="s">
        <v>12</v>
      </c>
      <c r="L113" s="10"/>
      <c r="M113" s="10" t="s">
        <v>169</v>
      </c>
      <c r="N113" s="10" t="s">
        <v>412</v>
      </c>
    </row>
    <row r="114" spans="2:14" x14ac:dyDescent="0.25">
      <c r="B114" s="50">
        <v>44881</v>
      </c>
      <c r="C114" s="8" t="s">
        <v>11</v>
      </c>
      <c r="D114" s="8" t="s">
        <v>415</v>
      </c>
      <c r="E114" s="8"/>
      <c r="F114" s="8" t="s">
        <v>12</v>
      </c>
      <c r="G114" s="8" t="s">
        <v>34</v>
      </c>
      <c r="H114" s="8" t="s">
        <v>17</v>
      </c>
      <c r="I114" s="8" t="s">
        <v>32</v>
      </c>
      <c r="J114" s="8" t="s">
        <v>35</v>
      </c>
      <c r="K114" s="8" t="s">
        <v>12</v>
      </c>
      <c r="L114" s="8"/>
      <c r="M114" s="8" t="s">
        <v>169</v>
      </c>
      <c r="N114" s="8" t="s">
        <v>416</v>
      </c>
    </row>
    <row r="115" spans="2:14" x14ac:dyDescent="0.25">
      <c r="B115" s="51">
        <v>44887</v>
      </c>
      <c r="C115" s="10" t="s">
        <v>11</v>
      </c>
      <c r="D115" s="10" t="s">
        <v>417</v>
      </c>
      <c r="E115" s="10"/>
      <c r="F115" s="10" t="s">
        <v>12</v>
      </c>
      <c r="G115" s="10" t="s">
        <v>418</v>
      </c>
      <c r="H115" s="10" t="s">
        <v>17</v>
      </c>
      <c r="I115" s="10" t="s">
        <v>204</v>
      </c>
      <c r="J115" s="10" t="s">
        <v>394</v>
      </c>
      <c r="K115" s="10" t="s">
        <v>12</v>
      </c>
      <c r="L115" s="10"/>
      <c r="M115" s="10" t="s">
        <v>169</v>
      </c>
      <c r="N115" s="10" t="s">
        <v>412</v>
      </c>
    </row>
    <row r="116" spans="2:14" x14ac:dyDescent="0.25">
      <c r="B116" s="50">
        <v>44908</v>
      </c>
      <c r="C116" s="8" t="s">
        <v>11</v>
      </c>
      <c r="D116" s="8" t="s">
        <v>419</v>
      </c>
      <c r="E116" s="8" t="s">
        <v>420</v>
      </c>
      <c r="F116" s="8" t="s">
        <v>12</v>
      </c>
      <c r="G116" s="8" t="s">
        <v>3</v>
      </c>
      <c r="H116" s="8" t="s">
        <v>17</v>
      </c>
      <c r="I116" s="8" t="s">
        <v>421</v>
      </c>
      <c r="J116" s="8" t="s">
        <v>38</v>
      </c>
      <c r="K116" s="8" t="s">
        <v>348</v>
      </c>
      <c r="L116" s="8"/>
      <c r="M116" s="8" t="s">
        <v>169</v>
      </c>
      <c r="N116" s="8" t="s">
        <v>422</v>
      </c>
    </row>
    <row r="117" spans="2:14" x14ac:dyDescent="0.25">
      <c r="B117" s="51">
        <v>44782</v>
      </c>
      <c r="C117" s="10" t="s">
        <v>11</v>
      </c>
      <c r="D117" s="10" t="s">
        <v>423</v>
      </c>
      <c r="E117" s="10" t="s">
        <v>424</v>
      </c>
      <c r="F117" s="10" t="s">
        <v>12</v>
      </c>
      <c r="G117" s="10" t="s">
        <v>3</v>
      </c>
      <c r="H117" s="10" t="s">
        <v>425</v>
      </c>
      <c r="I117" s="10" t="s">
        <v>426</v>
      </c>
      <c r="J117" s="10" t="s">
        <v>427</v>
      </c>
      <c r="K117" s="10" t="s">
        <v>348</v>
      </c>
      <c r="L117" s="10"/>
      <c r="M117" s="10" t="s">
        <v>169</v>
      </c>
      <c r="N117" s="10" t="s">
        <v>428</v>
      </c>
    </row>
    <row r="118" spans="2:14" x14ac:dyDescent="0.25">
      <c r="B118" s="50">
        <v>44782</v>
      </c>
      <c r="C118" s="8" t="s">
        <v>11</v>
      </c>
      <c r="D118" s="8" t="s">
        <v>429</v>
      </c>
      <c r="E118" s="8" t="s">
        <v>430</v>
      </c>
      <c r="F118" s="8" t="s">
        <v>12</v>
      </c>
      <c r="G118" s="8" t="s">
        <v>3</v>
      </c>
      <c r="H118" s="8" t="s">
        <v>425</v>
      </c>
      <c r="I118" s="8" t="s">
        <v>431</v>
      </c>
      <c r="J118" s="8" t="s">
        <v>427</v>
      </c>
      <c r="K118" s="8"/>
      <c r="L118" s="8"/>
      <c r="M118" s="8" t="s">
        <v>169</v>
      </c>
      <c r="N118" s="8" t="s">
        <v>432</v>
      </c>
    </row>
    <row r="119" spans="2:14" x14ac:dyDescent="0.25">
      <c r="B119" s="51">
        <v>44784</v>
      </c>
      <c r="C119" s="10" t="s">
        <v>11</v>
      </c>
      <c r="D119" s="10" t="s">
        <v>433</v>
      </c>
      <c r="E119" s="10" t="s">
        <v>434</v>
      </c>
      <c r="F119" s="10" t="s">
        <v>12</v>
      </c>
      <c r="G119" s="10" t="s">
        <v>3</v>
      </c>
      <c r="H119" s="10" t="s">
        <v>425</v>
      </c>
      <c r="I119" s="10" t="s">
        <v>435</v>
      </c>
      <c r="J119" s="10" t="s">
        <v>427</v>
      </c>
      <c r="K119" s="10" t="s">
        <v>436</v>
      </c>
      <c r="L119" s="10"/>
      <c r="M119" s="10" t="s">
        <v>169</v>
      </c>
      <c r="N119" s="10" t="s">
        <v>437</v>
      </c>
    </row>
    <row r="120" spans="2:14" x14ac:dyDescent="0.25">
      <c r="B120" s="50">
        <v>44820</v>
      </c>
      <c r="C120" s="8" t="s">
        <v>11</v>
      </c>
      <c r="D120" s="8" t="s">
        <v>438</v>
      </c>
      <c r="E120" s="8"/>
      <c r="F120" s="8" t="s">
        <v>12</v>
      </c>
      <c r="G120" s="8" t="s">
        <v>14</v>
      </c>
      <c r="H120" s="8" t="s">
        <v>17</v>
      </c>
      <c r="I120" s="8" t="s">
        <v>32</v>
      </c>
      <c r="J120" s="8" t="s">
        <v>414</v>
      </c>
      <c r="K120" s="8" t="s">
        <v>414</v>
      </c>
      <c r="L120" s="8"/>
      <c r="M120" s="8" t="s">
        <v>169</v>
      </c>
      <c r="N120" s="8" t="s">
        <v>439</v>
      </c>
    </row>
    <row r="121" spans="2:14" x14ac:dyDescent="0.25">
      <c r="B121" s="51">
        <v>44868</v>
      </c>
      <c r="C121" s="10" t="s">
        <v>11</v>
      </c>
      <c r="D121" s="10" t="s">
        <v>440</v>
      </c>
      <c r="E121" s="10"/>
      <c r="F121" s="10" t="s">
        <v>12</v>
      </c>
      <c r="G121" s="10" t="s">
        <v>27</v>
      </c>
      <c r="H121" s="10" t="s">
        <v>17</v>
      </c>
      <c r="I121" s="10" t="s">
        <v>32</v>
      </c>
      <c r="J121" s="10" t="s">
        <v>394</v>
      </c>
      <c r="K121" s="10" t="s">
        <v>394</v>
      </c>
      <c r="L121" s="10"/>
      <c r="M121" s="10" t="s">
        <v>169</v>
      </c>
      <c r="N121" s="10"/>
    </row>
    <row r="122" spans="2:14" x14ac:dyDescent="0.25">
      <c r="B122" s="50">
        <v>44890</v>
      </c>
      <c r="C122" s="8" t="s">
        <v>11</v>
      </c>
      <c r="D122" s="8" t="s">
        <v>50</v>
      </c>
      <c r="E122" s="8"/>
      <c r="F122" s="8" t="s">
        <v>12</v>
      </c>
      <c r="G122" s="8" t="s">
        <v>289</v>
      </c>
      <c r="H122" s="8" t="s">
        <v>15</v>
      </c>
      <c r="I122" s="8" t="s">
        <v>234</v>
      </c>
      <c r="J122" s="8" t="s">
        <v>400</v>
      </c>
      <c r="K122" s="8" t="s">
        <v>12</v>
      </c>
      <c r="L122" s="8"/>
      <c r="M122" s="8" t="s">
        <v>169</v>
      </c>
      <c r="N122" s="8" t="s">
        <v>441</v>
      </c>
    </row>
    <row r="123" spans="2:14" x14ac:dyDescent="0.25">
      <c r="B123" s="51">
        <v>44838</v>
      </c>
      <c r="C123" s="10" t="s">
        <v>11</v>
      </c>
      <c r="D123" s="10" t="s">
        <v>367</v>
      </c>
      <c r="E123" s="10" t="s">
        <v>273</v>
      </c>
      <c r="F123" s="10" t="s">
        <v>16</v>
      </c>
      <c r="G123" s="10" t="s">
        <v>29</v>
      </c>
      <c r="H123" s="10" t="s">
        <v>17</v>
      </c>
      <c r="I123" s="10" t="s">
        <v>383</v>
      </c>
      <c r="J123" s="10" t="s">
        <v>337</v>
      </c>
      <c r="K123" s="10" t="s">
        <v>442</v>
      </c>
      <c r="L123" s="10"/>
      <c r="M123" s="10" t="s">
        <v>169</v>
      </c>
      <c r="N123" s="10" t="s">
        <v>443</v>
      </c>
    </row>
    <row r="124" spans="2:14" x14ac:dyDescent="0.25">
      <c r="B124" s="50">
        <v>44888</v>
      </c>
      <c r="C124" s="8" t="s">
        <v>11</v>
      </c>
      <c r="D124" s="8" t="s">
        <v>444</v>
      </c>
      <c r="E124" s="8"/>
      <c r="F124" s="8" t="s">
        <v>12</v>
      </c>
      <c r="G124" s="8" t="s">
        <v>27</v>
      </c>
      <c r="H124" s="8" t="s">
        <v>17</v>
      </c>
      <c r="I124" s="8" t="s">
        <v>198</v>
      </c>
      <c r="J124" s="8" t="s">
        <v>445</v>
      </c>
      <c r="K124" s="8" t="s">
        <v>442</v>
      </c>
      <c r="L124" s="8"/>
      <c r="M124" s="8" t="s">
        <v>169</v>
      </c>
      <c r="N124" s="8" t="s">
        <v>446</v>
      </c>
    </row>
    <row r="125" spans="2:14" x14ac:dyDescent="0.25">
      <c r="B125" s="51">
        <v>44889</v>
      </c>
      <c r="C125" s="10" t="s">
        <v>11</v>
      </c>
      <c r="D125" s="10" t="s">
        <v>281</v>
      </c>
      <c r="E125" s="10"/>
      <c r="F125" s="10" t="s">
        <v>12</v>
      </c>
      <c r="G125" s="10" t="s">
        <v>14</v>
      </c>
      <c r="H125" s="10" t="s">
        <v>17</v>
      </c>
      <c r="I125" s="10" t="s">
        <v>32</v>
      </c>
      <c r="J125" s="10" t="s">
        <v>414</v>
      </c>
      <c r="K125" s="10" t="s">
        <v>348</v>
      </c>
      <c r="L125" s="10"/>
      <c r="M125" s="10" t="s">
        <v>169</v>
      </c>
      <c r="N125" s="10" t="s">
        <v>412</v>
      </c>
    </row>
    <row r="126" spans="2:14" x14ac:dyDescent="0.25">
      <c r="B126" s="50">
        <v>44889</v>
      </c>
      <c r="C126" s="8" t="s">
        <v>11</v>
      </c>
      <c r="D126" s="8" t="s">
        <v>447</v>
      </c>
      <c r="E126" s="8"/>
      <c r="F126" s="8" t="s">
        <v>12</v>
      </c>
      <c r="G126" s="8" t="s">
        <v>14</v>
      </c>
      <c r="H126" s="8" t="s">
        <v>17</v>
      </c>
      <c r="I126" s="8" t="s">
        <v>46</v>
      </c>
      <c r="J126" s="8" t="s">
        <v>414</v>
      </c>
      <c r="K126" s="8" t="s">
        <v>12</v>
      </c>
      <c r="L126" s="8"/>
      <c r="M126" s="8" t="s">
        <v>169</v>
      </c>
      <c r="N126" s="8" t="s">
        <v>412</v>
      </c>
    </row>
    <row r="127" spans="2:14" x14ac:dyDescent="0.25">
      <c r="B127" s="51">
        <v>44889</v>
      </c>
      <c r="C127" s="10" t="s">
        <v>11</v>
      </c>
      <c r="D127" s="10" t="s">
        <v>448</v>
      </c>
      <c r="E127" s="10" t="s">
        <v>449</v>
      </c>
      <c r="F127" s="10" t="s">
        <v>12</v>
      </c>
      <c r="G127" s="10" t="s">
        <v>29</v>
      </c>
      <c r="H127" s="10" t="s">
        <v>17</v>
      </c>
      <c r="I127" s="10" t="s">
        <v>276</v>
      </c>
      <c r="J127" s="10" t="s">
        <v>51</v>
      </c>
      <c r="K127" s="10" t="s">
        <v>12</v>
      </c>
      <c r="L127" s="10"/>
      <c r="M127" s="10" t="s">
        <v>169</v>
      </c>
      <c r="N127" s="10" t="s">
        <v>412</v>
      </c>
    </row>
    <row r="128" spans="2:14" x14ac:dyDescent="0.25">
      <c r="B128" s="50">
        <v>44889</v>
      </c>
      <c r="C128" s="8" t="s">
        <v>11</v>
      </c>
      <c r="D128" s="8"/>
      <c r="E128" s="8" t="s">
        <v>450</v>
      </c>
      <c r="F128" s="8" t="s">
        <v>12</v>
      </c>
      <c r="G128" s="8" t="s">
        <v>3</v>
      </c>
      <c r="H128" s="8" t="s">
        <v>425</v>
      </c>
      <c r="I128" s="8" t="s">
        <v>451</v>
      </c>
      <c r="J128" s="8" t="s">
        <v>452</v>
      </c>
      <c r="K128" s="8" t="s">
        <v>12</v>
      </c>
      <c r="L128" s="8"/>
      <c r="M128" s="8" t="s">
        <v>169</v>
      </c>
      <c r="N128" s="8" t="s">
        <v>453</v>
      </c>
    </row>
    <row r="129" spans="2:14" x14ac:dyDescent="0.25">
      <c r="B129" s="51">
        <v>44890</v>
      </c>
      <c r="C129" s="10" t="s">
        <v>11</v>
      </c>
      <c r="D129" s="10" t="s">
        <v>454</v>
      </c>
      <c r="E129" s="10"/>
      <c r="F129" s="10" t="s">
        <v>12</v>
      </c>
      <c r="G129" s="10" t="s">
        <v>455</v>
      </c>
      <c r="H129" s="10" t="s">
        <v>17</v>
      </c>
      <c r="I129" s="10" t="s">
        <v>32</v>
      </c>
      <c r="J129" s="10" t="s">
        <v>456</v>
      </c>
      <c r="K129" s="10" t="s">
        <v>12</v>
      </c>
      <c r="L129" s="10"/>
      <c r="M129" s="10" t="s">
        <v>169</v>
      </c>
      <c r="N129" s="10" t="s">
        <v>453</v>
      </c>
    </row>
    <row r="130" spans="2:14" x14ac:dyDescent="0.25">
      <c r="B130" s="50">
        <v>44895</v>
      </c>
      <c r="C130" s="8" t="s">
        <v>11</v>
      </c>
      <c r="D130" s="8" t="s">
        <v>457</v>
      </c>
      <c r="E130" s="8"/>
      <c r="F130" s="8" t="s">
        <v>12</v>
      </c>
      <c r="G130" s="8" t="s">
        <v>14</v>
      </c>
      <c r="H130" s="8" t="s">
        <v>17</v>
      </c>
      <c r="I130" s="8" t="s">
        <v>224</v>
      </c>
      <c r="J130" s="8" t="s">
        <v>414</v>
      </c>
      <c r="K130" s="8" t="s">
        <v>12</v>
      </c>
      <c r="L130" s="8"/>
      <c r="M130" s="8" t="s">
        <v>169</v>
      </c>
      <c r="N130" s="8" t="s">
        <v>458</v>
      </c>
    </row>
    <row r="131" spans="2:14" x14ac:dyDescent="0.25">
      <c r="B131" s="51">
        <v>44896</v>
      </c>
      <c r="C131" s="10" t="s">
        <v>11</v>
      </c>
      <c r="D131" s="10" t="s">
        <v>459</v>
      </c>
      <c r="E131" s="10"/>
      <c r="F131" s="10" t="s">
        <v>12</v>
      </c>
      <c r="G131" s="10" t="s">
        <v>36</v>
      </c>
      <c r="H131" s="10" t="s">
        <v>17</v>
      </c>
      <c r="I131" s="10" t="s">
        <v>32</v>
      </c>
      <c r="J131" s="10" t="s">
        <v>51</v>
      </c>
      <c r="K131" s="10" t="s">
        <v>12</v>
      </c>
      <c r="L131" s="10"/>
      <c r="M131" s="10" t="s">
        <v>169</v>
      </c>
      <c r="N131" s="10" t="s">
        <v>460</v>
      </c>
    </row>
    <row r="132" spans="2:14" x14ac:dyDescent="0.25">
      <c r="B132" s="50">
        <v>44824</v>
      </c>
      <c r="C132" s="8" t="s">
        <v>11</v>
      </c>
      <c r="D132" s="8" t="s">
        <v>461</v>
      </c>
      <c r="E132" s="8"/>
      <c r="F132" s="8" t="s">
        <v>12</v>
      </c>
      <c r="G132" s="8" t="s">
        <v>30</v>
      </c>
      <c r="H132" s="8" t="s">
        <v>17</v>
      </c>
      <c r="I132" s="8" t="s">
        <v>32</v>
      </c>
      <c r="J132" s="8" t="s">
        <v>462</v>
      </c>
      <c r="K132" s="8" t="s">
        <v>348</v>
      </c>
      <c r="L132" s="8"/>
      <c r="M132" s="8" t="s">
        <v>169</v>
      </c>
      <c r="N132" s="8" t="s">
        <v>463</v>
      </c>
    </row>
    <row r="133" spans="2:14" x14ac:dyDescent="0.25">
      <c r="B133" s="51">
        <v>44888</v>
      </c>
      <c r="C133" s="10" t="s">
        <v>11</v>
      </c>
      <c r="D133" s="10" t="s">
        <v>298</v>
      </c>
      <c r="E133" s="10"/>
      <c r="F133" s="10" t="s">
        <v>12</v>
      </c>
      <c r="G133" s="10" t="s">
        <v>14</v>
      </c>
      <c r="H133" s="10" t="s">
        <v>17</v>
      </c>
      <c r="I133" s="10" t="s">
        <v>46</v>
      </c>
      <c r="J133" s="10" t="s">
        <v>31</v>
      </c>
      <c r="K133" s="10" t="s">
        <v>12</v>
      </c>
      <c r="L133" s="10"/>
      <c r="M133" s="10" t="s">
        <v>169</v>
      </c>
      <c r="N133" s="10" t="s">
        <v>453</v>
      </c>
    </row>
    <row r="134" spans="2:14" x14ac:dyDescent="0.25">
      <c r="B134" s="50">
        <v>44894</v>
      </c>
      <c r="C134" s="8" t="s">
        <v>11</v>
      </c>
      <c r="D134" s="8" t="s">
        <v>464</v>
      </c>
      <c r="E134" s="8"/>
      <c r="F134" s="8" t="s">
        <v>12</v>
      </c>
      <c r="G134" s="8" t="s">
        <v>14</v>
      </c>
      <c r="H134" s="8" t="s">
        <v>17</v>
      </c>
      <c r="I134" s="8" t="s">
        <v>32</v>
      </c>
      <c r="J134" s="8" t="s">
        <v>31</v>
      </c>
      <c r="K134" s="8" t="s">
        <v>12</v>
      </c>
      <c r="L134" s="8"/>
      <c r="M134" s="8" t="s">
        <v>169</v>
      </c>
      <c r="N134" s="8" t="s">
        <v>453</v>
      </c>
    </row>
    <row r="135" spans="2:14" x14ac:dyDescent="0.25">
      <c r="B135" s="51">
        <v>44896</v>
      </c>
      <c r="C135" s="10" t="s">
        <v>11</v>
      </c>
      <c r="D135" s="10"/>
      <c r="E135" s="10" t="s">
        <v>275</v>
      </c>
      <c r="F135" s="10" t="s">
        <v>12</v>
      </c>
      <c r="G135" s="10" t="s">
        <v>3</v>
      </c>
      <c r="H135" s="10" t="s">
        <v>15</v>
      </c>
      <c r="I135" s="10" t="s">
        <v>276</v>
      </c>
      <c r="J135" s="10" t="s">
        <v>465</v>
      </c>
      <c r="K135" s="10" t="s">
        <v>36</v>
      </c>
      <c r="L135" s="10"/>
      <c r="M135" s="10" t="s">
        <v>169</v>
      </c>
      <c r="N135" s="10" t="s">
        <v>466</v>
      </c>
    </row>
    <row r="136" spans="2:14" x14ac:dyDescent="0.25">
      <c r="B136" s="50">
        <v>44903</v>
      </c>
      <c r="C136" s="8" t="s">
        <v>11</v>
      </c>
      <c r="D136" s="8" t="s">
        <v>52</v>
      </c>
      <c r="E136" s="8"/>
      <c r="F136" s="8" t="s">
        <v>12</v>
      </c>
      <c r="G136" s="8" t="s">
        <v>34</v>
      </c>
      <c r="H136" s="8" t="s">
        <v>17</v>
      </c>
      <c r="I136" s="8" t="s">
        <v>32</v>
      </c>
      <c r="J136" s="8" t="s">
        <v>467</v>
      </c>
      <c r="K136" s="8" t="s">
        <v>12</v>
      </c>
      <c r="L136" s="8"/>
      <c r="M136" s="8" t="s">
        <v>169</v>
      </c>
      <c r="N136" s="8" t="s">
        <v>453</v>
      </c>
    </row>
    <row r="137" spans="2:14" x14ac:dyDescent="0.25">
      <c r="B137" s="51">
        <v>44903</v>
      </c>
      <c r="C137" s="10" t="s">
        <v>11</v>
      </c>
      <c r="D137" s="10" t="s">
        <v>468</v>
      </c>
      <c r="E137" s="10"/>
      <c r="F137" s="10" t="s">
        <v>12</v>
      </c>
      <c r="G137" s="10" t="s">
        <v>14</v>
      </c>
      <c r="H137" s="10" t="s">
        <v>17</v>
      </c>
      <c r="I137" s="10" t="s">
        <v>264</v>
      </c>
      <c r="J137" s="10" t="s">
        <v>31</v>
      </c>
      <c r="K137" s="10" t="s">
        <v>12</v>
      </c>
      <c r="L137" s="10"/>
      <c r="M137" s="10" t="s">
        <v>169</v>
      </c>
      <c r="N137" s="10" t="s">
        <v>469</v>
      </c>
    </row>
    <row r="138" spans="2:14" x14ac:dyDescent="0.25">
      <c r="B138" s="50">
        <v>44908</v>
      </c>
      <c r="C138" s="8" t="s">
        <v>11</v>
      </c>
      <c r="D138" s="8"/>
      <c r="E138" s="8" t="s">
        <v>470</v>
      </c>
      <c r="F138" s="8" t="s">
        <v>12</v>
      </c>
      <c r="G138" s="8" t="s">
        <v>30</v>
      </c>
      <c r="H138" s="8" t="s">
        <v>17</v>
      </c>
      <c r="I138" s="8" t="s">
        <v>471</v>
      </c>
      <c r="J138" s="8" t="s">
        <v>472</v>
      </c>
      <c r="K138" s="8" t="s">
        <v>12</v>
      </c>
      <c r="L138" s="8"/>
      <c r="M138" s="8" t="s">
        <v>169</v>
      </c>
      <c r="N138" s="8" t="s">
        <v>473</v>
      </c>
    </row>
    <row r="139" spans="2:14" x14ac:dyDescent="0.25">
      <c r="B139" s="51">
        <v>44917</v>
      </c>
      <c r="C139" s="10" t="s">
        <v>11</v>
      </c>
      <c r="D139" s="10" t="s">
        <v>474</v>
      </c>
      <c r="E139" s="10"/>
      <c r="F139" s="10" t="s">
        <v>12</v>
      </c>
      <c r="G139" s="10" t="s">
        <v>34</v>
      </c>
      <c r="H139" s="10" t="s">
        <v>17</v>
      </c>
      <c r="I139" s="10" t="s">
        <v>475</v>
      </c>
      <c r="J139" s="10" t="s">
        <v>53</v>
      </c>
      <c r="K139" s="10" t="s">
        <v>12</v>
      </c>
      <c r="L139" s="10"/>
      <c r="M139" s="10" t="s">
        <v>169</v>
      </c>
      <c r="N139" s="10" t="s">
        <v>453</v>
      </c>
    </row>
    <row r="140" spans="2:14" x14ac:dyDescent="0.25">
      <c r="B140" s="50">
        <v>44839</v>
      </c>
      <c r="C140" s="8" t="s">
        <v>11</v>
      </c>
      <c r="D140" s="8" t="s">
        <v>476</v>
      </c>
      <c r="E140" s="8" t="s">
        <v>54</v>
      </c>
      <c r="F140" s="8" t="s">
        <v>16</v>
      </c>
      <c r="G140" s="8" t="s">
        <v>29</v>
      </c>
      <c r="H140" s="8" t="s">
        <v>17</v>
      </c>
      <c r="I140" s="8" t="s">
        <v>32</v>
      </c>
      <c r="J140" s="8" t="s">
        <v>332</v>
      </c>
      <c r="K140" s="8" t="s">
        <v>332</v>
      </c>
      <c r="L140" s="8"/>
      <c r="M140" s="8" t="s">
        <v>169</v>
      </c>
      <c r="N140" s="8" t="s">
        <v>477</v>
      </c>
    </row>
    <row r="141" spans="2:14" x14ac:dyDescent="0.25">
      <c r="B141" s="51">
        <v>44844</v>
      </c>
      <c r="C141" s="10" t="s">
        <v>11</v>
      </c>
      <c r="D141" s="10" t="s">
        <v>478</v>
      </c>
      <c r="E141" s="10" t="s">
        <v>479</v>
      </c>
      <c r="F141" s="10" t="s">
        <v>16</v>
      </c>
      <c r="G141" s="10" t="s">
        <v>3</v>
      </c>
      <c r="H141" s="10" t="s">
        <v>17</v>
      </c>
      <c r="I141" s="10" t="s">
        <v>276</v>
      </c>
      <c r="J141" s="10" t="s">
        <v>480</v>
      </c>
      <c r="K141" s="10" t="s">
        <v>442</v>
      </c>
      <c r="L141" s="10"/>
      <c r="M141" s="10" t="s">
        <v>169</v>
      </c>
      <c r="N141" s="10" t="s">
        <v>481</v>
      </c>
    </row>
    <row r="142" spans="2:14" x14ac:dyDescent="0.25">
      <c r="B142" s="50">
        <v>44847</v>
      </c>
      <c r="C142" s="8" t="s">
        <v>11</v>
      </c>
      <c r="D142" s="8" t="s">
        <v>482</v>
      </c>
      <c r="E142" s="8" t="s">
        <v>54</v>
      </c>
      <c r="F142" s="8" t="s">
        <v>16</v>
      </c>
      <c r="G142" s="8" t="s">
        <v>29</v>
      </c>
      <c r="H142" s="8" t="s">
        <v>17</v>
      </c>
      <c r="I142" s="8" t="s">
        <v>383</v>
      </c>
      <c r="J142" s="8" t="s">
        <v>332</v>
      </c>
      <c r="K142" s="8" t="s">
        <v>332</v>
      </c>
      <c r="L142" s="8"/>
      <c r="M142" s="8" t="s">
        <v>169</v>
      </c>
      <c r="N142" s="8" t="s">
        <v>483</v>
      </c>
    </row>
    <row r="143" spans="2:14" x14ac:dyDescent="0.25">
      <c r="B143" s="51">
        <v>44882</v>
      </c>
      <c r="C143" s="10" t="s">
        <v>11</v>
      </c>
      <c r="D143" s="10" t="s">
        <v>484</v>
      </c>
      <c r="E143" s="10" t="s">
        <v>485</v>
      </c>
      <c r="F143" s="10" t="s">
        <v>12</v>
      </c>
      <c r="G143" s="10" t="s">
        <v>455</v>
      </c>
      <c r="H143" s="10"/>
      <c r="I143" s="10" t="s">
        <v>486</v>
      </c>
      <c r="J143" s="10" t="s">
        <v>487</v>
      </c>
      <c r="K143" s="10" t="s">
        <v>456</v>
      </c>
      <c r="L143" s="10"/>
      <c r="M143" s="10" t="s">
        <v>169</v>
      </c>
      <c r="N143" s="10" t="s">
        <v>488</v>
      </c>
    </row>
    <row r="144" spans="2:14" x14ac:dyDescent="0.25">
      <c r="B144" s="50">
        <v>44911</v>
      </c>
      <c r="C144" s="8" t="s">
        <v>11</v>
      </c>
      <c r="D144" s="8" t="s">
        <v>489</v>
      </c>
      <c r="E144" s="8"/>
      <c r="F144" s="8" t="s">
        <v>12</v>
      </c>
      <c r="G144" s="8" t="s">
        <v>455</v>
      </c>
      <c r="H144" s="8" t="s">
        <v>17</v>
      </c>
      <c r="I144" s="8" t="s">
        <v>490</v>
      </c>
      <c r="J144" s="8" t="s">
        <v>456</v>
      </c>
      <c r="K144" s="8" t="s">
        <v>12</v>
      </c>
      <c r="L144" s="8"/>
      <c r="M144" s="8" t="s">
        <v>169</v>
      </c>
      <c r="N144" s="8" t="s">
        <v>491</v>
      </c>
    </row>
    <row r="145" spans="2:14" x14ac:dyDescent="0.25">
      <c r="B145" s="51">
        <v>44910</v>
      </c>
      <c r="C145" s="10" t="s">
        <v>11</v>
      </c>
      <c r="D145" s="10" t="s">
        <v>492</v>
      </c>
      <c r="E145" s="10" t="s">
        <v>493</v>
      </c>
      <c r="F145" s="10" t="s">
        <v>12</v>
      </c>
      <c r="G145" s="10" t="s">
        <v>3</v>
      </c>
      <c r="H145" s="10" t="s">
        <v>17</v>
      </c>
      <c r="I145" s="10" t="s">
        <v>494</v>
      </c>
      <c r="J145" s="10" t="s">
        <v>467</v>
      </c>
      <c r="K145" s="10" t="s">
        <v>348</v>
      </c>
      <c r="L145" s="10"/>
      <c r="M145" s="10" t="s">
        <v>169</v>
      </c>
      <c r="N145" s="10" t="s">
        <v>495</v>
      </c>
    </row>
    <row r="146" spans="2:14" x14ac:dyDescent="0.25">
      <c r="B146" s="50">
        <v>44847</v>
      </c>
      <c r="C146" s="8" t="s">
        <v>11</v>
      </c>
      <c r="D146" s="8" t="s">
        <v>496</v>
      </c>
      <c r="E146" s="8" t="s">
        <v>497</v>
      </c>
      <c r="F146" s="8" t="s">
        <v>16</v>
      </c>
      <c r="G146" s="8" t="s">
        <v>29</v>
      </c>
      <c r="H146" s="8" t="s">
        <v>17</v>
      </c>
      <c r="I146" s="8" t="s">
        <v>32</v>
      </c>
      <c r="J146" s="8" t="s">
        <v>405</v>
      </c>
      <c r="K146" s="8" t="s">
        <v>442</v>
      </c>
      <c r="L146" s="8"/>
      <c r="M146" s="8" t="s">
        <v>169</v>
      </c>
      <c r="N146" s="8" t="s">
        <v>498</v>
      </c>
    </row>
    <row r="147" spans="2:14" x14ac:dyDescent="0.25">
      <c r="B147" s="51">
        <v>44852</v>
      </c>
      <c r="C147" s="10" t="s">
        <v>11</v>
      </c>
      <c r="D147" s="10" t="s">
        <v>336</v>
      </c>
      <c r="E147" s="10" t="s">
        <v>499</v>
      </c>
      <c r="F147" s="10" t="s">
        <v>16</v>
      </c>
      <c r="G147" s="10" t="s">
        <v>29</v>
      </c>
      <c r="H147" s="10" t="s">
        <v>17</v>
      </c>
      <c r="I147" s="10" t="s">
        <v>32</v>
      </c>
      <c r="J147" s="10" t="s">
        <v>323</v>
      </c>
      <c r="K147" s="10" t="s">
        <v>28</v>
      </c>
      <c r="L147" s="10"/>
      <c r="M147" s="10" t="s">
        <v>169</v>
      </c>
      <c r="N147" s="10" t="s">
        <v>500</v>
      </c>
    </row>
    <row r="148" spans="2:14" x14ac:dyDescent="0.25">
      <c r="B148" s="50">
        <v>44861</v>
      </c>
      <c r="C148" s="8" t="s">
        <v>11</v>
      </c>
      <c r="D148" s="8" t="s">
        <v>501</v>
      </c>
      <c r="E148" s="8" t="s">
        <v>502</v>
      </c>
      <c r="F148" s="8" t="s">
        <v>16</v>
      </c>
      <c r="G148" s="8" t="s">
        <v>3</v>
      </c>
      <c r="H148" s="8" t="s">
        <v>17</v>
      </c>
      <c r="I148" s="8" t="s">
        <v>276</v>
      </c>
      <c r="J148" s="8" t="s">
        <v>503</v>
      </c>
      <c r="K148" s="8" t="s">
        <v>503</v>
      </c>
      <c r="L148" s="8"/>
      <c r="M148" s="8" t="s">
        <v>169</v>
      </c>
      <c r="N148" s="8" t="s">
        <v>504</v>
      </c>
    </row>
    <row r="149" spans="2:14" x14ac:dyDescent="0.25">
      <c r="B149" s="51">
        <v>44874</v>
      </c>
      <c r="C149" s="10" t="s">
        <v>11</v>
      </c>
      <c r="D149" s="10" t="s">
        <v>505</v>
      </c>
      <c r="E149" s="10" t="s">
        <v>506</v>
      </c>
      <c r="F149" s="10" t="s">
        <v>16</v>
      </c>
      <c r="G149" s="10" t="s">
        <v>3</v>
      </c>
      <c r="H149" s="10" t="s">
        <v>17</v>
      </c>
      <c r="I149" s="10" t="s">
        <v>276</v>
      </c>
      <c r="J149" s="10" t="s">
        <v>507</v>
      </c>
      <c r="K149" s="10" t="s">
        <v>507</v>
      </c>
      <c r="L149" s="10"/>
      <c r="M149" s="10" t="s">
        <v>169</v>
      </c>
      <c r="N149" s="10" t="s">
        <v>508</v>
      </c>
    </row>
    <row r="150" spans="2:14" x14ac:dyDescent="0.25">
      <c r="B150" s="50">
        <v>44887</v>
      </c>
      <c r="C150" s="8" t="s">
        <v>510</v>
      </c>
      <c r="D150" s="8" t="s">
        <v>509</v>
      </c>
      <c r="E150" s="8" t="s">
        <v>13</v>
      </c>
      <c r="F150" s="8" t="s">
        <v>16</v>
      </c>
      <c r="G150" s="8" t="s">
        <v>510</v>
      </c>
      <c r="H150" s="8" t="s">
        <v>17</v>
      </c>
      <c r="I150" s="8" t="s">
        <v>511</v>
      </c>
      <c r="J150" s="8" t="s">
        <v>512</v>
      </c>
      <c r="K150" s="8" t="s">
        <v>442</v>
      </c>
      <c r="L150" s="8"/>
      <c r="M150" s="8" t="s">
        <v>169</v>
      </c>
      <c r="N150" s="8"/>
    </row>
    <row r="151" spans="2:14" x14ac:dyDescent="0.25">
      <c r="B151" s="51">
        <v>44888</v>
      </c>
      <c r="C151" s="10" t="s">
        <v>11</v>
      </c>
      <c r="D151" s="10" t="s">
        <v>513</v>
      </c>
      <c r="E151" s="10"/>
      <c r="F151" s="10" t="s">
        <v>12</v>
      </c>
      <c r="G151" s="10" t="s">
        <v>14</v>
      </c>
      <c r="H151" s="10" t="s">
        <v>17</v>
      </c>
      <c r="I151" s="10" t="s">
        <v>48</v>
      </c>
      <c r="J151" s="10" t="s">
        <v>31</v>
      </c>
      <c r="K151" s="10" t="s">
        <v>12</v>
      </c>
      <c r="L151" s="10"/>
      <c r="M151" s="10" t="s">
        <v>169</v>
      </c>
      <c r="N151" s="10" t="s">
        <v>514</v>
      </c>
    </row>
    <row r="152" spans="2:14" x14ac:dyDescent="0.25">
      <c r="B152" s="50">
        <v>44936</v>
      </c>
      <c r="C152" s="8" t="s">
        <v>11</v>
      </c>
      <c r="D152" s="8" t="s">
        <v>515</v>
      </c>
      <c r="E152" s="8"/>
      <c r="F152" s="8" t="s">
        <v>12</v>
      </c>
      <c r="G152" s="8" t="s">
        <v>34</v>
      </c>
      <c r="H152" s="8" t="s">
        <v>17</v>
      </c>
      <c r="I152" s="8" t="s">
        <v>198</v>
      </c>
      <c r="J152" s="8" t="s">
        <v>467</v>
      </c>
      <c r="K152" s="8" t="s">
        <v>12</v>
      </c>
      <c r="L152" s="8"/>
      <c r="M152" s="8" t="s">
        <v>169</v>
      </c>
      <c r="N152" s="8" t="s">
        <v>516</v>
      </c>
    </row>
    <row r="153" spans="2:14" x14ac:dyDescent="0.25">
      <c r="B153" s="51">
        <v>44911</v>
      </c>
      <c r="C153" s="10" t="s">
        <v>11</v>
      </c>
      <c r="D153" s="10" t="s">
        <v>517</v>
      </c>
      <c r="E153" s="10" t="s">
        <v>518</v>
      </c>
      <c r="F153" s="10" t="s">
        <v>16</v>
      </c>
      <c r="G153" s="10" t="s">
        <v>37</v>
      </c>
      <c r="H153" s="10" t="s">
        <v>15</v>
      </c>
      <c r="I153" s="10" t="s">
        <v>519</v>
      </c>
      <c r="J153" s="10" t="s">
        <v>520</v>
      </c>
      <c r="K153" s="10" t="s">
        <v>442</v>
      </c>
      <c r="L153" s="10"/>
      <c r="M153" s="10" t="s">
        <v>169</v>
      </c>
      <c r="N153" s="10" t="s">
        <v>521</v>
      </c>
    </row>
    <row r="154" spans="2:14" x14ac:dyDescent="0.25">
      <c r="B154" s="50">
        <v>44915</v>
      </c>
      <c r="C154" s="8" t="s">
        <v>11</v>
      </c>
      <c r="D154" s="8" t="s">
        <v>522</v>
      </c>
      <c r="E154" s="8" t="s">
        <v>523</v>
      </c>
      <c r="F154" s="8" t="s">
        <v>16</v>
      </c>
      <c r="G154" s="8" t="s">
        <v>37</v>
      </c>
      <c r="H154" s="8" t="s">
        <v>15</v>
      </c>
      <c r="I154" s="8" t="s">
        <v>519</v>
      </c>
      <c r="J154" s="8" t="s">
        <v>520</v>
      </c>
      <c r="K154" s="8" t="s">
        <v>442</v>
      </c>
      <c r="L154" s="8"/>
      <c r="M154" s="8" t="s">
        <v>169</v>
      </c>
      <c r="N154" s="8" t="s">
        <v>521</v>
      </c>
    </row>
    <row r="155" spans="2:14" x14ac:dyDescent="0.25">
      <c r="B155" s="51">
        <v>44915</v>
      </c>
      <c r="C155" s="10" t="s">
        <v>11</v>
      </c>
      <c r="D155" s="10" t="s">
        <v>524</v>
      </c>
      <c r="E155" s="10" t="s">
        <v>525</v>
      </c>
      <c r="F155" s="10" t="s">
        <v>16</v>
      </c>
      <c r="G155" s="10" t="s">
        <v>37</v>
      </c>
      <c r="H155" s="10" t="s">
        <v>15</v>
      </c>
      <c r="I155" s="10" t="s">
        <v>519</v>
      </c>
      <c r="J155" s="10" t="s">
        <v>520</v>
      </c>
      <c r="K155" s="10" t="s">
        <v>442</v>
      </c>
      <c r="L155" s="10"/>
      <c r="M155" s="10" t="s">
        <v>169</v>
      </c>
      <c r="N155" s="10" t="s">
        <v>521</v>
      </c>
    </row>
    <row r="156" spans="2:14" x14ac:dyDescent="0.25">
      <c r="B156" s="50">
        <v>44917</v>
      </c>
      <c r="C156" s="8" t="s">
        <v>11</v>
      </c>
      <c r="D156" s="8" t="s">
        <v>236</v>
      </c>
      <c r="E156" s="8" t="s">
        <v>526</v>
      </c>
      <c r="F156" s="8" t="s">
        <v>16</v>
      </c>
      <c r="G156" s="8" t="s">
        <v>29</v>
      </c>
      <c r="H156" s="8" t="s">
        <v>17</v>
      </c>
      <c r="I156" s="8" t="s">
        <v>32</v>
      </c>
      <c r="J156" s="8" t="s">
        <v>323</v>
      </c>
      <c r="K156" s="8" t="s">
        <v>28</v>
      </c>
      <c r="L156" s="8"/>
      <c r="M156" s="8" t="s">
        <v>169</v>
      </c>
      <c r="N156" s="8" t="s">
        <v>500</v>
      </c>
    </row>
    <row r="157" spans="2:14" x14ac:dyDescent="0.25">
      <c r="B157" s="51">
        <v>44769</v>
      </c>
      <c r="C157" s="10" t="s">
        <v>11</v>
      </c>
      <c r="D157" s="10" t="s">
        <v>527</v>
      </c>
      <c r="E157" s="10"/>
      <c r="F157" s="10" t="s">
        <v>12</v>
      </c>
      <c r="G157" s="10" t="s">
        <v>14</v>
      </c>
      <c r="H157" s="10" t="s">
        <v>17</v>
      </c>
      <c r="I157" s="10" t="s">
        <v>48</v>
      </c>
      <c r="J157" s="10" t="s">
        <v>31</v>
      </c>
      <c r="K157" s="10" t="s">
        <v>31</v>
      </c>
      <c r="L157" s="10"/>
      <c r="M157" s="10" t="s">
        <v>169</v>
      </c>
      <c r="N157" s="10" t="s">
        <v>528</v>
      </c>
    </row>
    <row r="158" spans="2:14" x14ac:dyDescent="0.25">
      <c r="B158" s="50">
        <v>44929</v>
      </c>
      <c r="C158" s="8" t="s">
        <v>11</v>
      </c>
      <c r="D158" s="8" t="s">
        <v>529</v>
      </c>
      <c r="E158" s="8"/>
      <c r="F158" s="8" t="s">
        <v>12</v>
      </c>
      <c r="G158" s="8" t="s">
        <v>14</v>
      </c>
      <c r="H158" s="8" t="s">
        <v>17</v>
      </c>
      <c r="I158" s="8" t="s">
        <v>530</v>
      </c>
      <c r="J158" s="8" t="s">
        <v>31</v>
      </c>
      <c r="K158" s="8" t="s">
        <v>12</v>
      </c>
      <c r="L158" s="8"/>
      <c r="M158" s="8" t="s">
        <v>169</v>
      </c>
      <c r="N158" s="8" t="s">
        <v>531</v>
      </c>
    </row>
    <row r="159" spans="2:14" x14ac:dyDescent="0.25">
      <c r="B159" s="51">
        <v>44936</v>
      </c>
      <c r="C159" s="10" t="s">
        <v>11</v>
      </c>
      <c r="D159" s="10"/>
      <c r="E159" s="10" t="s">
        <v>532</v>
      </c>
      <c r="F159" s="10" t="s">
        <v>12</v>
      </c>
      <c r="G159" s="10" t="s">
        <v>27</v>
      </c>
      <c r="H159" s="10" t="s">
        <v>17</v>
      </c>
      <c r="I159" s="10" t="s">
        <v>533</v>
      </c>
      <c r="J159" s="10" t="s">
        <v>534</v>
      </c>
      <c r="K159" s="10" t="s">
        <v>12</v>
      </c>
      <c r="L159" s="10"/>
      <c r="M159" s="10" t="s">
        <v>169</v>
      </c>
      <c r="N159" s="10" t="s">
        <v>535</v>
      </c>
    </row>
    <row r="160" spans="2:14" x14ac:dyDescent="0.25">
      <c r="B160" s="50">
        <v>44726</v>
      </c>
      <c r="C160" s="8" t="s">
        <v>11</v>
      </c>
      <c r="D160" s="8" t="s">
        <v>536</v>
      </c>
      <c r="E160" s="8"/>
      <c r="F160" s="8" t="s">
        <v>12</v>
      </c>
      <c r="G160" s="8" t="s">
        <v>233</v>
      </c>
      <c r="H160" s="8" t="s">
        <v>17</v>
      </c>
      <c r="I160" s="8" t="s">
        <v>537</v>
      </c>
      <c r="J160" s="8" t="s">
        <v>53</v>
      </c>
      <c r="K160" s="8" t="s">
        <v>53</v>
      </c>
      <c r="L160" s="8"/>
      <c r="M160" s="8" t="s">
        <v>169</v>
      </c>
      <c r="N160" s="8" t="s">
        <v>453</v>
      </c>
    </row>
    <row r="161" spans="2:14" x14ac:dyDescent="0.25">
      <c r="B161" s="51">
        <v>44929</v>
      </c>
      <c r="C161" s="10" t="s">
        <v>11</v>
      </c>
      <c r="D161" s="10" t="s">
        <v>538</v>
      </c>
      <c r="E161" s="10"/>
      <c r="F161" s="10" t="s">
        <v>12</v>
      </c>
      <c r="G161" s="10" t="s">
        <v>14</v>
      </c>
      <c r="H161" s="10" t="s">
        <v>17</v>
      </c>
      <c r="I161" s="10" t="s">
        <v>539</v>
      </c>
      <c r="J161" s="10" t="s">
        <v>414</v>
      </c>
      <c r="K161" s="10" t="s">
        <v>540</v>
      </c>
      <c r="L161" s="10"/>
      <c r="M161" s="10" t="s">
        <v>169</v>
      </c>
      <c r="N161" s="10" t="s">
        <v>453</v>
      </c>
    </row>
    <row r="162" spans="2:14" x14ac:dyDescent="0.25">
      <c r="B162" s="50">
        <v>44937</v>
      </c>
      <c r="C162" s="8" t="s">
        <v>11</v>
      </c>
      <c r="D162" s="8" t="s">
        <v>541</v>
      </c>
      <c r="E162" s="8"/>
      <c r="F162" s="8" t="s">
        <v>12</v>
      </c>
      <c r="G162" s="8" t="s">
        <v>27</v>
      </c>
      <c r="H162" s="8" t="s">
        <v>17</v>
      </c>
      <c r="I162" s="8" t="s">
        <v>542</v>
      </c>
      <c r="J162" s="8" t="s">
        <v>28</v>
      </c>
      <c r="K162" s="8" t="s">
        <v>12</v>
      </c>
      <c r="L162" s="8"/>
      <c r="M162" s="8" t="s">
        <v>169</v>
      </c>
      <c r="N162" s="8" t="s">
        <v>543</v>
      </c>
    </row>
    <row r="163" spans="2:14" x14ac:dyDescent="0.25">
      <c r="B163" s="51">
        <v>44943</v>
      </c>
      <c r="C163" s="10" t="s">
        <v>11</v>
      </c>
      <c r="D163" s="10" t="s">
        <v>544</v>
      </c>
      <c r="E163" s="10" t="s">
        <v>434</v>
      </c>
      <c r="F163" s="10" t="s">
        <v>12</v>
      </c>
      <c r="G163" s="10" t="s">
        <v>14</v>
      </c>
      <c r="H163" s="10" t="s">
        <v>17</v>
      </c>
      <c r="I163" s="10" t="s">
        <v>545</v>
      </c>
      <c r="J163" s="10" t="s">
        <v>51</v>
      </c>
      <c r="K163" s="10" t="s">
        <v>12</v>
      </c>
      <c r="L163" s="10"/>
      <c r="M163" s="10" t="s">
        <v>169</v>
      </c>
      <c r="N163" s="10" t="s">
        <v>531</v>
      </c>
    </row>
    <row r="164" spans="2:14" x14ac:dyDescent="0.25">
      <c r="B164" s="50">
        <v>44924</v>
      </c>
      <c r="C164" s="8" t="s">
        <v>11</v>
      </c>
      <c r="D164" s="8" t="s">
        <v>546</v>
      </c>
      <c r="E164" s="8" t="s">
        <v>547</v>
      </c>
      <c r="F164" s="8" t="s">
        <v>16</v>
      </c>
      <c r="G164" s="8" t="s">
        <v>3</v>
      </c>
      <c r="H164" s="8" t="s">
        <v>15</v>
      </c>
      <c r="I164" s="8" t="s">
        <v>276</v>
      </c>
      <c r="J164" s="8" t="s">
        <v>548</v>
      </c>
      <c r="K164" s="8" t="s">
        <v>546</v>
      </c>
      <c r="L164" s="8"/>
      <c r="M164" s="8" t="s">
        <v>169</v>
      </c>
      <c r="N164" s="8" t="s">
        <v>549</v>
      </c>
    </row>
    <row r="165" spans="2:14" x14ac:dyDescent="0.25">
      <c r="B165" s="51">
        <v>44936</v>
      </c>
      <c r="C165" s="10" t="s">
        <v>11</v>
      </c>
      <c r="D165" s="10" t="s">
        <v>550</v>
      </c>
      <c r="E165" s="10" t="s">
        <v>551</v>
      </c>
      <c r="F165" s="10" t="s">
        <v>12</v>
      </c>
      <c r="G165" s="10" t="s">
        <v>34</v>
      </c>
      <c r="H165" s="10" t="s">
        <v>17</v>
      </c>
      <c r="I165" s="10" t="s">
        <v>533</v>
      </c>
      <c r="J165" s="10" t="s">
        <v>35</v>
      </c>
      <c r="K165" s="10" t="s">
        <v>12</v>
      </c>
      <c r="L165" s="10"/>
      <c r="M165" s="10" t="s">
        <v>169</v>
      </c>
      <c r="N165" s="10" t="s">
        <v>552</v>
      </c>
    </row>
    <row r="166" spans="2:14" x14ac:dyDescent="0.25">
      <c r="B166" s="50">
        <v>44929</v>
      </c>
      <c r="C166" s="8" t="s">
        <v>11</v>
      </c>
      <c r="D166" s="8" t="s">
        <v>553</v>
      </c>
      <c r="E166" s="8" t="s">
        <v>554</v>
      </c>
      <c r="F166" s="8" t="s">
        <v>16</v>
      </c>
      <c r="G166" s="8" t="s">
        <v>37</v>
      </c>
      <c r="H166" s="8" t="s">
        <v>15</v>
      </c>
      <c r="I166" s="8" t="s">
        <v>519</v>
      </c>
      <c r="J166" s="8" t="s">
        <v>520</v>
      </c>
      <c r="K166" s="8" t="s">
        <v>442</v>
      </c>
      <c r="L166" s="8"/>
      <c r="M166" s="8" t="s">
        <v>169</v>
      </c>
      <c r="N166" s="8" t="s">
        <v>521</v>
      </c>
    </row>
    <row r="167" spans="2:14" x14ac:dyDescent="0.25">
      <c r="B167" s="51">
        <v>44929</v>
      </c>
      <c r="C167" s="10" t="s">
        <v>11</v>
      </c>
      <c r="D167" s="10" t="s">
        <v>555</v>
      </c>
      <c r="E167" s="10" t="s">
        <v>556</v>
      </c>
      <c r="F167" s="10" t="s">
        <v>16</v>
      </c>
      <c r="G167" s="10" t="s">
        <v>37</v>
      </c>
      <c r="H167" s="10" t="s">
        <v>15</v>
      </c>
      <c r="I167" s="10" t="s">
        <v>519</v>
      </c>
      <c r="J167" s="10" t="s">
        <v>520</v>
      </c>
      <c r="K167" s="10" t="s">
        <v>442</v>
      </c>
      <c r="L167" s="10"/>
      <c r="M167" s="10" t="s">
        <v>169</v>
      </c>
      <c r="N167" s="10" t="s">
        <v>521</v>
      </c>
    </row>
    <row r="168" spans="2:14" x14ac:dyDescent="0.25">
      <c r="B168" s="50">
        <v>44929</v>
      </c>
      <c r="C168" s="8" t="s">
        <v>11</v>
      </c>
      <c r="D168" s="8" t="s">
        <v>557</v>
      </c>
      <c r="E168" s="8" t="s">
        <v>558</v>
      </c>
      <c r="F168" s="8" t="s">
        <v>16</v>
      </c>
      <c r="G168" s="8" t="s">
        <v>37</v>
      </c>
      <c r="H168" s="8" t="s">
        <v>15</v>
      </c>
      <c r="I168" s="8" t="s">
        <v>519</v>
      </c>
      <c r="J168" s="8" t="s">
        <v>520</v>
      </c>
      <c r="K168" s="8" t="s">
        <v>442</v>
      </c>
      <c r="L168" s="8"/>
      <c r="M168" s="8" t="s">
        <v>169</v>
      </c>
      <c r="N168" s="8" t="s">
        <v>521</v>
      </c>
    </row>
    <row r="169" spans="2:14" x14ac:dyDescent="0.25">
      <c r="B169" s="51">
        <v>44930</v>
      </c>
      <c r="C169" s="10" t="s">
        <v>11</v>
      </c>
      <c r="D169" s="10" t="s">
        <v>559</v>
      </c>
      <c r="E169" s="10" t="s">
        <v>560</v>
      </c>
      <c r="F169" s="10" t="s">
        <v>16</v>
      </c>
      <c r="G169" s="10" t="s">
        <v>37</v>
      </c>
      <c r="H169" s="10" t="s">
        <v>15</v>
      </c>
      <c r="I169" s="10" t="s">
        <v>519</v>
      </c>
      <c r="J169" s="10" t="s">
        <v>520</v>
      </c>
      <c r="K169" s="10" t="s">
        <v>442</v>
      </c>
      <c r="L169" s="10"/>
      <c r="M169" s="10" t="s">
        <v>169</v>
      </c>
      <c r="N169" s="10" t="s">
        <v>521</v>
      </c>
    </row>
    <row r="170" spans="2:14" x14ac:dyDescent="0.25">
      <c r="B170" s="50">
        <v>44930</v>
      </c>
      <c r="C170" s="8" t="s">
        <v>11</v>
      </c>
      <c r="D170" s="8" t="s">
        <v>561</v>
      </c>
      <c r="E170" s="8" t="s">
        <v>13</v>
      </c>
      <c r="F170" s="8" t="s">
        <v>16</v>
      </c>
      <c r="G170" s="8" t="s">
        <v>289</v>
      </c>
      <c r="H170" s="8" t="s">
        <v>15</v>
      </c>
      <c r="I170" s="8" t="s">
        <v>234</v>
      </c>
      <c r="J170" s="8"/>
      <c r="K170" s="8" t="s">
        <v>442</v>
      </c>
      <c r="L170" s="8"/>
      <c r="M170" s="8" t="s">
        <v>169</v>
      </c>
      <c r="N170" s="8"/>
    </row>
    <row r="171" spans="2:14" x14ac:dyDescent="0.25">
      <c r="B171" s="51">
        <v>44931</v>
      </c>
      <c r="C171" s="10" t="s">
        <v>11</v>
      </c>
      <c r="D171" s="10" t="s">
        <v>562</v>
      </c>
      <c r="E171" s="10" t="s">
        <v>330</v>
      </c>
      <c r="F171" s="10" t="s">
        <v>16</v>
      </c>
      <c r="G171" s="10" t="s">
        <v>37</v>
      </c>
      <c r="H171" s="10" t="s">
        <v>15</v>
      </c>
      <c r="I171" s="10" t="s">
        <v>519</v>
      </c>
      <c r="J171" s="10" t="s">
        <v>520</v>
      </c>
      <c r="K171" s="10" t="s">
        <v>442</v>
      </c>
      <c r="L171" s="10"/>
      <c r="M171" s="10" t="s">
        <v>169</v>
      </c>
      <c r="N171" s="10" t="s">
        <v>521</v>
      </c>
    </row>
    <row r="172" spans="2:14" x14ac:dyDescent="0.25">
      <c r="B172" s="50">
        <v>44932</v>
      </c>
      <c r="C172" s="8" t="s">
        <v>11</v>
      </c>
      <c r="D172" s="8" t="s">
        <v>563</v>
      </c>
      <c r="E172" s="8" t="s">
        <v>564</v>
      </c>
      <c r="F172" s="8" t="s">
        <v>16</v>
      </c>
      <c r="G172" s="8" t="s">
        <v>37</v>
      </c>
      <c r="H172" s="8" t="s">
        <v>15</v>
      </c>
      <c r="I172" s="8" t="s">
        <v>519</v>
      </c>
      <c r="J172" s="8" t="s">
        <v>520</v>
      </c>
      <c r="K172" s="8" t="s">
        <v>442</v>
      </c>
      <c r="L172" s="8"/>
      <c r="M172" s="8" t="s">
        <v>169</v>
      </c>
      <c r="N172" s="8" t="s">
        <v>521</v>
      </c>
    </row>
    <row r="173" spans="2:14" x14ac:dyDescent="0.25">
      <c r="B173" s="51">
        <v>44937</v>
      </c>
      <c r="C173" s="10" t="s">
        <v>11</v>
      </c>
      <c r="D173" s="10" t="s">
        <v>565</v>
      </c>
      <c r="E173" s="10" t="s">
        <v>566</v>
      </c>
      <c r="F173" s="10" t="s">
        <v>16</v>
      </c>
      <c r="G173" s="10" t="s">
        <v>37</v>
      </c>
      <c r="H173" s="10" t="s">
        <v>15</v>
      </c>
      <c r="I173" s="10" t="s">
        <v>519</v>
      </c>
      <c r="J173" s="10" t="s">
        <v>520</v>
      </c>
      <c r="K173" s="10" t="s">
        <v>442</v>
      </c>
      <c r="L173" s="10"/>
      <c r="M173" s="10" t="s">
        <v>169</v>
      </c>
      <c r="N173" s="10" t="s">
        <v>521</v>
      </c>
    </row>
    <row r="174" spans="2:14" x14ac:dyDescent="0.25">
      <c r="B174" s="50">
        <v>44937</v>
      </c>
      <c r="C174" s="8" t="s">
        <v>11</v>
      </c>
      <c r="D174" s="8" t="s">
        <v>567</v>
      </c>
      <c r="E174" s="8" t="s">
        <v>568</v>
      </c>
      <c r="F174" s="8" t="s">
        <v>16</v>
      </c>
      <c r="G174" s="8" t="s">
        <v>37</v>
      </c>
      <c r="H174" s="8" t="s">
        <v>15</v>
      </c>
      <c r="I174" s="8" t="s">
        <v>519</v>
      </c>
      <c r="J174" s="8" t="s">
        <v>520</v>
      </c>
      <c r="K174" s="8" t="s">
        <v>442</v>
      </c>
      <c r="L174" s="8"/>
      <c r="M174" s="8" t="s">
        <v>169</v>
      </c>
      <c r="N174" s="8" t="s">
        <v>521</v>
      </c>
    </row>
    <row r="175" spans="2:14" x14ac:dyDescent="0.25">
      <c r="B175" s="51">
        <v>44939</v>
      </c>
      <c r="C175" s="10" t="s">
        <v>510</v>
      </c>
      <c r="D175" s="10" t="s">
        <v>569</v>
      </c>
      <c r="E175" s="10" t="s">
        <v>13</v>
      </c>
      <c r="F175" s="10" t="s">
        <v>16</v>
      </c>
      <c r="G175" s="10" t="s">
        <v>510</v>
      </c>
      <c r="H175" s="10" t="s">
        <v>17</v>
      </c>
      <c r="I175" s="10" t="s">
        <v>32</v>
      </c>
      <c r="J175" s="10" t="s">
        <v>512</v>
      </c>
      <c r="K175" s="10" t="s">
        <v>442</v>
      </c>
      <c r="L175" s="10"/>
      <c r="M175" s="10" t="s">
        <v>169</v>
      </c>
      <c r="N175" s="10"/>
    </row>
    <row r="176" spans="2:14" x14ac:dyDescent="0.25">
      <c r="B176" s="50">
        <v>44942</v>
      </c>
      <c r="C176" s="8" t="s">
        <v>11</v>
      </c>
      <c r="D176" s="8" t="s">
        <v>570</v>
      </c>
      <c r="E176" s="8" t="s">
        <v>571</v>
      </c>
      <c r="F176" s="8" t="s">
        <v>16</v>
      </c>
      <c r="G176" s="8" t="s">
        <v>37</v>
      </c>
      <c r="H176" s="8" t="s">
        <v>15</v>
      </c>
      <c r="I176" s="8" t="s">
        <v>519</v>
      </c>
      <c r="J176" s="8" t="s">
        <v>520</v>
      </c>
      <c r="K176" s="8" t="s">
        <v>442</v>
      </c>
      <c r="L176" s="8"/>
      <c r="M176" s="8" t="s">
        <v>169</v>
      </c>
      <c r="N176" s="8" t="s">
        <v>521</v>
      </c>
    </row>
    <row r="177" spans="2:14" x14ac:dyDescent="0.25">
      <c r="B177" s="51">
        <v>44970</v>
      </c>
      <c r="C177" s="10" t="s">
        <v>11</v>
      </c>
      <c r="D177" s="10" t="s">
        <v>572</v>
      </c>
      <c r="E177" s="10"/>
      <c r="F177" s="10" t="s">
        <v>12</v>
      </c>
      <c r="G177" s="10" t="s">
        <v>34</v>
      </c>
      <c r="H177" s="10" t="s">
        <v>15</v>
      </c>
      <c r="I177" s="10" t="s">
        <v>41</v>
      </c>
      <c r="J177" s="10" t="s">
        <v>35</v>
      </c>
      <c r="K177" s="10" t="s">
        <v>12</v>
      </c>
      <c r="L177" s="10"/>
      <c r="M177" s="10" t="s">
        <v>169</v>
      </c>
      <c r="N177" s="10" t="s">
        <v>573</v>
      </c>
    </row>
    <row r="178" spans="2:14" x14ac:dyDescent="0.25">
      <c r="B178" s="50">
        <v>44942</v>
      </c>
      <c r="C178" s="8" t="s">
        <v>510</v>
      </c>
      <c r="D178" s="8" t="s">
        <v>574</v>
      </c>
      <c r="E178" s="8" t="s">
        <v>13</v>
      </c>
      <c r="F178" s="8" t="s">
        <v>16</v>
      </c>
      <c r="G178" s="8" t="s">
        <v>510</v>
      </c>
      <c r="H178" s="8" t="s">
        <v>17</v>
      </c>
      <c r="I178" s="8" t="s">
        <v>32</v>
      </c>
      <c r="J178" s="8" t="s">
        <v>512</v>
      </c>
      <c r="K178" s="8" t="s">
        <v>442</v>
      </c>
      <c r="L178" s="8"/>
      <c r="M178" s="8" t="s">
        <v>169</v>
      </c>
      <c r="N178" s="8"/>
    </row>
    <row r="179" spans="2:14" x14ac:dyDescent="0.25">
      <c r="B179" s="51">
        <v>44942</v>
      </c>
      <c r="C179" s="10" t="s">
        <v>510</v>
      </c>
      <c r="D179" s="10" t="s">
        <v>575</v>
      </c>
      <c r="E179" s="10" t="s">
        <v>13</v>
      </c>
      <c r="F179" s="10" t="s">
        <v>16</v>
      </c>
      <c r="G179" s="10" t="s">
        <v>510</v>
      </c>
      <c r="H179" s="10" t="s">
        <v>17</v>
      </c>
      <c r="I179" s="10" t="s">
        <v>32</v>
      </c>
      <c r="J179" s="10" t="s">
        <v>512</v>
      </c>
      <c r="K179" s="10" t="s">
        <v>442</v>
      </c>
      <c r="L179" s="10"/>
      <c r="M179" s="10" t="s">
        <v>169</v>
      </c>
      <c r="N179" s="10"/>
    </row>
    <row r="180" spans="2:14" x14ac:dyDescent="0.25">
      <c r="B180" s="50">
        <v>44943</v>
      </c>
      <c r="C180" s="8" t="s">
        <v>11</v>
      </c>
      <c r="D180" s="8" t="s">
        <v>576</v>
      </c>
      <c r="E180" s="8" t="s">
        <v>13</v>
      </c>
      <c r="F180" s="8" t="s">
        <v>16</v>
      </c>
      <c r="G180" s="8" t="s">
        <v>289</v>
      </c>
      <c r="H180" s="8" t="s">
        <v>17</v>
      </c>
      <c r="I180" s="8" t="s">
        <v>577</v>
      </c>
      <c r="J180" s="8"/>
      <c r="K180" s="8" t="s">
        <v>442</v>
      </c>
      <c r="L180" s="8"/>
      <c r="M180" s="8" t="s">
        <v>169</v>
      </c>
      <c r="N180" s="8"/>
    </row>
    <row r="181" spans="2:14" x14ac:dyDescent="0.25">
      <c r="B181" s="51">
        <v>44889</v>
      </c>
      <c r="C181" s="10" t="s">
        <v>11</v>
      </c>
      <c r="D181" s="10" t="s">
        <v>298</v>
      </c>
      <c r="E181" s="10"/>
      <c r="F181" s="10" t="s">
        <v>12</v>
      </c>
      <c r="G181" s="10" t="s">
        <v>14</v>
      </c>
      <c r="H181" s="10" t="s">
        <v>15</v>
      </c>
      <c r="I181" s="10" t="s">
        <v>234</v>
      </c>
      <c r="J181" s="10" t="s">
        <v>290</v>
      </c>
      <c r="K181" s="10" t="s">
        <v>12</v>
      </c>
      <c r="L181" s="10"/>
      <c r="M181" s="10" t="s">
        <v>169</v>
      </c>
      <c r="N181" s="10" t="s">
        <v>453</v>
      </c>
    </row>
    <row r="182" spans="2:14" x14ac:dyDescent="0.25">
      <c r="B182" s="50">
        <v>44895</v>
      </c>
      <c r="C182" s="8" t="s">
        <v>11</v>
      </c>
      <c r="D182" s="8" t="s">
        <v>298</v>
      </c>
      <c r="E182" s="8"/>
      <c r="F182" s="8" t="s">
        <v>12</v>
      </c>
      <c r="G182" s="8" t="s">
        <v>14</v>
      </c>
      <c r="H182" s="8" t="s">
        <v>17</v>
      </c>
      <c r="I182" s="8" t="s">
        <v>32</v>
      </c>
      <c r="J182" s="8" t="s">
        <v>31</v>
      </c>
      <c r="K182" s="8" t="s">
        <v>348</v>
      </c>
      <c r="L182" s="8"/>
      <c r="M182" s="8" t="s">
        <v>169</v>
      </c>
      <c r="N182" s="8" t="s">
        <v>578</v>
      </c>
    </row>
    <row r="183" spans="2:14" x14ac:dyDescent="0.25">
      <c r="B183" s="51">
        <v>44896</v>
      </c>
      <c r="C183" s="10" t="s">
        <v>11</v>
      </c>
      <c r="D183" s="10"/>
      <c r="E183" s="10" t="s">
        <v>40</v>
      </c>
      <c r="F183" s="10" t="s">
        <v>12</v>
      </c>
      <c r="G183" s="10" t="s">
        <v>3</v>
      </c>
      <c r="H183" s="10" t="s">
        <v>15</v>
      </c>
      <c r="I183" s="10" t="s">
        <v>494</v>
      </c>
      <c r="J183" s="10" t="s">
        <v>579</v>
      </c>
      <c r="K183" s="10" t="s">
        <v>12</v>
      </c>
      <c r="L183" s="10"/>
      <c r="M183" s="10" t="s">
        <v>169</v>
      </c>
      <c r="N183" s="10" t="s">
        <v>580</v>
      </c>
    </row>
    <row r="184" spans="2:14" x14ac:dyDescent="0.25">
      <c r="B184" s="50">
        <v>44897</v>
      </c>
      <c r="C184" s="8" t="s">
        <v>11</v>
      </c>
      <c r="D184" s="8" t="s">
        <v>252</v>
      </c>
      <c r="E184" s="8" t="s">
        <v>581</v>
      </c>
      <c r="F184" s="8" t="s">
        <v>12</v>
      </c>
      <c r="G184" s="8" t="s">
        <v>3</v>
      </c>
      <c r="H184" s="8" t="s">
        <v>17</v>
      </c>
      <c r="I184" s="8" t="s">
        <v>276</v>
      </c>
      <c r="J184" s="8" t="s">
        <v>582</v>
      </c>
      <c r="K184" s="8" t="s">
        <v>348</v>
      </c>
      <c r="L184" s="8"/>
      <c r="M184" s="8" t="s">
        <v>169</v>
      </c>
      <c r="N184" s="8" t="s">
        <v>583</v>
      </c>
    </row>
    <row r="185" spans="2:14" x14ac:dyDescent="0.25">
      <c r="B185" s="51">
        <v>44897</v>
      </c>
      <c r="C185" s="10" t="s">
        <v>11</v>
      </c>
      <c r="D185" s="10" t="s">
        <v>252</v>
      </c>
      <c r="E185" s="10" t="s">
        <v>584</v>
      </c>
      <c r="F185" s="10" t="s">
        <v>12</v>
      </c>
      <c r="G185" s="10" t="s">
        <v>3</v>
      </c>
      <c r="H185" s="10" t="s">
        <v>17</v>
      </c>
      <c r="I185" s="10" t="s">
        <v>276</v>
      </c>
      <c r="J185" s="10" t="s">
        <v>582</v>
      </c>
      <c r="K185" s="10" t="s">
        <v>348</v>
      </c>
      <c r="L185" s="10"/>
      <c r="M185" s="10" t="s">
        <v>169</v>
      </c>
      <c r="N185" s="10" t="s">
        <v>585</v>
      </c>
    </row>
    <row r="186" spans="2:14" x14ac:dyDescent="0.25">
      <c r="B186" s="50">
        <v>44918</v>
      </c>
      <c r="C186" s="8" t="s">
        <v>510</v>
      </c>
      <c r="D186" s="8" t="s">
        <v>586</v>
      </c>
      <c r="E186" s="8" t="s">
        <v>587</v>
      </c>
      <c r="F186" s="8" t="s">
        <v>12</v>
      </c>
      <c r="G186" s="8" t="s">
        <v>510</v>
      </c>
      <c r="H186" s="8" t="s">
        <v>17</v>
      </c>
      <c r="I186" s="8" t="s">
        <v>588</v>
      </c>
      <c r="J186" s="8" t="s">
        <v>589</v>
      </c>
      <c r="K186" s="8" t="s">
        <v>12</v>
      </c>
      <c r="L186" s="8"/>
      <c r="M186" s="8" t="s">
        <v>169</v>
      </c>
      <c r="N186" s="8" t="s">
        <v>590</v>
      </c>
    </row>
    <row r="187" spans="2:14" x14ac:dyDescent="0.25">
      <c r="B187" s="51">
        <v>44937</v>
      </c>
      <c r="C187" s="10" t="s">
        <v>11</v>
      </c>
      <c r="D187" s="10" t="s">
        <v>591</v>
      </c>
      <c r="E187" s="10" t="s">
        <v>592</v>
      </c>
      <c r="F187" s="10" t="s">
        <v>12</v>
      </c>
      <c r="G187" s="10" t="s">
        <v>3</v>
      </c>
      <c r="H187" s="10" t="s">
        <v>17</v>
      </c>
      <c r="I187" s="10" t="s">
        <v>593</v>
      </c>
      <c r="J187" s="10" t="s">
        <v>594</v>
      </c>
      <c r="K187" s="10" t="s">
        <v>12</v>
      </c>
      <c r="L187" s="10"/>
      <c r="M187" s="10" t="s">
        <v>169</v>
      </c>
      <c r="N187" s="10" t="s">
        <v>595</v>
      </c>
    </row>
    <row r="188" spans="2:14" x14ac:dyDescent="0.25">
      <c r="B188" s="50">
        <v>44943</v>
      </c>
      <c r="C188" s="8" t="s">
        <v>11</v>
      </c>
      <c r="D188" s="8" t="s">
        <v>596</v>
      </c>
      <c r="E188" s="8"/>
      <c r="F188" s="8" t="s">
        <v>12</v>
      </c>
      <c r="G188" s="8" t="s">
        <v>30</v>
      </c>
      <c r="H188" s="8" t="s">
        <v>17</v>
      </c>
      <c r="I188" s="8" t="s">
        <v>597</v>
      </c>
      <c r="J188" s="8" t="s">
        <v>290</v>
      </c>
      <c r="K188" s="8" t="s">
        <v>12</v>
      </c>
      <c r="L188" s="8"/>
      <c r="M188" s="8" t="s">
        <v>169</v>
      </c>
      <c r="N188" s="8" t="s">
        <v>55</v>
      </c>
    </row>
    <row r="189" spans="2:14" x14ac:dyDescent="0.25">
      <c r="B189" s="51">
        <v>44945</v>
      </c>
      <c r="C189" s="10" t="s">
        <v>11</v>
      </c>
      <c r="D189" s="10" t="s">
        <v>598</v>
      </c>
      <c r="E189" s="10"/>
      <c r="F189" s="10" t="s">
        <v>12</v>
      </c>
      <c r="G189" s="10" t="s">
        <v>14</v>
      </c>
      <c r="H189" s="10" t="s">
        <v>17</v>
      </c>
      <c r="I189" s="10" t="s">
        <v>599</v>
      </c>
      <c r="J189" s="10" t="s">
        <v>31</v>
      </c>
      <c r="K189" s="10" t="s">
        <v>12</v>
      </c>
      <c r="L189" s="10"/>
      <c r="M189" s="10" t="s">
        <v>169</v>
      </c>
      <c r="N189" s="10" t="s">
        <v>600</v>
      </c>
    </row>
    <row r="190" spans="2:14" x14ac:dyDescent="0.25">
      <c r="B190" s="50">
        <v>44951</v>
      </c>
      <c r="C190" s="8" t="s">
        <v>11</v>
      </c>
      <c r="D190" s="8" t="s">
        <v>601</v>
      </c>
      <c r="E190" s="8" t="s">
        <v>493</v>
      </c>
      <c r="F190" s="8" t="s">
        <v>12</v>
      </c>
      <c r="G190" s="8" t="s">
        <v>3</v>
      </c>
      <c r="H190" s="8" t="s">
        <v>17</v>
      </c>
      <c r="I190" s="8" t="s">
        <v>602</v>
      </c>
      <c r="J190" s="8" t="s">
        <v>603</v>
      </c>
      <c r="K190" s="8" t="s">
        <v>604</v>
      </c>
      <c r="L190" s="8"/>
      <c r="M190" s="8" t="s">
        <v>169</v>
      </c>
      <c r="N190" s="8" t="s">
        <v>605</v>
      </c>
    </row>
    <row r="191" spans="2:14" x14ac:dyDescent="0.25">
      <c r="B191" s="51">
        <v>44943</v>
      </c>
      <c r="C191" s="10" t="s">
        <v>11</v>
      </c>
      <c r="D191" s="10" t="s">
        <v>606</v>
      </c>
      <c r="E191" s="10" t="s">
        <v>13</v>
      </c>
      <c r="F191" s="10" t="s">
        <v>16</v>
      </c>
      <c r="G191" s="10" t="s">
        <v>14</v>
      </c>
      <c r="H191" s="10" t="s">
        <v>15</v>
      </c>
      <c r="I191" s="10" t="s">
        <v>607</v>
      </c>
      <c r="J191" s="10" t="s">
        <v>608</v>
      </c>
      <c r="K191" s="10" t="s">
        <v>608</v>
      </c>
      <c r="L191" s="10"/>
      <c r="M191" s="10" t="s">
        <v>169</v>
      </c>
      <c r="N191" s="10"/>
    </row>
    <row r="192" spans="2:14" x14ac:dyDescent="0.25">
      <c r="B192" s="50">
        <v>44944</v>
      </c>
      <c r="C192" s="8" t="s">
        <v>11</v>
      </c>
      <c r="D192" s="8" t="s">
        <v>609</v>
      </c>
      <c r="E192" s="8" t="s">
        <v>610</v>
      </c>
      <c r="F192" s="8" t="s">
        <v>16</v>
      </c>
      <c r="G192" s="8" t="s">
        <v>3</v>
      </c>
      <c r="H192" s="8" t="s">
        <v>17</v>
      </c>
      <c r="I192" s="8" t="s">
        <v>276</v>
      </c>
      <c r="J192" s="8" t="s">
        <v>611</v>
      </c>
      <c r="K192" s="8" t="s">
        <v>612</v>
      </c>
      <c r="L192" s="8"/>
      <c r="M192" s="8" t="s">
        <v>169</v>
      </c>
      <c r="N192" s="8" t="s">
        <v>613</v>
      </c>
    </row>
    <row r="193" spans="2:14" x14ac:dyDescent="0.25">
      <c r="B193" s="51">
        <v>44951</v>
      </c>
      <c r="C193" s="10" t="s">
        <v>11</v>
      </c>
      <c r="D193" s="10" t="s">
        <v>614</v>
      </c>
      <c r="E193" s="10" t="s">
        <v>615</v>
      </c>
      <c r="F193" s="10" t="s">
        <v>16</v>
      </c>
      <c r="G193" s="10" t="s">
        <v>36</v>
      </c>
      <c r="H193" s="10" t="s">
        <v>15</v>
      </c>
      <c r="I193" s="10" t="s">
        <v>276</v>
      </c>
      <c r="J193" s="10" t="s">
        <v>51</v>
      </c>
      <c r="K193" s="10" t="s">
        <v>616</v>
      </c>
      <c r="L193" s="10"/>
      <c r="M193" s="10" t="s">
        <v>169</v>
      </c>
      <c r="N193" s="10" t="s">
        <v>617</v>
      </c>
    </row>
    <row r="194" spans="2:14" x14ac:dyDescent="0.25">
      <c r="B194" s="50">
        <v>44769</v>
      </c>
      <c r="C194" s="8" t="s">
        <v>11</v>
      </c>
      <c r="D194" s="8" t="s">
        <v>56</v>
      </c>
      <c r="E194" s="8"/>
      <c r="F194" s="8" t="s">
        <v>12</v>
      </c>
      <c r="G194" s="8" t="s">
        <v>14</v>
      </c>
      <c r="H194" s="8" t="s">
        <v>17</v>
      </c>
      <c r="I194" s="8" t="s">
        <v>48</v>
      </c>
      <c r="J194" s="8" t="s">
        <v>31</v>
      </c>
      <c r="K194" s="8" t="s">
        <v>31</v>
      </c>
      <c r="L194" s="8"/>
      <c r="M194" s="8" t="s">
        <v>169</v>
      </c>
      <c r="N194" s="8" t="s">
        <v>453</v>
      </c>
    </row>
    <row r="195" spans="2:14" x14ac:dyDescent="0.25">
      <c r="B195" s="51">
        <v>44951</v>
      </c>
      <c r="C195" s="10" t="s">
        <v>11</v>
      </c>
      <c r="D195" s="10"/>
      <c r="E195" s="10" t="s">
        <v>618</v>
      </c>
      <c r="F195" s="10" t="s">
        <v>12</v>
      </c>
      <c r="G195" s="10" t="s">
        <v>3</v>
      </c>
      <c r="H195" s="10" t="s">
        <v>425</v>
      </c>
      <c r="I195" s="10" t="s">
        <v>619</v>
      </c>
      <c r="J195" s="10" t="s">
        <v>620</v>
      </c>
      <c r="K195" s="10" t="s">
        <v>621</v>
      </c>
      <c r="L195" s="10"/>
      <c r="M195" s="10" t="s">
        <v>169</v>
      </c>
      <c r="N195" s="10" t="s">
        <v>622</v>
      </c>
    </row>
    <row r="196" spans="2:14" x14ac:dyDescent="0.25">
      <c r="B196" s="50">
        <v>44978</v>
      </c>
      <c r="C196" s="8" t="s">
        <v>510</v>
      </c>
      <c r="D196" s="8" t="s">
        <v>623</v>
      </c>
      <c r="E196" s="8"/>
      <c r="F196" s="8" t="s">
        <v>12</v>
      </c>
      <c r="G196" s="8" t="s">
        <v>510</v>
      </c>
      <c r="H196" s="8" t="s">
        <v>17</v>
      </c>
      <c r="I196" s="8" t="s">
        <v>624</v>
      </c>
      <c r="J196" s="8" t="s">
        <v>512</v>
      </c>
      <c r="K196" s="8" t="s">
        <v>12</v>
      </c>
      <c r="L196" s="8"/>
      <c r="M196" s="8" t="s">
        <v>169</v>
      </c>
      <c r="N196" s="8" t="s">
        <v>453</v>
      </c>
    </row>
    <row r="197" spans="2:14" x14ac:dyDescent="0.25">
      <c r="B197" s="51">
        <v>44981</v>
      </c>
      <c r="C197" s="10" t="s">
        <v>11</v>
      </c>
      <c r="D197" s="10" t="s">
        <v>625</v>
      </c>
      <c r="E197" s="10"/>
      <c r="F197" s="10" t="s">
        <v>12</v>
      </c>
      <c r="G197" s="10" t="s">
        <v>36</v>
      </c>
      <c r="H197" s="10" t="s">
        <v>17</v>
      </c>
      <c r="I197" s="10" t="s">
        <v>276</v>
      </c>
      <c r="J197" s="10" t="s">
        <v>626</v>
      </c>
      <c r="K197" s="10" t="s">
        <v>348</v>
      </c>
      <c r="L197" s="10"/>
      <c r="M197" s="10" t="s">
        <v>169</v>
      </c>
      <c r="N197" s="10" t="s">
        <v>627</v>
      </c>
    </row>
    <row r="198" spans="2:14" x14ac:dyDescent="0.25">
      <c r="B198" s="50">
        <v>44956</v>
      </c>
      <c r="C198" s="8" t="s">
        <v>11</v>
      </c>
      <c r="D198" s="8" t="s">
        <v>628</v>
      </c>
      <c r="E198" s="8" t="s">
        <v>258</v>
      </c>
      <c r="F198" s="8" t="s">
        <v>16</v>
      </c>
      <c r="G198" s="8" t="s">
        <v>37</v>
      </c>
      <c r="H198" s="8" t="s">
        <v>15</v>
      </c>
      <c r="I198" s="8" t="s">
        <v>519</v>
      </c>
      <c r="J198" s="8" t="s">
        <v>520</v>
      </c>
      <c r="K198" s="8" t="s">
        <v>442</v>
      </c>
      <c r="L198" s="8"/>
      <c r="M198" s="8" t="s">
        <v>169</v>
      </c>
      <c r="N198" s="8" t="s">
        <v>521</v>
      </c>
    </row>
    <row r="199" spans="2:14" x14ac:dyDescent="0.25">
      <c r="B199" s="51">
        <v>44960</v>
      </c>
      <c r="C199" s="10" t="s">
        <v>11</v>
      </c>
      <c r="D199" s="10" t="s">
        <v>629</v>
      </c>
      <c r="E199" s="10" t="s">
        <v>630</v>
      </c>
      <c r="F199" s="10" t="s">
        <v>16</v>
      </c>
      <c r="G199" s="10" t="s">
        <v>29</v>
      </c>
      <c r="H199" s="10" t="s">
        <v>17</v>
      </c>
      <c r="I199" s="10" t="s">
        <v>32</v>
      </c>
      <c r="J199" s="10" t="s">
        <v>323</v>
      </c>
      <c r="K199" s="10" t="s">
        <v>28</v>
      </c>
      <c r="L199" s="10"/>
      <c r="M199" s="10" t="s">
        <v>169</v>
      </c>
      <c r="N199" s="10" t="s">
        <v>500</v>
      </c>
    </row>
    <row r="200" spans="2:14" x14ac:dyDescent="0.25">
      <c r="B200" s="50">
        <v>44965</v>
      </c>
      <c r="C200" s="8" t="s">
        <v>11</v>
      </c>
      <c r="D200" s="8" t="s">
        <v>631</v>
      </c>
      <c r="E200" s="8" t="s">
        <v>632</v>
      </c>
      <c r="F200" s="8" t="s">
        <v>16</v>
      </c>
      <c r="G200" s="8" t="s">
        <v>37</v>
      </c>
      <c r="H200" s="8" t="s">
        <v>15</v>
      </c>
      <c r="I200" s="8" t="s">
        <v>519</v>
      </c>
      <c r="J200" s="8" t="s">
        <v>520</v>
      </c>
      <c r="K200" s="8" t="s">
        <v>442</v>
      </c>
      <c r="L200" s="8"/>
      <c r="M200" s="8" t="s">
        <v>169</v>
      </c>
      <c r="N200" s="8" t="s">
        <v>521</v>
      </c>
    </row>
    <row r="201" spans="2:14" x14ac:dyDescent="0.25">
      <c r="B201" s="51">
        <v>44965</v>
      </c>
      <c r="C201" s="10" t="s">
        <v>11</v>
      </c>
      <c r="D201" s="10" t="s">
        <v>633</v>
      </c>
      <c r="E201" s="10" t="s">
        <v>634</v>
      </c>
      <c r="F201" s="10" t="s">
        <v>16</v>
      </c>
      <c r="G201" s="10" t="s">
        <v>37</v>
      </c>
      <c r="H201" s="10" t="s">
        <v>15</v>
      </c>
      <c r="I201" s="10" t="s">
        <v>519</v>
      </c>
      <c r="J201" s="10" t="s">
        <v>520</v>
      </c>
      <c r="K201" s="10" t="s">
        <v>442</v>
      </c>
      <c r="L201" s="10"/>
      <c r="M201" s="10" t="s">
        <v>169</v>
      </c>
      <c r="N201" s="10" t="s">
        <v>521</v>
      </c>
    </row>
    <row r="202" spans="2:14" x14ac:dyDescent="0.25">
      <c r="B202" s="50">
        <v>44965</v>
      </c>
      <c r="C202" s="8" t="s">
        <v>11</v>
      </c>
      <c r="D202" s="8" t="s">
        <v>635</v>
      </c>
      <c r="E202" s="8" t="s">
        <v>636</v>
      </c>
      <c r="F202" s="8" t="s">
        <v>16</v>
      </c>
      <c r="G202" s="8" t="s">
        <v>37</v>
      </c>
      <c r="H202" s="8" t="s">
        <v>15</v>
      </c>
      <c r="I202" s="8" t="s">
        <v>519</v>
      </c>
      <c r="J202" s="8" t="s">
        <v>520</v>
      </c>
      <c r="K202" s="8" t="s">
        <v>442</v>
      </c>
      <c r="L202" s="8"/>
      <c r="M202" s="8" t="s">
        <v>169</v>
      </c>
      <c r="N202" s="8" t="s">
        <v>521</v>
      </c>
    </row>
    <row r="203" spans="2:14" x14ac:dyDescent="0.25">
      <c r="B203" s="51">
        <v>44769</v>
      </c>
      <c r="C203" s="10" t="s">
        <v>11</v>
      </c>
      <c r="D203" s="10" t="s">
        <v>637</v>
      </c>
      <c r="E203" s="10"/>
      <c r="F203" s="10" t="s">
        <v>12</v>
      </c>
      <c r="G203" s="10" t="s">
        <v>316</v>
      </c>
      <c r="H203" s="10" t="s">
        <v>17</v>
      </c>
      <c r="I203" s="10" t="s">
        <v>638</v>
      </c>
      <c r="J203" s="10" t="s">
        <v>318</v>
      </c>
      <c r="K203" s="10" t="s">
        <v>318</v>
      </c>
      <c r="L203" s="10"/>
      <c r="M203" s="10" t="s">
        <v>169</v>
      </c>
      <c r="N203" s="10" t="s">
        <v>639</v>
      </c>
    </row>
    <row r="204" spans="2:14" x14ac:dyDescent="0.25">
      <c r="B204" s="50">
        <v>44826</v>
      </c>
      <c r="C204" s="8" t="s">
        <v>11</v>
      </c>
      <c r="D204" s="8" t="s">
        <v>640</v>
      </c>
      <c r="E204" s="8"/>
      <c r="F204" s="8" t="s">
        <v>12</v>
      </c>
      <c r="G204" s="8" t="s">
        <v>316</v>
      </c>
      <c r="H204" s="8" t="s">
        <v>17</v>
      </c>
      <c r="I204" s="8" t="s">
        <v>32</v>
      </c>
      <c r="J204" s="8" t="s">
        <v>318</v>
      </c>
      <c r="K204" s="8" t="s">
        <v>318</v>
      </c>
      <c r="L204" s="8"/>
      <c r="M204" s="8" t="s">
        <v>169</v>
      </c>
      <c r="N204" s="8" t="s">
        <v>639</v>
      </c>
    </row>
    <row r="205" spans="2:14" x14ac:dyDescent="0.25">
      <c r="B205" s="51">
        <v>44769</v>
      </c>
      <c r="C205" s="10" t="s">
        <v>11</v>
      </c>
      <c r="D205" s="10" t="s">
        <v>57</v>
      </c>
      <c r="E205" s="10"/>
      <c r="F205" s="10" t="s">
        <v>12</v>
      </c>
      <c r="G205" s="10" t="s">
        <v>14</v>
      </c>
      <c r="H205" s="10" t="s">
        <v>17</v>
      </c>
      <c r="I205" s="10" t="s">
        <v>48</v>
      </c>
      <c r="J205" s="10" t="s">
        <v>31</v>
      </c>
      <c r="K205" s="10" t="s">
        <v>31</v>
      </c>
      <c r="L205" s="10"/>
      <c r="M205" s="10" t="s">
        <v>169</v>
      </c>
      <c r="N205" s="10" t="s">
        <v>453</v>
      </c>
    </row>
    <row r="206" spans="2:14" x14ac:dyDescent="0.25">
      <c r="B206" s="50">
        <v>44833</v>
      </c>
      <c r="C206" s="8" t="s">
        <v>11</v>
      </c>
      <c r="D206" s="8" t="s">
        <v>58</v>
      </c>
      <c r="E206" s="8"/>
      <c r="F206" s="8" t="s">
        <v>12</v>
      </c>
      <c r="G206" s="8" t="s">
        <v>14</v>
      </c>
      <c r="H206" s="8" t="s">
        <v>17</v>
      </c>
      <c r="I206" s="8" t="s">
        <v>48</v>
      </c>
      <c r="J206" s="8" t="s">
        <v>31</v>
      </c>
      <c r="K206" s="8" t="s">
        <v>31</v>
      </c>
      <c r="L206" s="8"/>
      <c r="M206" s="8" t="s">
        <v>169</v>
      </c>
      <c r="N206" s="8" t="s">
        <v>453</v>
      </c>
    </row>
    <row r="207" spans="2:14" x14ac:dyDescent="0.25">
      <c r="B207" s="51">
        <v>44852</v>
      </c>
      <c r="C207" s="10" t="s">
        <v>11</v>
      </c>
      <c r="D207" s="10" t="s">
        <v>641</v>
      </c>
      <c r="E207" s="10"/>
      <c r="F207" s="10" t="s">
        <v>12</v>
      </c>
      <c r="G207" s="10" t="s">
        <v>14</v>
      </c>
      <c r="H207" s="10" t="s">
        <v>17</v>
      </c>
      <c r="I207" s="10" t="s">
        <v>46</v>
      </c>
      <c r="J207" s="10" t="s">
        <v>31</v>
      </c>
      <c r="K207" s="10" t="s">
        <v>31</v>
      </c>
      <c r="L207" s="10"/>
      <c r="M207" s="10" t="s">
        <v>169</v>
      </c>
      <c r="N207" s="10" t="s">
        <v>453</v>
      </c>
    </row>
    <row r="208" spans="2:14" x14ac:dyDescent="0.25">
      <c r="B208" s="50">
        <v>44760</v>
      </c>
      <c r="C208" s="8" t="s">
        <v>11</v>
      </c>
      <c r="D208" s="8" t="s">
        <v>642</v>
      </c>
      <c r="E208" s="8"/>
      <c r="F208" s="8" t="s">
        <v>12</v>
      </c>
      <c r="G208" s="8" t="s">
        <v>34</v>
      </c>
      <c r="H208" s="8" t="s">
        <v>17</v>
      </c>
      <c r="I208" s="8" t="s">
        <v>607</v>
      </c>
      <c r="J208" s="8" t="s">
        <v>318</v>
      </c>
      <c r="K208" s="8"/>
      <c r="L208" s="8"/>
      <c r="M208" s="8" t="s">
        <v>169</v>
      </c>
      <c r="N208" s="8" t="s">
        <v>639</v>
      </c>
    </row>
    <row r="209" spans="2:14" ht="15" x14ac:dyDescent="0.25">
      <c r="B209" s="51">
        <v>44862</v>
      </c>
      <c r="C209" s="10" t="s">
        <v>11</v>
      </c>
      <c r="D209" s="13" t="s">
        <v>643</v>
      </c>
      <c r="E209" s="10"/>
      <c r="F209" s="10" t="s">
        <v>12</v>
      </c>
      <c r="G209" s="10" t="s">
        <v>14</v>
      </c>
      <c r="H209" s="10" t="s">
        <v>17</v>
      </c>
      <c r="I209" s="10" t="s">
        <v>46</v>
      </c>
      <c r="J209" s="10" t="s">
        <v>31</v>
      </c>
      <c r="K209" s="10" t="s">
        <v>408</v>
      </c>
      <c r="L209" s="10"/>
      <c r="M209" s="10" t="s">
        <v>169</v>
      </c>
      <c r="N209" s="10" t="s">
        <v>639</v>
      </c>
    </row>
    <row r="210" spans="2:14" x14ac:dyDescent="0.25">
      <c r="B210" s="50">
        <v>44971</v>
      </c>
      <c r="C210" s="8" t="s">
        <v>11</v>
      </c>
      <c r="D210" s="8" t="s">
        <v>644</v>
      </c>
      <c r="E210" s="8"/>
      <c r="F210" s="8" t="s">
        <v>12</v>
      </c>
      <c r="G210" s="8" t="s">
        <v>36</v>
      </c>
      <c r="H210" s="8" t="s">
        <v>17</v>
      </c>
      <c r="I210" s="8" t="s">
        <v>276</v>
      </c>
      <c r="J210" s="8" t="s">
        <v>626</v>
      </c>
      <c r="K210" s="8" t="s">
        <v>59</v>
      </c>
      <c r="L210" s="8"/>
      <c r="M210" s="8" t="s">
        <v>169</v>
      </c>
      <c r="N210" s="8" t="s">
        <v>645</v>
      </c>
    </row>
    <row r="211" spans="2:14" x14ac:dyDescent="0.25">
      <c r="B211" s="51">
        <v>44984</v>
      </c>
      <c r="C211" s="10" t="s">
        <v>11</v>
      </c>
      <c r="D211" s="10" t="s">
        <v>646</v>
      </c>
      <c r="E211" s="10"/>
      <c r="F211" s="10" t="s">
        <v>12</v>
      </c>
      <c r="G211" s="10" t="s">
        <v>233</v>
      </c>
      <c r="H211" s="10" t="s">
        <v>17</v>
      </c>
      <c r="I211" s="10" t="s">
        <v>234</v>
      </c>
      <c r="J211" s="10" t="s">
        <v>647</v>
      </c>
      <c r="K211" s="10" t="s">
        <v>647</v>
      </c>
      <c r="L211" s="10"/>
      <c r="M211" s="10" t="s">
        <v>169</v>
      </c>
      <c r="N211" s="10" t="s">
        <v>648</v>
      </c>
    </row>
    <row r="212" spans="2:14" x14ac:dyDescent="0.25">
      <c r="B212" s="50">
        <v>44987</v>
      </c>
      <c r="C212" s="8" t="s">
        <v>11</v>
      </c>
      <c r="D212" s="8" t="s">
        <v>649</v>
      </c>
      <c r="E212" s="8"/>
      <c r="F212" s="8" t="s">
        <v>12</v>
      </c>
      <c r="G212" s="8" t="s">
        <v>36</v>
      </c>
      <c r="H212" s="8" t="s">
        <v>15</v>
      </c>
      <c r="I212" s="8" t="s">
        <v>41</v>
      </c>
      <c r="J212" s="8" t="s">
        <v>452</v>
      </c>
      <c r="K212" s="8" t="s">
        <v>348</v>
      </c>
      <c r="L212" s="8"/>
      <c r="M212" s="8" t="s">
        <v>169</v>
      </c>
      <c r="N212" s="8" t="s">
        <v>650</v>
      </c>
    </row>
    <row r="213" spans="2:14" x14ac:dyDescent="0.25">
      <c r="B213" s="51">
        <v>44971</v>
      </c>
      <c r="C213" s="10" t="s">
        <v>11</v>
      </c>
      <c r="D213" s="10" t="s">
        <v>651</v>
      </c>
      <c r="E213" s="10"/>
      <c r="F213" s="10" t="s">
        <v>12</v>
      </c>
      <c r="G213" s="10" t="s">
        <v>30</v>
      </c>
      <c r="H213" s="10" t="s">
        <v>17</v>
      </c>
      <c r="I213" s="10" t="s">
        <v>652</v>
      </c>
      <c r="J213" s="10" t="s">
        <v>290</v>
      </c>
      <c r="K213" s="10" t="s">
        <v>12</v>
      </c>
      <c r="L213" s="10"/>
      <c r="M213" s="10" t="s">
        <v>169</v>
      </c>
      <c r="N213" s="10" t="s">
        <v>653</v>
      </c>
    </row>
    <row r="214" spans="2:14" x14ac:dyDescent="0.25">
      <c r="B214" s="50">
        <v>44965</v>
      </c>
      <c r="C214" s="8" t="s">
        <v>11</v>
      </c>
      <c r="D214" s="8" t="s">
        <v>654</v>
      </c>
      <c r="E214" s="8" t="s">
        <v>655</v>
      </c>
      <c r="F214" s="8" t="s">
        <v>16</v>
      </c>
      <c r="G214" s="8" t="s">
        <v>29</v>
      </c>
      <c r="H214" s="8" t="s">
        <v>17</v>
      </c>
      <c r="I214" s="8" t="s">
        <v>32</v>
      </c>
      <c r="J214" s="8" t="s">
        <v>323</v>
      </c>
      <c r="K214" s="8" t="s">
        <v>28</v>
      </c>
      <c r="L214" s="8"/>
      <c r="M214" s="8" t="s">
        <v>169</v>
      </c>
      <c r="N214" s="8" t="s">
        <v>500</v>
      </c>
    </row>
    <row r="215" spans="2:14" x14ac:dyDescent="0.25">
      <c r="B215" s="51">
        <v>44966</v>
      </c>
      <c r="C215" s="10" t="s">
        <v>11</v>
      </c>
      <c r="D215" s="10" t="s">
        <v>656</v>
      </c>
      <c r="E215" s="10" t="s">
        <v>657</v>
      </c>
      <c r="F215" s="10" t="s">
        <v>16</v>
      </c>
      <c r="G215" s="10" t="s">
        <v>37</v>
      </c>
      <c r="H215" s="10" t="s">
        <v>15</v>
      </c>
      <c r="I215" s="10" t="s">
        <v>519</v>
      </c>
      <c r="J215" s="10" t="s">
        <v>520</v>
      </c>
      <c r="K215" s="10" t="s">
        <v>442</v>
      </c>
      <c r="L215" s="10"/>
      <c r="M215" s="10" t="s">
        <v>169</v>
      </c>
      <c r="N215" s="10" t="s">
        <v>521</v>
      </c>
    </row>
    <row r="216" spans="2:14" x14ac:dyDescent="0.25">
      <c r="B216" s="50">
        <v>45007</v>
      </c>
      <c r="C216" s="8" t="s">
        <v>11</v>
      </c>
      <c r="D216" s="8" t="s">
        <v>56</v>
      </c>
      <c r="E216" s="8"/>
      <c r="F216" s="8" t="s">
        <v>12</v>
      </c>
      <c r="G216" s="8" t="s">
        <v>14</v>
      </c>
      <c r="H216" s="8" t="s">
        <v>17</v>
      </c>
      <c r="I216" s="8" t="s">
        <v>48</v>
      </c>
      <c r="J216" s="8" t="s">
        <v>31</v>
      </c>
      <c r="K216" s="8" t="s">
        <v>12</v>
      </c>
      <c r="L216" s="8"/>
      <c r="M216" s="8" t="s">
        <v>169</v>
      </c>
      <c r="N216" s="8" t="s">
        <v>453</v>
      </c>
    </row>
    <row r="217" spans="2:14" x14ac:dyDescent="0.25">
      <c r="B217" s="51">
        <v>44929</v>
      </c>
      <c r="C217" s="10" t="s">
        <v>11</v>
      </c>
      <c r="D217" s="10" t="s">
        <v>658</v>
      </c>
      <c r="E217" s="10"/>
      <c r="F217" s="10" t="s">
        <v>12</v>
      </c>
      <c r="G217" s="10" t="s">
        <v>34</v>
      </c>
      <c r="H217" s="10" t="s">
        <v>17</v>
      </c>
      <c r="I217" s="10" t="s">
        <v>659</v>
      </c>
      <c r="J217" s="10" t="s">
        <v>389</v>
      </c>
      <c r="K217" s="10" t="s">
        <v>12</v>
      </c>
      <c r="L217" s="10"/>
      <c r="M217" s="10" t="s">
        <v>169</v>
      </c>
      <c r="N217" s="10" t="s">
        <v>660</v>
      </c>
    </row>
    <row r="218" spans="2:14" x14ac:dyDescent="0.25">
      <c r="B218" s="50">
        <v>44981</v>
      </c>
      <c r="C218" s="8" t="s">
        <v>11</v>
      </c>
      <c r="D218" s="8"/>
      <c r="E218" s="8"/>
      <c r="F218" s="8" t="s">
        <v>12</v>
      </c>
      <c r="G218" s="8" t="s">
        <v>418</v>
      </c>
      <c r="H218" s="8" t="s">
        <v>15</v>
      </c>
      <c r="I218" s="8" t="s">
        <v>661</v>
      </c>
      <c r="J218" s="8" t="s">
        <v>394</v>
      </c>
      <c r="K218" s="8" t="s">
        <v>394</v>
      </c>
      <c r="L218" s="8"/>
      <c r="M218" s="8" t="s">
        <v>169</v>
      </c>
      <c r="N218" s="8" t="s">
        <v>662</v>
      </c>
    </row>
    <row r="219" spans="2:14" x14ac:dyDescent="0.25">
      <c r="B219" s="51">
        <v>44972</v>
      </c>
      <c r="C219" s="10" t="s">
        <v>11</v>
      </c>
      <c r="D219" s="10" t="s">
        <v>663</v>
      </c>
      <c r="E219" s="10" t="s">
        <v>664</v>
      </c>
      <c r="F219" s="10" t="s">
        <v>16</v>
      </c>
      <c r="G219" s="10" t="s">
        <v>37</v>
      </c>
      <c r="H219" s="10" t="s">
        <v>15</v>
      </c>
      <c r="I219" s="10" t="s">
        <v>519</v>
      </c>
      <c r="J219" s="10" t="s">
        <v>520</v>
      </c>
      <c r="K219" s="10" t="s">
        <v>442</v>
      </c>
      <c r="L219" s="10"/>
      <c r="M219" s="10" t="s">
        <v>169</v>
      </c>
      <c r="N219" s="10" t="s">
        <v>521</v>
      </c>
    </row>
    <row r="220" spans="2:14" x14ac:dyDescent="0.25">
      <c r="B220" s="50">
        <v>44972</v>
      </c>
      <c r="C220" s="8" t="s">
        <v>11</v>
      </c>
      <c r="D220" s="8" t="s">
        <v>665</v>
      </c>
      <c r="E220" s="8" t="s">
        <v>666</v>
      </c>
      <c r="F220" s="8" t="s">
        <v>16</v>
      </c>
      <c r="G220" s="8" t="s">
        <v>37</v>
      </c>
      <c r="H220" s="8" t="s">
        <v>15</v>
      </c>
      <c r="I220" s="8" t="s">
        <v>519</v>
      </c>
      <c r="J220" s="8" t="s">
        <v>520</v>
      </c>
      <c r="K220" s="8" t="s">
        <v>442</v>
      </c>
      <c r="L220" s="8"/>
      <c r="M220" s="8" t="s">
        <v>169</v>
      </c>
      <c r="N220" s="8" t="s">
        <v>521</v>
      </c>
    </row>
    <row r="221" spans="2:14" x14ac:dyDescent="0.25">
      <c r="B221" s="51">
        <v>44973</v>
      </c>
      <c r="C221" s="10" t="s">
        <v>11</v>
      </c>
      <c r="D221" s="10" t="s">
        <v>667</v>
      </c>
      <c r="E221" s="10" t="s">
        <v>610</v>
      </c>
      <c r="F221" s="10" t="s">
        <v>16</v>
      </c>
      <c r="G221" s="10" t="s">
        <v>3</v>
      </c>
      <c r="H221" s="10" t="s">
        <v>17</v>
      </c>
      <c r="I221" s="10" t="s">
        <v>276</v>
      </c>
      <c r="J221" s="10" t="s">
        <v>611</v>
      </c>
      <c r="K221" s="10" t="s">
        <v>612</v>
      </c>
      <c r="L221" s="10"/>
      <c r="M221" s="10" t="s">
        <v>169</v>
      </c>
      <c r="N221" s="10" t="s">
        <v>613</v>
      </c>
    </row>
    <row r="222" spans="2:14" x14ac:dyDescent="0.25">
      <c r="B222" s="50">
        <v>44977</v>
      </c>
      <c r="C222" s="8" t="s">
        <v>11</v>
      </c>
      <c r="D222" s="8" t="s">
        <v>668</v>
      </c>
      <c r="E222" s="8" t="s">
        <v>669</v>
      </c>
      <c r="F222" s="8" t="s">
        <v>16</v>
      </c>
      <c r="G222" s="8" t="s">
        <v>37</v>
      </c>
      <c r="H222" s="8" t="s">
        <v>15</v>
      </c>
      <c r="I222" s="8" t="s">
        <v>519</v>
      </c>
      <c r="J222" s="8" t="s">
        <v>520</v>
      </c>
      <c r="K222" s="8" t="s">
        <v>442</v>
      </c>
      <c r="L222" s="8"/>
      <c r="M222" s="8" t="s">
        <v>169</v>
      </c>
      <c r="N222" s="8" t="s">
        <v>521</v>
      </c>
    </row>
    <row r="223" spans="2:14" x14ac:dyDescent="0.25">
      <c r="B223" s="51">
        <v>44782</v>
      </c>
      <c r="C223" s="10" t="s">
        <v>11</v>
      </c>
      <c r="D223" s="10" t="s">
        <v>670</v>
      </c>
      <c r="E223" s="10" t="s">
        <v>671</v>
      </c>
      <c r="F223" s="10" t="s">
        <v>12</v>
      </c>
      <c r="G223" s="10" t="s">
        <v>3</v>
      </c>
      <c r="H223" s="10" t="s">
        <v>425</v>
      </c>
      <c r="I223" s="10" t="s">
        <v>435</v>
      </c>
      <c r="J223" s="10" t="s">
        <v>672</v>
      </c>
      <c r="K223" s="10" t="s">
        <v>672</v>
      </c>
      <c r="L223" s="10"/>
      <c r="M223" s="10" t="s">
        <v>169</v>
      </c>
      <c r="N223" s="10"/>
    </row>
    <row r="224" spans="2:14" x14ac:dyDescent="0.25">
      <c r="B224" s="50">
        <v>44904</v>
      </c>
      <c r="C224" s="8" t="s">
        <v>11</v>
      </c>
      <c r="D224" s="8" t="s">
        <v>673</v>
      </c>
      <c r="E224" s="8"/>
      <c r="F224" s="8" t="s">
        <v>12</v>
      </c>
      <c r="G224" s="8" t="s">
        <v>418</v>
      </c>
      <c r="H224" s="8" t="s">
        <v>17</v>
      </c>
      <c r="I224" s="8" t="s">
        <v>60</v>
      </c>
      <c r="J224" s="8" t="s">
        <v>394</v>
      </c>
      <c r="K224" s="8" t="s">
        <v>12</v>
      </c>
      <c r="L224" s="8"/>
      <c r="M224" s="8" t="s">
        <v>169</v>
      </c>
      <c r="N224" s="8" t="s">
        <v>674</v>
      </c>
    </row>
    <row r="225" spans="2:14" x14ac:dyDescent="0.25">
      <c r="B225" s="51">
        <v>44993</v>
      </c>
      <c r="C225" s="10" t="s">
        <v>11</v>
      </c>
      <c r="D225" s="10" t="s">
        <v>675</v>
      </c>
      <c r="E225" s="10" t="s">
        <v>676</v>
      </c>
      <c r="F225" s="10" t="s">
        <v>16</v>
      </c>
      <c r="G225" s="10" t="s">
        <v>37</v>
      </c>
      <c r="H225" s="10" t="s">
        <v>15</v>
      </c>
      <c r="I225" s="10" t="s">
        <v>519</v>
      </c>
      <c r="J225" s="10" t="s">
        <v>520</v>
      </c>
      <c r="K225" s="10" t="s">
        <v>442</v>
      </c>
      <c r="L225" s="10"/>
      <c r="M225" s="10" t="s">
        <v>169</v>
      </c>
      <c r="N225" s="10" t="s">
        <v>521</v>
      </c>
    </row>
    <row r="226" spans="2:14" x14ac:dyDescent="0.25">
      <c r="B226" s="50">
        <v>44958</v>
      </c>
      <c r="C226" s="8" t="s">
        <v>510</v>
      </c>
      <c r="D226" s="8" t="s">
        <v>677</v>
      </c>
      <c r="E226" s="8"/>
      <c r="F226" s="8" t="s">
        <v>12</v>
      </c>
      <c r="G226" s="8" t="s">
        <v>510</v>
      </c>
      <c r="H226" s="8" t="s">
        <v>17</v>
      </c>
      <c r="I226" s="8" t="s">
        <v>678</v>
      </c>
      <c r="J226" s="8" t="s">
        <v>589</v>
      </c>
      <c r="K226" s="8" t="s">
        <v>12</v>
      </c>
      <c r="L226" s="8"/>
      <c r="M226" s="8" t="s">
        <v>169</v>
      </c>
      <c r="N226" s="8" t="s">
        <v>679</v>
      </c>
    </row>
    <row r="227" spans="2:14" x14ac:dyDescent="0.25">
      <c r="B227" s="51">
        <v>44958</v>
      </c>
      <c r="C227" s="10" t="s">
        <v>510</v>
      </c>
      <c r="D227" s="10" t="s">
        <v>680</v>
      </c>
      <c r="E227" s="10"/>
      <c r="F227" s="10" t="s">
        <v>12</v>
      </c>
      <c r="G227" s="10" t="s">
        <v>510</v>
      </c>
      <c r="H227" s="10" t="s">
        <v>17</v>
      </c>
      <c r="I227" s="10" t="s">
        <v>681</v>
      </c>
      <c r="J227" s="10" t="s">
        <v>589</v>
      </c>
      <c r="K227" s="10" t="s">
        <v>589</v>
      </c>
      <c r="L227" s="10"/>
      <c r="M227" s="10" t="s">
        <v>169</v>
      </c>
      <c r="N227" s="10" t="s">
        <v>531</v>
      </c>
    </row>
    <row r="228" spans="2:14" x14ac:dyDescent="0.25">
      <c r="B228" s="50">
        <v>45000</v>
      </c>
      <c r="C228" s="8" t="s">
        <v>11</v>
      </c>
      <c r="D228" s="8" t="s">
        <v>682</v>
      </c>
      <c r="E228" s="8" t="s">
        <v>683</v>
      </c>
      <c r="F228" s="8" t="s">
        <v>16</v>
      </c>
      <c r="G228" s="8" t="s">
        <v>37</v>
      </c>
      <c r="H228" s="8" t="s">
        <v>15</v>
      </c>
      <c r="I228" s="8" t="s">
        <v>519</v>
      </c>
      <c r="J228" s="8" t="s">
        <v>520</v>
      </c>
      <c r="K228" s="8" t="s">
        <v>442</v>
      </c>
      <c r="L228" s="8"/>
      <c r="M228" s="8" t="s">
        <v>169</v>
      </c>
      <c r="N228" s="8" t="s">
        <v>521</v>
      </c>
    </row>
    <row r="229" spans="2:14" x14ac:dyDescent="0.25">
      <c r="B229" s="51">
        <v>44978</v>
      </c>
      <c r="C229" s="10" t="s">
        <v>510</v>
      </c>
      <c r="D229" s="10" t="s">
        <v>684</v>
      </c>
      <c r="E229" s="10"/>
      <c r="F229" s="10" t="s">
        <v>12</v>
      </c>
      <c r="G229" s="10" t="s">
        <v>510</v>
      </c>
      <c r="H229" s="10" t="s">
        <v>17</v>
      </c>
      <c r="I229" s="10" t="s">
        <v>61</v>
      </c>
      <c r="J229" s="10" t="s">
        <v>512</v>
      </c>
      <c r="K229" s="10" t="s">
        <v>12</v>
      </c>
      <c r="L229" s="10"/>
      <c r="M229" s="10" t="s">
        <v>169</v>
      </c>
      <c r="N229" s="10"/>
    </row>
    <row r="230" spans="2:14" x14ac:dyDescent="0.25">
      <c r="B230" s="50">
        <v>44987</v>
      </c>
      <c r="C230" s="8" t="s">
        <v>11</v>
      </c>
      <c r="D230" s="8" t="s">
        <v>685</v>
      </c>
      <c r="E230" s="8" t="s">
        <v>686</v>
      </c>
      <c r="F230" s="8" t="s">
        <v>12</v>
      </c>
      <c r="G230" s="8" t="s">
        <v>687</v>
      </c>
      <c r="H230" s="8" t="s">
        <v>425</v>
      </c>
      <c r="I230" s="8" t="s">
        <v>688</v>
      </c>
      <c r="J230" s="8" t="s">
        <v>689</v>
      </c>
      <c r="K230" s="8" t="s">
        <v>12</v>
      </c>
      <c r="L230" s="8"/>
      <c r="M230" s="8" t="s">
        <v>169</v>
      </c>
      <c r="N230" s="8" t="s">
        <v>690</v>
      </c>
    </row>
    <row r="231" spans="2:14" x14ac:dyDescent="0.25">
      <c r="B231" s="51">
        <v>44992</v>
      </c>
      <c r="C231" s="10" t="s">
        <v>11</v>
      </c>
      <c r="D231" s="10" t="s">
        <v>62</v>
      </c>
      <c r="E231" s="10"/>
      <c r="F231" s="10" t="s">
        <v>12</v>
      </c>
      <c r="G231" s="10" t="s">
        <v>14</v>
      </c>
      <c r="H231" s="10" t="s">
        <v>17</v>
      </c>
      <c r="I231" s="10" t="s">
        <v>691</v>
      </c>
      <c r="J231" s="10" t="s">
        <v>414</v>
      </c>
      <c r="K231" s="10" t="s">
        <v>348</v>
      </c>
      <c r="L231" s="10"/>
      <c r="M231" s="10" t="s">
        <v>169</v>
      </c>
      <c r="N231" s="10" t="s">
        <v>531</v>
      </c>
    </row>
    <row r="232" spans="2:14" x14ac:dyDescent="0.25">
      <c r="B232" s="50">
        <v>45000</v>
      </c>
      <c r="C232" s="8" t="s">
        <v>11</v>
      </c>
      <c r="D232" s="8" t="s">
        <v>692</v>
      </c>
      <c r="E232" s="8" t="s">
        <v>686</v>
      </c>
      <c r="F232" s="8" t="s">
        <v>12</v>
      </c>
      <c r="G232" s="8" t="s">
        <v>29</v>
      </c>
      <c r="H232" s="8" t="s">
        <v>17</v>
      </c>
      <c r="I232" s="8" t="s">
        <v>693</v>
      </c>
      <c r="J232" s="8" t="s">
        <v>42</v>
      </c>
      <c r="K232" s="8" t="s">
        <v>12</v>
      </c>
      <c r="L232" s="8"/>
      <c r="M232" s="8" t="s">
        <v>169</v>
      </c>
      <c r="N232" s="8" t="s">
        <v>694</v>
      </c>
    </row>
    <row r="233" spans="2:14" x14ac:dyDescent="0.25">
      <c r="B233" s="51">
        <v>45001</v>
      </c>
      <c r="C233" s="10" t="s">
        <v>11</v>
      </c>
      <c r="D233" s="10"/>
      <c r="E233" s="10"/>
      <c r="F233" s="10" t="s">
        <v>12</v>
      </c>
      <c r="G233" s="10" t="s">
        <v>14</v>
      </c>
      <c r="H233" s="10" t="s">
        <v>15</v>
      </c>
      <c r="I233" s="10" t="s">
        <v>48</v>
      </c>
      <c r="J233" s="10" t="s">
        <v>63</v>
      </c>
      <c r="K233" s="10" t="s">
        <v>12</v>
      </c>
      <c r="L233" s="10"/>
      <c r="M233" s="10" t="s">
        <v>169</v>
      </c>
      <c r="N233" s="10"/>
    </row>
    <row r="234" spans="2:14" x14ac:dyDescent="0.25">
      <c r="B234" s="50">
        <v>45001</v>
      </c>
      <c r="C234" s="8" t="s">
        <v>11</v>
      </c>
      <c r="D234" s="8" t="s">
        <v>695</v>
      </c>
      <c r="E234" s="8"/>
      <c r="F234" s="8" t="s">
        <v>12</v>
      </c>
      <c r="G234" s="8" t="s">
        <v>34</v>
      </c>
      <c r="H234" s="8" t="s">
        <v>17</v>
      </c>
      <c r="I234" s="8" t="s">
        <v>696</v>
      </c>
      <c r="J234" s="8" t="s">
        <v>389</v>
      </c>
      <c r="K234" s="8" t="s">
        <v>12</v>
      </c>
      <c r="L234" s="8"/>
      <c r="M234" s="8" t="s">
        <v>169</v>
      </c>
      <c r="N234" s="8"/>
    </row>
    <row r="235" spans="2:14" x14ac:dyDescent="0.25">
      <c r="B235" s="51">
        <v>45028</v>
      </c>
      <c r="C235" s="10" t="s">
        <v>11</v>
      </c>
      <c r="D235" s="10" t="s">
        <v>684</v>
      </c>
      <c r="E235" s="10" t="s">
        <v>697</v>
      </c>
      <c r="F235" s="10" t="s">
        <v>12</v>
      </c>
      <c r="G235" s="10" t="s">
        <v>14</v>
      </c>
      <c r="H235" s="10" t="s">
        <v>17</v>
      </c>
      <c r="I235" s="10" t="s">
        <v>588</v>
      </c>
      <c r="J235" s="10" t="s">
        <v>51</v>
      </c>
      <c r="K235" s="10" t="s">
        <v>12</v>
      </c>
      <c r="L235" s="10"/>
      <c r="M235" s="10" t="s">
        <v>169</v>
      </c>
      <c r="N235" s="10"/>
    </row>
    <row r="236" spans="2:14" x14ac:dyDescent="0.25">
      <c r="B236" s="50">
        <v>45008</v>
      </c>
      <c r="C236" s="8" t="s">
        <v>11</v>
      </c>
      <c r="D236" s="8" t="s">
        <v>698</v>
      </c>
      <c r="E236" s="8" t="s">
        <v>434</v>
      </c>
      <c r="F236" s="8" t="s">
        <v>16</v>
      </c>
      <c r="G236" s="8" t="s">
        <v>37</v>
      </c>
      <c r="H236" s="8" t="s">
        <v>15</v>
      </c>
      <c r="I236" s="8" t="s">
        <v>519</v>
      </c>
      <c r="J236" s="8" t="s">
        <v>520</v>
      </c>
      <c r="K236" s="8" t="s">
        <v>442</v>
      </c>
      <c r="L236" s="8"/>
      <c r="M236" s="8" t="s">
        <v>169</v>
      </c>
      <c r="N236" s="8" t="s">
        <v>521</v>
      </c>
    </row>
    <row r="237" spans="2:14" x14ac:dyDescent="0.25">
      <c r="B237" s="51">
        <v>45014</v>
      </c>
      <c r="C237" s="10" t="s">
        <v>1086</v>
      </c>
      <c r="D237" s="10" t="s">
        <v>699</v>
      </c>
      <c r="E237" s="10" t="s">
        <v>700</v>
      </c>
      <c r="F237" s="10" t="s">
        <v>16</v>
      </c>
      <c r="G237" s="10" t="s">
        <v>37</v>
      </c>
      <c r="H237" s="10" t="s">
        <v>15</v>
      </c>
      <c r="I237" s="10" t="s">
        <v>519</v>
      </c>
      <c r="J237" s="10" t="s">
        <v>520</v>
      </c>
      <c r="K237" s="10" t="s">
        <v>442</v>
      </c>
      <c r="L237" s="10"/>
      <c r="M237" s="10" t="s">
        <v>169</v>
      </c>
      <c r="N237" s="10" t="s">
        <v>521</v>
      </c>
    </row>
    <row r="238" spans="2:14" x14ac:dyDescent="0.25">
      <c r="B238" s="50">
        <v>45027</v>
      </c>
      <c r="C238" s="8" t="s">
        <v>11</v>
      </c>
      <c r="D238" s="8" t="s">
        <v>701</v>
      </c>
      <c r="E238" s="8" t="s">
        <v>701</v>
      </c>
      <c r="F238" s="8" t="s">
        <v>16</v>
      </c>
      <c r="G238" s="8" t="s">
        <v>37</v>
      </c>
      <c r="H238" s="8" t="s">
        <v>15</v>
      </c>
      <c r="I238" s="8" t="s">
        <v>519</v>
      </c>
      <c r="J238" s="8" t="s">
        <v>520</v>
      </c>
      <c r="K238" s="8" t="s">
        <v>442</v>
      </c>
      <c r="L238" s="8"/>
      <c r="M238" s="8" t="s">
        <v>169</v>
      </c>
      <c r="N238" s="8" t="s">
        <v>521</v>
      </c>
    </row>
    <row r="239" spans="2:14" x14ac:dyDescent="0.25">
      <c r="B239" s="51">
        <v>45027</v>
      </c>
      <c r="C239" s="10" t="s">
        <v>11</v>
      </c>
      <c r="D239" s="10" t="s">
        <v>702</v>
      </c>
      <c r="E239" s="10" t="s">
        <v>702</v>
      </c>
      <c r="F239" s="10" t="s">
        <v>16</v>
      </c>
      <c r="G239" s="10" t="s">
        <v>37</v>
      </c>
      <c r="H239" s="10" t="s">
        <v>15</v>
      </c>
      <c r="I239" s="10" t="s">
        <v>519</v>
      </c>
      <c r="J239" s="10" t="s">
        <v>520</v>
      </c>
      <c r="K239" s="10" t="s">
        <v>442</v>
      </c>
      <c r="L239" s="10"/>
      <c r="M239" s="10" t="s">
        <v>169</v>
      </c>
      <c r="N239" s="10" t="s">
        <v>521</v>
      </c>
    </row>
    <row r="240" spans="2:14" x14ac:dyDescent="0.25">
      <c r="B240" s="50">
        <v>44781</v>
      </c>
      <c r="C240" s="8" t="s">
        <v>11</v>
      </c>
      <c r="D240" s="8" t="s">
        <v>703</v>
      </c>
      <c r="E240" s="8"/>
      <c r="F240" s="8" t="s">
        <v>12</v>
      </c>
      <c r="G240" s="8" t="s">
        <v>704</v>
      </c>
      <c r="H240" s="8" t="s">
        <v>17</v>
      </c>
      <c r="I240" s="8" t="s">
        <v>41</v>
      </c>
      <c r="J240" s="8" t="s">
        <v>53</v>
      </c>
      <c r="K240" s="8" t="s">
        <v>348</v>
      </c>
      <c r="L240" s="8"/>
      <c r="M240" s="8" t="s">
        <v>169</v>
      </c>
      <c r="N240" s="8" t="s">
        <v>453</v>
      </c>
    </row>
    <row r="241" spans="2:14" x14ac:dyDescent="0.25">
      <c r="B241" s="51">
        <v>44953</v>
      </c>
      <c r="C241" s="10" t="s">
        <v>11</v>
      </c>
      <c r="D241" s="10" t="s">
        <v>705</v>
      </c>
      <c r="E241" s="10"/>
      <c r="F241" s="10" t="s">
        <v>12</v>
      </c>
      <c r="G241" s="10" t="s">
        <v>455</v>
      </c>
      <c r="H241" s="10" t="s">
        <v>17</v>
      </c>
      <c r="I241" s="10" t="s">
        <v>706</v>
      </c>
      <c r="J241" s="10" t="s">
        <v>456</v>
      </c>
      <c r="K241" s="10" t="s">
        <v>348</v>
      </c>
      <c r="L241" s="10"/>
      <c r="M241" s="10" t="s">
        <v>169</v>
      </c>
      <c r="N241" s="10" t="s">
        <v>645</v>
      </c>
    </row>
    <row r="242" spans="2:14" x14ac:dyDescent="0.25">
      <c r="B242" s="50">
        <v>44987</v>
      </c>
      <c r="C242" s="8" t="s">
        <v>11</v>
      </c>
      <c r="D242" s="8" t="s">
        <v>707</v>
      </c>
      <c r="E242" s="8" t="s">
        <v>708</v>
      </c>
      <c r="F242" s="8" t="s">
        <v>12</v>
      </c>
      <c r="G242" s="8" t="s">
        <v>425</v>
      </c>
      <c r="H242" s="8" t="s">
        <v>425</v>
      </c>
      <c r="I242" s="8" t="s">
        <v>709</v>
      </c>
      <c r="J242" s="8" t="s">
        <v>427</v>
      </c>
      <c r="K242" s="8" t="s">
        <v>12</v>
      </c>
      <c r="L242" s="8"/>
      <c r="M242" s="8" t="s">
        <v>169</v>
      </c>
      <c r="N242" s="8" t="s">
        <v>412</v>
      </c>
    </row>
    <row r="243" spans="2:14" x14ac:dyDescent="0.25">
      <c r="B243" s="51">
        <v>45033</v>
      </c>
      <c r="C243" s="10" t="s">
        <v>11</v>
      </c>
      <c r="D243" s="10" t="s">
        <v>197</v>
      </c>
      <c r="E243" s="10"/>
      <c r="F243" s="10" t="s">
        <v>12</v>
      </c>
      <c r="G243" s="10" t="s">
        <v>27</v>
      </c>
      <c r="H243" s="10" t="s">
        <v>17</v>
      </c>
      <c r="I243" s="10" t="s">
        <v>710</v>
      </c>
      <c r="J243" s="10" t="s">
        <v>211</v>
      </c>
      <c r="K243" s="10" t="s">
        <v>12</v>
      </c>
      <c r="L243" s="10"/>
      <c r="M243" s="10" t="s">
        <v>169</v>
      </c>
      <c r="N243" s="10" t="s">
        <v>453</v>
      </c>
    </row>
    <row r="244" spans="2:14" x14ac:dyDescent="0.25">
      <c r="B244" s="50">
        <v>45005</v>
      </c>
      <c r="C244" s="8" t="s">
        <v>11</v>
      </c>
      <c r="D244" s="8" t="s">
        <v>447</v>
      </c>
      <c r="E244" s="8"/>
      <c r="F244" s="8" t="s">
        <v>12</v>
      </c>
      <c r="G244" s="8" t="s">
        <v>14</v>
      </c>
      <c r="H244" s="8" t="s">
        <v>17</v>
      </c>
      <c r="I244" s="8" t="s">
        <v>696</v>
      </c>
      <c r="J244" s="8" t="s">
        <v>414</v>
      </c>
      <c r="K244" s="8" t="s">
        <v>348</v>
      </c>
      <c r="L244" s="8"/>
      <c r="M244" s="8" t="s">
        <v>711</v>
      </c>
      <c r="N244" s="8" t="s">
        <v>712</v>
      </c>
    </row>
    <row r="245" spans="2:14" x14ac:dyDescent="0.25">
      <c r="B245" s="51">
        <v>45019</v>
      </c>
      <c r="C245" s="10" t="s">
        <v>11</v>
      </c>
      <c r="D245" s="10" t="s">
        <v>713</v>
      </c>
      <c r="E245" s="10"/>
      <c r="F245" s="10" t="s">
        <v>12</v>
      </c>
      <c r="G245" s="10" t="s">
        <v>14</v>
      </c>
      <c r="H245" s="10" t="s">
        <v>17</v>
      </c>
      <c r="I245" s="10" t="s">
        <v>48</v>
      </c>
      <c r="J245" s="10" t="s">
        <v>31</v>
      </c>
      <c r="K245" s="10" t="s">
        <v>12</v>
      </c>
      <c r="L245" s="10"/>
      <c r="M245" s="10" t="s">
        <v>169</v>
      </c>
      <c r="N245" s="10" t="s">
        <v>531</v>
      </c>
    </row>
    <row r="246" spans="2:14" x14ac:dyDescent="0.25">
      <c r="B246" s="50">
        <v>45027</v>
      </c>
      <c r="C246" s="8" t="s">
        <v>11</v>
      </c>
      <c r="D246" s="8" t="s">
        <v>54</v>
      </c>
      <c r="E246" s="8" t="s">
        <v>54</v>
      </c>
      <c r="F246" s="8" t="s">
        <v>16</v>
      </c>
      <c r="G246" s="8" t="s">
        <v>37</v>
      </c>
      <c r="H246" s="8" t="s">
        <v>15</v>
      </c>
      <c r="I246" s="8" t="s">
        <v>519</v>
      </c>
      <c r="J246" s="8" t="s">
        <v>520</v>
      </c>
      <c r="K246" s="8" t="s">
        <v>442</v>
      </c>
      <c r="L246" s="8"/>
      <c r="M246" s="8" t="s">
        <v>169</v>
      </c>
      <c r="N246" s="8" t="s">
        <v>521</v>
      </c>
    </row>
    <row r="247" spans="2:14" x14ac:dyDescent="0.25">
      <c r="B247" s="51">
        <v>45033</v>
      </c>
      <c r="C247" s="10" t="s">
        <v>11</v>
      </c>
      <c r="D247" s="14" t="s">
        <v>64</v>
      </c>
      <c r="E247" s="10" t="s">
        <v>13</v>
      </c>
      <c r="F247" s="10" t="s">
        <v>16</v>
      </c>
      <c r="G247" s="10" t="s">
        <v>14</v>
      </c>
      <c r="H247" s="10" t="s">
        <v>15</v>
      </c>
      <c r="I247" s="10" t="s">
        <v>714</v>
      </c>
      <c r="J247" s="10" t="s">
        <v>63</v>
      </c>
      <c r="K247" s="10" t="s">
        <v>442</v>
      </c>
      <c r="L247" s="10"/>
      <c r="M247" s="10" t="s">
        <v>169</v>
      </c>
      <c r="N247" s="10" t="s">
        <v>715</v>
      </c>
    </row>
    <row r="248" spans="2:14" x14ac:dyDescent="0.25">
      <c r="B248" s="50">
        <v>45033</v>
      </c>
      <c r="C248" s="8" t="s">
        <v>11</v>
      </c>
      <c r="D248" s="8" t="s">
        <v>716</v>
      </c>
      <c r="E248" s="8" t="s">
        <v>13</v>
      </c>
      <c r="F248" s="8" t="s">
        <v>16</v>
      </c>
      <c r="G248" s="8" t="s">
        <v>14</v>
      </c>
      <c r="H248" s="8" t="s">
        <v>15</v>
      </c>
      <c r="I248" s="8" t="s">
        <v>714</v>
      </c>
      <c r="J248" s="8" t="s">
        <v>63</v>
      </c>
      <c r="K248" s="8" t="s">
        <v>442</v>
      </c>
      <c r="L248" s="8"/>
      <c r="M248" s="8" t="s">
        <v>169</v>
      </c>
      <c r="N248" s="8" t="s">
        <v>715</v>
      </c>
    </row>
    <row r="249" spans="2:14" x14ac:dyDescent="0.25">
      <c r="B249" s="51">
        <v>45058</v>
      </c>
      <c r="C249" s="10" t="s">
        <v>11</v>
      </c>
      <c r="D249" s="10" t="s">
        <v>717</v>
      </c>
      <c r="E249" s="10" t="s">
        <v>13</v>
      </c>
      <c r="F249" s="10" t="s">
        <v>16</v>
      </c>
      <c r="G249" s="10" t="s">
        <v>34</v>
      </c>
      <c r="H249" s="10" t="s">
        <v>17</v>
      </c>
      <c r="I249" s="10" t="s">
        <v>718</v>
      </c>
      <c r="J249" s="10" t="s">
        <v>719</v>
      </c>
      <c r="K249" s="10" t="s">
        <v>442</v>
      </c>
      <c r="L249" s="10"/>
      <c r="M249" s="10" t="s">
        <v>169</v>
      </c>
      <c r="N249" s="10" t="s">
        <v>720</v>
      </c>
    </row>
    <row r="250" spans="2:14" x14ac:dyDescent="0.25">
      <c r="B250" s="50">
        <v>44889</v>
      </c>
      <c r="C250" s="8" t="s">
        <v>11</v>
      </c>
      <c r="D250" s="8" t="s">
        <v>721</v>
      </c>
      <c r="E250" s="8"/>
      <c r="F250" s="8" t="s">
        <v>20</v>
      </c>
      <c r="G250" s="8" t="s">
        <v>3</v>
      </c>
      <c r="H250" s="8" t="s">
        <v>425</v>
      </c>
      <c r="I250" s="8" t="s">
        <v>435</v>
      </c>
      <c r="J250" s="8" t="s">
        <v>722</v>
      </c>
      <c r="K250" s="8" t="s">
        <v>12</v>
      </c>
      <c r="L250" s="8"/>
      <c r="M250" s="8" t="s">
        <v>169</v>
      </c>
      <c r="N250" s="8" t="s">
        <v>723</v>
      </c>
    </row>
    <row r="251" spans="2:14" x14ac:dyDescent="0.25">
      <c r="B251" s="51">
        <v>45058</v>
      </c>
      <c r="C251" s="10" t="s">
        <v>510</v>
      </c>
      <c r="D251" s="10" t="s">
        <v>724</v>
      </c>
      <c r="E251" s="10" t="s">
        <v>13</v>
      </c>
      <c r="F251" s="10" t="s">
        <v>16</v>
      </c>
      <c r="G251" s="10" t="s">
        <v>510</v>
      </c>
      <c r="H251" s="10" t="s">
        <v>17</v>
      </c>
      <c r="I251" s="10" t="s">
        <v>32</v>
      </c>
      <c r="J251" s="10" t="s">
        <v>512</v>
      </c>
      <c r="K251" s="10" t="s">
        <v>512</v>
      </c>
      <c r="L251" s="10"/>
      <c r="M251" s="10" t="s">
        <v>169</v>
      </c>
      <c r="N251" s="10" t="s">
        <v>725</v>
      </c>
    </row>
    <row r="252" spans="2:14" x14ac:dyDescent="0.25">
      <c r="B252" s="50">
        <v>45061</v>
      </c>
      <c r="C252" s="8" t="s">
        <v>11</v>
      </c>
      <c r="D252" s="8" t="s">
        <v>50</v>
      </c>
      <c r="E252" s="8" t="s">
        <v>13</v>
      </c>
      <c r="F252" s="8" t="s">
        <v>16</v>
      </c>
      <c r="G252" s="8" t="s">
        <v>14</v>
      </c>
      <c r="H252" s="8" t="s">
        <v>15</v>
      </c>
      <c r="I252" s="8" t="s">
        <v>714</v>
      </c>
      <c r="J252" s="8" t="s">
        <v>63</v>
      </c>
      <c r="K252" s="8" t="s">
        <v>442</v>
      </c>
      <c r="L252" s="8"/>
      <c r="M252" s="8" t="s">
        <v>169</v>
      </c>
      <c r="N252" s="8" t="s">
        <v>715</v>
      </c>
    </row>
    <row r="253" spans="2:14" x14ac:dyDescent="0.25">
      <c r="B253" s="51">
        <v>45061</v>
      </c>
      <c r="C253" s="10" t="s">
        <v>11</v>
      </c>
      <c r="D253" s="10" t="s">
        <v>402</v>
      </c>
      <c r="E253" s="10" t="s">
        <v>13</v>
      </c>
      <c r="F253" s="10" t="s">
        <v>16</v>
      </c>
      <c r="G253" s="10" t="s">
        <v>14</v>
      </c>
      <c r="H253" s="10" t="s">
        <v>15</v>
      </c>
      <c r="I253" s="10" t="s">
        <v>714</v>
      </c>
      <c r="J253" s="10" t="s">
        <v>63</v>
      </c>
      <c r="K253" s="10" t="s">
        <v>442</v>
      </c>
      <c r="L253" s="10"/>
      <c r="M253" s="10" t="s">
        <v>169</v>
      </c>
      <c r="N253" s="10" t="s">
        <v>715</v>
      </c>
    </row>
    <row r="254" spans="2:14" x14ac:dyDescent="0.25">
      <c r="B254" s="50">
        <v>45063</v>
      </c>
      <c r="C254" s="8" t="s">
        <v>11</v>
      </c>
      <c r="D254" s="15" t="s">
        <v>726</v>
      </c>
      <c r="E254" s="8" t="s">
        <v>13</v>
      </c>
      <c r="F254" s="8" t="s">
        <v>16</v>
      </c>
      <c r="G254" s="8" t="s">
        <v>14</v>
      </c>
      <c r="H254" s="8" t="s">
        <v>15</v>
      </c>
      <c r="I254" s="8" t="s">
        <v>48</v>
      </c>
      <c r="J254" s="8" t="s">
        <v>63</v>
      </c>
      <c r="K254" s="8" t="s">
        <v>442</v>
      </c>
      <c r="L254" s="8"/>
      <c r="M254" s="8" t="s">
        <v>169</v>
      </c>
      <c r="N254" s="8" t="s">
        <v>727</v>
      </c>
    </row>
    <row r="255" spans="2:14" x14ac:dyDescent="0.25">
      <c r="B255" s="51">
        <v>45064</v>
      </c>
      <c r="C255" s="10" t="s">
        <v>11</v>
      </c>
      <c r="D255" s="10" t="s">
        <v>728</v>
      </c>
      <c r="E255" s="10" t="s">
        <v>728</v>
      </c>
      <c r="F255" s="10" t="s">
        <v>16</v>
      </c>
      <c r="G255" s="10" t="s">
        <v>37</v>
      </c>
      <c r="H255" s="10" t="s">
        <v>15</v>
      </c>
      <c r="I255" s="10" t="s">
        <v>519</v>
      </c>
      <c r="J255" s="10" t="s">
        <v>520</v>
      </c>
      <c r="K255" s="10" t="s">
        <v>442</v>
      </c>
      <c r="L255" s="10"/>
      <c r="M255" s="10" t="s">
        <v>169</v>
      </c>
      <c r="N255" s="10" t="s">
        <v>521</v>
      </c>
    </row>
    <row r="256" spans="2:14" x14ac:dyDescent="0.25">
      <c r="B256" s="50">
        <v>45085</v>
      </c>
      <c r="C256" s="8" t="s">
        <v>11</v>
      </c>
      <c r="D256" s="8" t="s">
        <v>65</v>
      </c>
      <c r="E256" s="8"/>
      <c r="F256" s="8" t="s">
        <v>12</v>
      </c>
      <c r="G256" s="8" t="s">
        <v>14</v>
      </c>
      <c r="H256" s="8" t="s">
        <v>15</v>
      </c>
      <c r="I256" s="8" t="s">
        <v>234</v>
      </c>
      <c r="J256" s="8" t="s">
        <v>63</v>
      </c>
      <c r="K256" s="8" t="s">
        <v>12</v>
      </c>
      <c r="L256" s="8"/>
      <c r="M256" s="8" t="s">
        <v>169</v>
      </c>
      <c r="N256" s="8" t="s">
        <v>729</v>
      </c>
    </row>
    <row r="257" spans="2:14" x14ac:dyDescent="0.25">
      <c r="B257" s="51">
        <v>45065</v>
      </c>
      <c r="C257" s="10" t="s">
        <v>11</v>
      </c>
      <c r="D257" s="10" t="s">
        <v>730</v>
      </c>
      <c r="E257" s="10" t="s">
        <v>404</v>
      </c>
      <c r="F257" s="10" t="s">
        <v>16</v>
      </c>
      <c r="G257" s="10" t="s">
        <v>37</v>
      </c>
      <c r="H257" s="10" t="s">
        <v>15</v>
      </c>
      <c r="I257" s="10" t="s">
        <v>519</v>
      </c>
      <c r="J257" s="10" t="s">
        <v>520</v>
      </c>
      <c r="K257" s="10" t="s">
        <v>442</v>
      </c>
      <c r="L257" s="10"/>
      <c r="M257" s="10" t="s">
        <v>169</v>
      </c>
      <c r="N257" s="10" t="s">
        <v>521</v>
      </c>
    </row>
    <row r="258" spans="2:14" x14ac:dyDescent="0.25">
      <c r="B258" s="50">
        <v>45071</v>
      </c>
      <c r="C258" s="8" t="s">
        <v>11</v>
      </c>
      <c r="D258" s="8" t="s">
        <v>731</v>
      </c>
      <c r="E258" s="8" t="s">
        <v>731</v>
      </c>
      <c r="F258" s="8" t="s">
        <v>16</v>
      </c>
      <c r="G258" s="8" t="s">
        <v>37</v>
      </c>
      <c r="H258" s="8" t="s">
        <v>15</v>
      </c>
      <c r="I258" s="8" t="s">
        <v>519</v>
      </c>
      <c r="J258" s="8" t="s">
        <v>520</v>
      </c>
      <c r="K258" s="8" t="s">
        <v>442</v>
      </c>
      <c r="L258" s="8"/>
      <c r="M258" s="8" t="s">
        <v>169</v>
      </c>
      <c r="N258" s="8" t="s">
        <v>521</v>
      </c>
    </row>
    <row r="259" spans="2:14" x14ac:dyDescent="0.25">
      <c r="B259" s="51">
        <v>45071</v>
      </c>
      <c r="C259" s="10" t="s">
        <v>11</v>
      </c>
      <c r="D259" s="10" t="s">
        <v>66</v>
      </c>
      <c r="E259" s="10" t="s">
        <v>66</v>
      </c>
      <c r="F259" s="10" t="s">
        <v>16</v>
      </c>
      <c r="G259" s="10" t="s">
        <v>37</v>
      </c>
      <c r="H259" s="10" t="s">
        <v>15</v>
      </c>
      <c r="I259" s="10" t="s">
        <v>519</v>
      </c>
      <c r="J259" s="10" t="s">
        <v>520</v>
      </c>
      <c r="K259" s="10" t="s">
        <v>442</v>
      </c>
      <c r="L259" s="10"/>
      <c r="M259" s="10" t="s">
        <v>169</v>
      </c>
      <c r="N259" s="10" t="s">
        <v>521</v>
      </c>
    </row>
    <row r="260" spans="2:14" x14ac:dyDescent="0.25">
      <c r="B260" s="50">
        <v>45072</v>
      </c>
      <c r="C260" s="8" t="s">
        <v>11</v>
      </c>
      <c r="D260" s="8" t="s">
        <v>732</v>
      </c>
      <c r="E260" s="8" t="s">
        <v>732</v>
      </c>
      <c r="F260" s="8" t="s">
        <v>16</v>
      </c>
      <c r="G260" s="8" t="s">
        <v>37</v>
      </c>
      <c r="H260" s="8" t="s">
        <v>15</v>
      </c>
      <c r="I260" s="8" t="s">
        <v>519</v>
      </c>
      <c r="J260" s="8" t="s">
        <v>520</v>
      </c>
      <c r="K260" s="8" t="s">
        <v>442</v>
      </c>
      <c r="L260" s="8"/>
      <c r="M260" s="8" t="s">
        <v>169</v>
      </c>
      <c r="N260" s="8" t="s">
        <v>521</v>
      </c>
    </row>
    <row r="261" spans="2:14" x14ac:dyDescent="0.25">
      <c r="B261" s="51">
        <v>45076</v>
      </c>
      <c r="C261" s="10" t="s">
        <v>11</v>
      </c>
      <c r="D261" s="10" t="s">
        <v>733</v>
      </c>
      <c r="E261" s="10" t="s">
        <v>13</v>
      </c>
      <c r="F261" s="10" t="s">
        <v>16</v>
      </c>
      <c r="G261" s="10" t="s">
        <v>14</v>
      </c>
      <c r="H261" s="10" t="s">
        <v>15</v>
      </c>
      <c r="I261" s="10" t="s">
        <v>714</v>
      </c>
      <c r="J261" s="10" t="s">
        <v>63</v>
      </c>
      <c r="K261" s="10" t="s">
        <v>442</v>
      </c>
      <c r="L261" s="10"/>
      <c r="M261" s="10" t="s">
        <v>169</v>
      </c>
      <c r="N261" s="10" t="s">
        <v>715</v>
      </c>
    </row>
    <row r="262" spans="2:14" x14ac:dyDescent="0.25">
      <c r="B262" s="50">
        <v>45077</v>
      </c>
      <c r="C262" s="8" t="s">
        <v>11</v>
      </c>
      <c r="D262" s="8" t="s">
        <v>58</v>
      </c>
      <c r="E262" s="8" t="s">
        <v>13</v>
      </c>
      <c r="F262" s="8" t="s">
        <v>16</v>
      </c>
      <c r="G262" s="8" t="s">
        <v>14</v>
      </c>
      <c r="H262" s="8" t="s">
        <v>15</v>
      </c>
      <c r="I262" s="8" t="s">
        <v>714</v>
      </c>
      <c r="J262" s="8" t="s">
        <v>63</v>
      </c>
      <c r="K262" s="8" t="s">
        <v>442</v>
      </c>
      <c r="L262" s="8"/>
      <c r="M262" s="8" t="s">
        <v>169</v>
      </c>
      <c r="N262" s="8" t="s">
        <v>715</v>
      </c>
    </row>
    <row r="263" spans="2:14" x14ac:dyDescent="0.25">
      <c r="B263" s="51">
        <v>45077</v>
      </c>
      <c r="C263" s="10" t="s">
        <v>11</v>
      </c>
      <c r="D263" s="10" t="s">
        <v>57</v>
      </c>
      <c r="E263" s="10" t="s">
        <v>13</v>
      </c>
      <c r="F263" s="10" t="s">
        <v>16</v>
      </c>
      <c r="G263" s="10" t="s">
        <v>14</v>
      </c>
      <c r="H263" s="10" t="s">
        <v>15</v>
      </c>
      <c r="I263" s="10" t="s">
        <v>714</v>
      </c>
      <c r="J263" s="10" t="s">
        <v>63</v>
      </c>
      <c r="K263" s="10" t="s">
        <v>442</v>
      </c>
      <c r="L263" s="10"/>
      <c r="M263" s="10" t="s">
        <v>169</v>
      </c>
      <c r="N263" s="10" t="s">
        <v>715</v>
      </c>
    </row>
    <row r="264" spans="2:14" x14ac:dyDescent="0.25">
      <c r="B264" s="50">
        <v>45077</v>
      </c>
      <c r="C264" s="8" t="s">
        <v>11</v>
      </c>
      <c r="D264" s="8" t="s">
        <v>372</v>
      </c>
      <c r="E264" s="8" t="s">
        <v>13</v>
      </c>
      <c r="F264" s="8" t="s">
        <v>16</v>
      </c>
      <c r="G264" s="8" t="s">
        <v>14</v>
      </c>
      <c r="H264" s="8" t="s">
        <v>15</v>
      </c>
      <c r="I264" s="8" t="s">
        <v>714</v>
      </c>
      <c r="J264" s="8" t="s">
        <v>63</v>
      </c>
      <c r="K264" s="8" t="s">
        <v>442</v>
      </c>
      <c r="L264" s="8"/>
      <c r="M264" s="8" t="s">
        <v>169</v>
      </c>
      <c r="N264" s="8" t="s">
        <v>48</v>
      </c>
    </row>
    <row r="265" spans="2:14" x14ac:dyDescent="0.25">
      <c r="B265" s="51">
        <v>45077</v>
      </c>
      <c r="C265" s="10" t="s">
        <v>11</v>
      </c>
      <c r="D265" s="10" t="s">
        <v>56</v>
      </c>
      <c r="E265" s="10" t="s">
        <v>13</v>
      </c>
      <c r="F265" s="10" t="s">
        <v>16</v>
      </c>
      <c r="G265" s="10" t="s">
        <v>14</v>
      </c>
      <c r="H265" s="10" t="s">
        <v>15</v>
      </c>
      <c r="I265" s="10" t="s">
        <v>734</v>
      </c>
      <c r="J265" s="10" t="s">
        <v>63</v>
      </c>
      <c r="K265" s="10" t="s">
        <v>63</v>
      </c>
      <c r="L265" s="10"/>
      <c r="M265" s="10" t="s">
        <v>169</v>
      </c>
      <c r="N265" s="10" t="s">
        <v>735</v>
      </c>
    </row>
    <row r="266" spans="2:14" x14ac:dyDescent="0.25">
      <c r="B266" s="50">
        <v>45078</v>
      </c>
      <c r="C266" s="8" t="s">
        <v>11</v>
      </c>
      <c r="D266" s="8" t="s">
        <v>736</v>
      </c>
      <c r="E266" s="8"/>
      <c r="F266" s="8" t="s">
        <v>12</v>
      </c>
      <c r="G266" s="8" t="s">
        <v>37</v>
      </c>
      <c r="H266" s="8" t="s">
        <v>17</v>
      </c>
      <c r="I266" s="8" t="s">
        <v>264</v>
      </c>
      <c r="J266" s="8" t="s">
        <v>737</v>
      </c>
      <c r="K266" s="8" t="s">
        <v>348</v>
      </c>
      <c r="L266" s="8"/>
      <c r="M266" s="8" t="s">
        <v>169</v>
      </c>
      <c r="N266" s="8" t="s">
        <v>738</v>
      </c>
    </row>
    <row r="267" spans="2:14" x14ac:dyDescent="0.25">
      <c r="B267" s="51">
        <v>44929</v>
      </c>
      <c r="C267" s="10" t="s">
        <v>11</v>
      </c>
      <c r="D267" s="10" t="s">
        <v>739</v>
      </c>
      <c r="E267" s="10" t="s">
        <v>740</v>
      </c>
      <c r="F267" s="10" t="s">
        <v>12</v>
      </c>
      <c r="G267" s="10" t="s">
        <v>455</v>
      </c>
      <c r="H267" s="10" t="s">
        <v>17</v>
      </c>
      <c r="I267" s="10" t="s">
        <v>486</v>
      </c>
      <c r="J267" s="10" t="s">
        <v>487</v>
      </c>
      <c r="K267" s="10" t="s">
        <v>741</v>
      </c>
      <c r="L267" s="10"/>
      <c r="M267" s="10" t="s">
        <v>169</v>
      </c>
      <c r="N267" s="10" t="s">
        <v>453</v>
      </c>
    </row>
    <row r="268" spans="2:14" x14ac:dyDescent="0.25">
      <c r="B268" s="50">
        <v>44951</v>
      </c>
      <c r="C268" s="8" t="s">
        <v>11</v>
      </c>
      <c r="D268" s="8"/>
      <c r="E268" s="8" t="s">
        <v>742</v>
      </c>
      <c r="F268" s="8" t="s">
        <v>12</v>
      </c>
      <c r="G268" s="8" t="s">
        <v>3</v>
      </c>
      <c r="H268" s="8" t="s">
        <v>425</v>
      </c>
      <c r="I268" s="8" t="s">
        <v>743</v>
      </c>
      <c r="J268" s="8" t="s">
        <v>689</v>
      </c>
      <c r="K268" s="8" t="s">
        <v>744</v>
      </c>
      <c r="L268" s="8"/>
      <c r="M268" s="8" t="s">
        <v>169</v>
      </c>
      <c r="N268" s="8" t="s">
        <v>745</v>
      </c>
    </row>
    <row r="269" spans="2:14" x14ac:dyDescent="0.25">
      <c r="B269" s="51">
        <v>44970</v>
      </c>
      <c r="C269" s="10" t="s">
        <v>11</v>
      </c>
      <c r="D269" s="10" t="s">
        <v>746</v>
      </c>
      <c r="E269" s="10" t="s">
        <v>747</v>
      </c>
      <c r="F269" s="10" t="s">
        <v>12</v>
      </c>
      <c r="G269" s="10" t="s">
        <v>30</v>
      </c>
      <c r="H269" s="10" t="s">
        <v>425</v>
      </c>
      <c r="I269" s="10" t="s">
        <v>743</v>
      </c>
      <c r="J269" s="10" t="s">
        <v>689</v>
      </c>
      <c r="K269" s="10" t="s">
        <v>12</v>
      </c>
      <c r="L269" s="10"/>
      <c r="M269" s="10" t="s">
        <v>169</v>
      </c>
      <c r="N269" s="10" t="s">
        <v>748</v>
      </c>
    </row>
    <row r="270" spans="2:14" x14ac:dyDescent="0.25">
      <c r="B270" s="50">
        <v>44974</v>
      </c>
      <c r="C270" s="8" t="s">
        <v>11</v>
      </c>
      <c r="D270" s="8" t="s">
        <v>749</v>
      </c>
      <c r="E270" s="8"/>
      <c r="F270" s="8" t="s">
        <v>12</v>
      </c>
      <c r="G270" s="8" t="s">
        <v>289</v>
      </c>
      <c r="H270" s="8" t="s">
        <v>17</v>
      </c>
      <c r="I270" s="8" t="s">
        <v>750</v>
      </c>
      <c r="J270" s="8" t="s">
        <v>751</v>
      </c>
      <c r="K270" s="8" t="s">
        <v>12</v>
      </c>
      <c r="L270" s="8"/>
      <c r="M270" s="8" t="s">
        <v>169</v>
      </c>
      <c r="N270" s="8" t="s">
        <v>752</v>
      </c>
    </row>
    <row r="271" spans="2:14" x14ac:dyDescent="0.25">
      <c r="B271" s="51">
        <v>44993</v>
      </c>
      <c r="C271" s="10" t="s">
        <v>11</v>
      </c>
      <c r="D271" s="10" t="s">
        <v>753</v>
      </c>
      <c r="E271" s="10" t="s">
        <v>754</v>
      </c>
      <c r="F271" s="10" t="s">
        <v>12</v>
      </c>
      <c r="G271" s="10" t="s">
        <v>425</v>
      </c>
      <c r="H271" s="10" t="s">
        <v>425</v>
      </c>
      <c r="I271" s="10" t="s">
        <v>755</v>
      </c>
      <c r="J271" s="10" t="s">
        <v>722</v>
      </c>
      <c r="K271" s="10" t="s">
        <v>12</v>
      </c>
      <c r="L271" s="10"/>
      <c r="M271" s="10" t="s">
        <v>169</v>
      </c>
      <c r="N271" s="10" t="s">
        <v>756</v>
      </c>
    </row>
    <row r="272" spans="2:14" x14ac:dyDescent="0.25">
      <c r="B272" s="50">
        <v>45027</v>
      </c>
      <c r="C272" s="8" t="s">
        <v>11</v>
      </c>
      <c r="D272" s="8" t="s">
        <v>757</v>
      </c>
      <c r="E272" s="8"/>
      <c r="F272" s="8" t="s">
        <v>12</v>
      </c>
      <c r="G272" s="8" t="s">
        <v>30</v>
      </c>
      <c r="H272" s="8" t="s">
        <v>17</v>
      </c>
      <c r="I272" s="8" t="s">
        <v>60</v>
      </c>
      <c r="J272" s="8" t="s">
        <v>758</v>
      </c>
      <c r="K272" s="8" t="s">
        <v>12</v>
      </c>
      <c r="L272" s="8"/>
      <c r="M272" s="8" t="s">
        <v>169</v>
      </c>
      <c r="N272" s="8" t="s">
        <v>759</v>
      </c>
    </row>
    <row r="273" spans="2:14" x14ac:dyDescent="0.25">
      <c r="B273" s="51">
        <v>45033</v>
      </c>
      <c r="C273" s="10" t="s">
        <v>11</v>
      </c>
      <c r="D273" s="10" t="s">
        <v>760</v>
      </c>
      <c r="E273" s="10"/>
      <c r="F273" s="10" t="s">
        <v>12</v>
      </c>
      <c r="G273" s="10" t="s">
        <v>14</v>
      </c>
      <c r="H273" s="10" t="s">
        <v>17</v>
      </c>
      <c r="I273" s="10" t="s">
        <v>60</v>
      </c>
      <c r="J273" s="10" t="s">
        <v>31</v>
      </c>
      <c r="K273" s="10" t="s">
        <v>12</v>
      </c>
      <c r="L273" s="10"/>
      <c r="M273" s="10" t="s">
        <v>169</v>
      </c>
      <c r="N273" s="10" t="s">
        <v>761</v>
      </c>
    </row>
    <row r="274" spans="2:14" x14ac:dyDescent="0.25">
      <c r="B274" s="50">
        <v>45048</v>
      </c>
      <c r="C274" s="8" t="s">
        <v>11</v>
      </c>
      <c r="D274" s="8" t="s">
        <v>762</v>
      </c>
      <c r="E274" s="8"/>
      <c r="F274" s="8" t="s">
        <v>12</v>
      </c>
      <c r="G274" s="8" t="s">
        <v>27</v>
      </c>
      <c r="H274" s="8" t="s">
        <v>17</v>
      </c>
      <c r="I274" s="8" t="s">
        <v>198</v>
      </c>
      <c r="J274" s="8" t="s">
        <v>28</v>
      </c>
      <c r="K274" s="8" t="s">
        <v>12</v>
      </c>
      <c r="L274" s="8"/>
      <c r="M274" s="8" t="s">
        <v>169</v>
      </c>
      <c r="N274" s="8" t="s">
        <v>763</v>
      </c>
    </row>
    <row r="275" spans="2:14" x14ac:dyDescent="0.25">
      <c r="B275" s="51">
        <v>45063</v>
      </c>
      <c r="C275" s="10" t="s">
        <v>11</v>
      </c>
      <c r="D275" s="10" t="s">
        <v>764</v>
      </c>
      <c r="E275" s="10"/>
      <c r="F275" s="10" t="s">
        <v>12</v>
      </c>
      <c r="G275" s="10" t="s">
        <v>34</v>
      </c>
      <c r="H275" s="10" t="s">
        <v>17</v>
      </c>
      <c r="I275" s="10" t="s">
        <v>765</v>
      </c>
      <c r="J275" s="10" t="s">
        <v>35</v>
      </c>
      <c r="K275" s="10" t="s">
        <v>12</v>
      </c>
      <c r="L275" s="10"/>
      <c r="M275" s="10" t="s">
        <v>169</v>
      </c>
      <c r="N275" s="10"/>
    </row>
    <row r="276" spans="2:14" x14ac:dyDescent="0.25">
      <c r="B276" s="50">
        <v>45078</v>
      </c>
      <c r="C276" s="8" t="s">
        <v>11</v>
      </c>
      <c r="D276" s="8" t="s">
        <v>766</v>
      </c>
      <c r="E276" s="8" t="s">
        <v>767</v>
      </c>
      <c r="F276" s="8" t="s">
        <v>12</v>
      </c>
      <c r="G276" s="8" t="s">
        <v>425</v>
      </c>
      <c r="H276" s="8" t="s">
        <v>15</v>
      </c>
      <c r="I276" s="8" t="s">
        <v>768</v>
      </c>
      <c r="J276" s="8" t="s">
        <v>452</v>
      </c>
      <c r="K276" s="8" t="s">
        <v>12</v>
      </c>
      <c r="L276" s="8"/>
      <c r="M276" s="8" t="s">
        <v>169</v>
      </c>
      <c r="N276" s="8" t="s">
        <v>453</v>
      </c>
    </row>
    <row r="277" spans="2:14" x14ac:dyDescent="0.25">
      <c r="B277" s="51">
        <v>45078</v>
      </c>
      <c r="C277" s="10" t="s">
        <v>11</v>
      </c>
      <c r="D277" s="10" t="s">
        <v>769</v>
      </c>
      <c r="E277" s="10" t="s">
        <v>13</v>
      </c>
      <c r="F277" s="10" t="s">
        <v>16</v>
      </c>
      <c r="G277" s="10" t="s">
        <v>14</v>
      </c>
      <c r="H277" s="10" t="s">
        <v>15</v>
      </c>
      <c r="I277" s="10" t="s">
        <v>714</v>
      </c>
      <c r="J277" s="10" t="s">
        <v>63</v>
      </c>
      <c r="K277" s="10" t="s">
        <v>442</v>
      </c>
      <c r="L277" s="10"/>
      <c r="M277" s="10" t="s">
        <v>169</v>
      </c>
      <c r="N277" s="10" t="s">
        <v>715</v>
      </c>
    </row>
    <row r="278" spans="2:14" x14ac:dyDescent="0.25">
      <c r="B278" s="50">
        <v>45079</v>
      </c>
      <c r="C278" s="8" t="s">
        <v>11</v>
      </c>
      <c r="D278" s="8" t="s">
        <v>770</v>
      </c>
      <c r="E278" s="8" t="s">
        <v>770</v>
      </c>
      <c r="F278" s="8" t="s">
        <v>16</v>
      </c>
      <c r="G278" s="8" t="s">
        <v>37</v>
      </c>
      <c r="H278" s="8" t="s">
        <v>15</v>
      </c>
      <c r="I278" s="8" t="s">
        <v>519</v>
      </c>
      <c r="J278" s="8" t="s">
        <v>520</v>
      </c>
      <c r="K278" s="8" t="s">
        <v>442</v>
      </c>
      <c r="L278" s="8"/>
      <c r="M278" s="8" t="s">
        <v>169</v>
      </c>
      <c r="N278" s="8" t="s">
        <v>521</v>
      </c>
    </row>
    <row r="279" spans="2:14" x14ac:dyDescent="0.25">
      <c r="B279" s="51">
        <v>45079</v>
      </c>
      <c r="C279" s="10" t="s">
        <v>11</v>
      </c>
      <c r="D279" s="10" t="s">
        <v>378</v>
      </c>
      <c r="E279" s="10" t="s">
        <v>13</v>
      </c>
      <c r="F279" s="10" t="s">
        <v>16</v>
      </c>
      <c r="G279" s="10" t="s">
        <v>14</v>
      </c>
      <c r="H279" s="10" t="s">
        <v>15</v>
      </c>
      <c r="I279" s="10" t="s">
        <v>714</v>
      </c>
      <c r="J279" s="10" t="s">
        <v>63</v>
      </c>
      <c r="K279" s="10" t="s">
        <v>442</v>
      </c>
      <c r="L279" s="10"/>
      <c r="M279" s="10" t="s">
        <v>169</v>
      </c>
      <c r="N279" s="10" t="s">
        <v>715</v>
      </c>
    </row>
    <row r="280" spans="2:14" x14ac:dyDescent="0.25">
      <c r="B280" s="50">
        <v>45110</v>
      </c>
      <c r="C280" s="8" t="s">
        <v>11</v>
      </c>
      <c r="D280" s="8" t="s">
        <v>771</v>
      </c>
      <c r="E280" s="8"/>
      <c r="F280" s="8" t="s">
        <v>12</v>
      </c>
      <c r="G280" s="8" t="s">
        <v>30</v>
      </c>
      <c r="H280" s="8" t="s">
        <v>17</v>
      </c>
      <c r="I280" s="8" t="s">
        <v>272</v>
      </c>
      <c r="J280" s="8" t="s">
        <v>772</v>
      </c>
      <c r="K280" s="8" t="s">
        <v>12</v>
      </c>
      <c r="L280" s="8"/>
      <c r="M280" s="8" t="s">
        <v>169</v>
      </c>
      <c r="N280" s="8"/>
    </row>
    <row r="281" spans="2:14" x14ac:dyDescent="0.25">
      <c r="B281" s="51">
        <v>45028</v>
      </c>
      <c r="C281" s="10" t="s">
        <v>11</v>
      </c>
      <c r="D281" s="10" t="s">
        <v>773</v>
      </c>
      <c r="E281" s="10"/>
      <c r="F281" s="10" t="s">
        <v>12</v>
      </c>
      <c r="G281" s="10" t="s">
        <v>425</v>
      </c>
      <c r="H281" s="10" t="s">
        <v>425</v>
      </c>
      <c r="I281" s="10" t="s">
        <v>774</v>
      </c>
      <c r="J281" s="10" t="s">
        <v>452</v>
      </c>
      <c r="K281" s="10" t="s">
        <v>12</v>
      </c>
      <c r="L281" s="10"/>
      <c r="M281" s="10" t="s">
        <v>169</v>
      </c>
      <c r="N281" s="10" t="s">
        <v>775</v>
      </c>
    </row>
    <row r="282" spans="2:14" x14ac:dyDescent="0.25">
      <c r="B282" s="50">
        <v>45035</v>
      </c>
      <c r="C282" s="8" t="s">
        <v>11</v>
      </c>
      <c r="D282" s="8" t="s">
        <v>67</v>
      </c>
      <c r="E282" s="8"/>
      <c r="F282" s="8" t="s">
        <v>12</v>
      </c>
      <c r="G282" s="8" t="s">
        <v>14</v>
      </c>
      <c r="H282" s="8" t="s">
        <v>17</v>
      </c>
      <c r="I282" s="8" t="s">
        <v>776</v>
      </c>
      <c r="J282" s="8" t="s">
        <v>777</v>
      </c>
      <c r="K282" s="8" t="s">
        <v>12</v>
      </c>
      <c r="L282" s="8"/>
      <c r="M282" s="8" t="s">
        <v>169</v>
      </c>
      <c r="N282" s="8" t="s">
        <v>778</v>
      </c>
    </row>
    <row r="283" spans="2:14" x14ac:dyDescent="0.25">
      <c r="B283" s="51">
        <v>45096</v>
      </c>
      <c r="C283" s="10" t="s">
        <v>11</v>
      </c>
      <c r="D283" s="10" t="s">
        <v>779</v>
      </c>
      <c r="E283" s="10"/>
      <c r="F283" s="10" t="s">
        <v>12</v>
      </c>
      <c r="G283" s="10" t="s">
        <v>418</v>
      </c>
      <c r="H283" s="10" t="s">
        <v>17</v>
      </c>
      <c r="I283" s="10" t="s">
        <v>198</v>
      </c>
      <c r="J283" s="10" t="s">
        <v>394</v>
      </c>
      <c r="K283" s="10" t="s">
        <v>12</v>
      </c>
      <c r="L283" s="10"/>
      <c r="M283" s="10" t="s">
        <v>169</v>
      </c>
      <c r="N283" s="10" t="s">
        <v>453</v>
      </c>
    </row>
    <row r="284" spans="2:14" x14ac:dyDescent="0.25">
      <c r="B284" s="50">
        <v>45125</v>
      </c>
      <c r="C284" s="8" t="s">
        <v>11</v>
      </c>
      <c r="D284" s="8" t="s">
        <v>67</v>
      </c>
      <c r="E284" s="8"/>
      <c r="F284" s="8" t="s">
        <v>12</v>
      </c>
      <c r="G284" s="8" t="s">
        <v>14</v>
      </c>
      <c r="H284" s="8" t="s">
        <v>17</v>
      </c>
      <c r="I284" s="8" t="s">
        <v>68</v>
      </c>
      <c r="J284" s="8" t="s">
        <v>31</v>
      </c>
      <c r="K284" s="8" t="s">
        <v>12</v>
      </c>
      <c r="L284" s="8"/>
      <c r="M284" s="8" t="s">
        <v>169</v>
      </c>
      <c r="N284" s="8" t="s">
        <v>780</v>
      </c>
    </row>
    <row r="285" spans="2:14" x14ac:dyDescent="0.25">
      <c r="B285" s="51">
        <v>45126</v>
      </c>
      <c r="C285" s="10" t="s">
        <v>11</v>
      </c>
      <c r="D285" s="10" t="s">
        <v>781</v>
      </c>
      <c r="E285" s="10"/>
      <c r="F285" s="10" t="s">
        <v>12</v>
      </c>
      <c r="G285" s="10" t="s">
        <v>455</v>
      </c>
      <c r="H285" s="10" t="s">
        <v>17</v>
      </c>
      <c r="I285" s="10" t="s">
        <v>32</v>
      </c>
      <c r="J285" s="10" t="s">
        <v>782</v>
      </c>
      <c r="K285" s="10" t="s">
        <v>348</v>
      </c>
      <c r="L285" s="10"/>
      <c r="M285" s="10" t="s">
        <v>169</v>
      </c>
      <c r="N285" s="10" t="s">
        <v>783</v>
      </c>
    </row>
    <row r="286" spans="2:14" x14ac:dyDescent="0.25">
      <c r="B286" s="50">
        <v>45079</v>
      </c>
      <c r="C286" s="8" t="s">
        <v>11</v>
      </c>
      <c r="D286" s="8" t="s">
        <v>784</v>
      </c>
      <c r="E286" s="8" t="s">
        <v>13</v>
      </c>
      <c r="F286" s="8" t="s">
        <v>16</v>
      </c>
      <c r="G286" s="8" t="s">
        <v>30</v>
      </c>
      <c r="H286" s="8" t="s">
        <v>15</v>
      </c>
      <c r="I286" s="8" t="s">
        <v>785</v>
      </c>
      <c r="J286" s="8" t="s">
        <v>400</v>
      </c>
      <c r="K286" s="8" t="s">
        <v>442</v>
      </c>
      <c r="L286" s="8"/>
      <c r="M286" s="8" t="s">
        <v>169</v>
      </c>
      <c r="N286" s="8" t="s">
        <v>786</v>
      </c>
    </row>
    <row r="287" spans="2:14" x14ac:dyDescent="0.25">
      <c r="B287" s="51">
        <v>45082</v>
      </c>
      <c r="C287" s="10" t="s">
        <v>11</v>
      </c>
      <c r="D287" s="10" t="s">
        <v>787</v>
      </c>
      <c r="E287" s="10" t="s">
        <v>13</v>
      </c>
      <c r="F287" s="10" t="s">
        <v>16</v>
      </c>
      <c r="G287" s="10" t="s">
        <v>14</v>
      </c>
      <c r="H287" s="10" t="s">
        <v>15</v>
      </c>
      <c r="I287" s="10" t="s">
        <v>48</v>
      </c>
      <c r="J287" s="10" t="s">
        <v>63</v>
      </c>
      <c r="K287" s="10" t="s">
        <v>63</v>
      </c>
      <c r="L287" s="10"/>
      <c r="M287" s="10" t="s">
        <v>169</v>
      </c>
      <c r="N287" s="10" t="s">
        <v>788</v>
      </c>
    </row>
    <row r="288" spans="2:14" x14ac:dyDescent="0.25">
      <c r="B288" s="50">
        <v>45085</v>
      </c>
      <c r="C288" s="8" t="s">
        <v>11</v>
      </c>
      <c r="D288" s="8" t="s">
        <v>789</v>
      </c>
      <c r="E288" s="8" t="s">
        <v>790</v>
      </c>
      <c r="F288" s="8" t="s">
        <v>16</v>
      </c>
      <c r="G288" s="8" t="s">
        <v>36</v>
      </c>
      <c r="H288" s="8" t="s">
        <v>17</v>
      </c>
      <c r="I288" s="8" t="s">
        <v>276</v>
      </c>
      <c r="J288" s="8" t="s">
        <v>791</v>
      </c>
      <c r="K288" s="8" t="s">
        <v>442</v>
      </c>
      <c r="L288" s="8"/>
      <c r="M288" s="8" t="s">
        <v>169</v>
      </c>
      <c r="N288" s="8" t="s">
        <v>792</v>
      </c>
    </row>
    <row r="289" spans="2:14" x14ac:dyDescent="0.25">
      <c r="B289" s="51">
        <v>45085</v>
      </c>
      <c r="C289" s="10" t="s">
        <v>510</v>
      </c>
      <c r="D289" s="10" t="s">
        <v>574</v>
      </c>
      <c r="E289" s="10" t="s">
        <v>510</v>
      </c>
      <c r="F289" s="10" t="s">
        <v>16</v>
      </c>
      <c r="G289" s="10" t="s">
        <v>510</v>
      </c>
      <c r="H289" s="10" t="s">
        <v>17</v>
      </c>
      <c r="I289" s="10" t="s">
        <v>793</v>
      </c>
      <c r="J289" s="10" t="s">
        <v>512</v>
      </c>
      <c r="K289" s="10" t="s">
        <v>794</v>
      </c>
      <c r="L289" s="10"/>
      <c r="M289" s="10" t="s">
        <v>169</v>
      </c>
      <c r="N289" s="10" t="s">
        <v>795</v>
      </c>
    </row>
    <row r="290" spans="2:14" x14ac:dyDescent="0.25">
      <c r="B290" s="50">
        <v>45099</v>
      </c>
      <c r="C290" s="8" t="s">
        <v>11</v>
      </c>
      <c r="D290" s="8" t="s">
        <v>65</v>
      </c>
      <c r="E290" s="8" t="s">
        <v>13</v>
      </c>
      <c r="F290" s="8" t="s">
        <v>16</v>
      </c>
      <c r="G290" s="8" t="s">
        <v>14</v>
      </c>
      <c r="H290" s="8" t="s">
        <v>15</v>
      </c>
      <c r="I290" s="8" t="s">
        <v>48</v>
      </c>
      <c r="J290" s="8" t="s">
        <v>63</v>
      </c>
      <c r="K290" s="8" t="s">
        <v>442</v>
      </c>
      <c r="L290" s="8"/>
      <c r="M290" s="8" t="s">
        <v>169</v>
      </c>
      <c r="N290" s="8" t="s">
        <v>788</v>
      </c>
    </row>
    <row r="291" spans="2:14" x14ac:dyDescent="0.25">
      <c r="B291" s="51">
        <v>44897</v>
      </c>
      <c r="C291" s="10" t="s">
        <v>11</v>
      </c>
      <c r="D291" s="10" t="s">
        <v>252</v>
      </c>
      <c r="E291" s="10"/>
      <c r="F291" s="10" t="s">
        <v>12</v>
      </c>
      <c r="G291" s="10" t="s">
        <v>3</v>
      </c>
      <c r="H291" s="10" t="s">
        <v>17</v>
      </c>
      <c r="I291" s="10" t="s">
        <v>276</v>
      </c>
      <c r="J291" s="10" t="s">
        <v>582</v>
      </c>
      <c r="K291" s="10" t="s">
        <v>348</v>
      </c>
      <c r="L291" s="10"/>
      <c r="M291" s="10" t="s">
        <v>169</v>
      </c>
      <c r="N291" s="11" t="s">
        <v>169</v>
      </c>
    </row>
    <row r="292" spans="2:14" x14ac:dyDescent="0.25">
      <c r="B292" s="50">
        <v>44971</v>
      </c>
      <c r="C292" s="8" t="s">
        <v>11</v>
      </c>
      <c r="D292" s="8" t="s">
        <v>796</v>
      </c>
      <c r="E292" s="8" t="s">
        <v>797</v>
      </c>
      <c r="F292" s="8" t="s">
        <v>12</v>
      </c>
      <c r="G292" s="8" t="s">
        <v>36</v>
      </c>
      <c r="H292" s="8" t="s">
        <v>17</v>
      </c>
      <c r="I292" s="8" t="s">
        <v>798</v>
      </c>
      <c r="J292" s="8" t="s">
        <v>290</v>
      </c>
      <c r="K292" s="8" t="s">
        <v>12</v>
      </c>
      <c r="L292" s="8"/>
      <c r="M292" s="8" t="s">
        <v>169</v>
      </c>
      <c r="N292" s="8" t="s">
        <v>645</v>
      </c>
    </row>
    <row r="293" spans="2:14" x14ac:dyDescent="0.25">
      <c r="B293" s="51">
        <v>45123</v>
      </c>
      <c r="C293" s="10" t="s">
        <v>11</v>
      </c>
      <c r="D293" s="10" t="s">
        <v>799</v>
      </c>
      <c r="E293" s="10" t="s">
        <v>790</v>
      </c>
      <c r="F293" s="10" t="s">
        <v>12</v>
      </c>
      <c r="G293" s="10" t="s">
        <v>425</v>
      </c>
      <c r="H293" s="10" t="s">
        <v>425</v>
      </c>
      <c r="I293" s="10" t="s">
        <v>696</v>
      </c>
      <c r="J293" s="10" t="s">
        <v>427</v>
      </c>
      <c r="K293" s="10" t="s">
        <v>12</v>
      </c>
      <c r="L293" s="10"/>
      <c r="M293" s="10" t="s">
        <v>169</v>
      </c>
      <c r="N293" s="10" t="s">
        <v>453</v>
      </c>
    </row>
    <row r="294" spans="2:14" x14ac:dyDescent="0.25">
      <c r="B294" s="50">
        <v>45103</v>
      </c>
      <c r="C294" s="8" t="s">
        <v>11</v>
      </c>
      <c r="D294" s="8" t="s">
        <v>800</v>
      </c>
      <c r="E294" s="8" t="s">
        <v>801</v>
      </c>
      <c r="F294" s="8" t="s">
        <v>16</v>
      </c>
      <c r="G294" s="8" t="s">
        <v>36</v>
      </c>
      <c r="H294" s="8" t="s">
        <v>17</v>
      </c>
      <c r="I294" s="8" t="s">
        <v>276</v>
      </c>
      <c r="J294" s="8" t="s">
        <v>802</v>
      </c>
      <c r="K294" s="8" t="s">
        <v>540</v>
      </c>
      <c r="L294" s="8"/>
      <c r="M294" s="8" t="s">
        <v>169</v>
      </c>
      <c r="N294" s="8" t="s">
        <v>803</v>
      </c>
    </row>
    <row r="295" spans="2:14" x14ac:dyDescent="0.25">
      <c r="B295" s="51">
        <v>45139</v>
      </c>
      <c r="C295" s="10" t="s">
        <v>11</v>
      </c>
      <c r="D295" s="10" t="s">
        <v>804</v>
      </c>
      <c r="E295" s="10" t="s">
        <v>805</v>
      </c>
      <c r="F295" s="10" t="s">
        <v>12</v>
      </c>
      <c r="G295" s="10" t="s">
        <v>14</v>
      </c>
      <c r="H295" s="10" t="s">
        <v>17</v>
      </c>
      <c r="I295" s="10" t="s">
        <v>806</v>
      </c>
      <c r="J295" s="10" t="s">
        <v>807</v>
      </c>
      <c r="K295" s="10" t="s">
        <v>12</v>
      </c>
      <c r="L295" s="10"/>
      <c r="M295" s="10" t="s">
        <v>169</v>
      </c>
      <c r="N295" s="10" t="s">
        <v>69</v>
      </c>
    </row>
    <row r="296" spans="2:14" x14ac:dyDescent="0.25">
      <c r="B296" s="50">
        <v>45028</v>
      </c>
      <c r="C296" s="8" t="s">
        <v>11</v>
      </c>
      <c r="D296" s="8" t="s">
        <v>808</v>
      </c>
      <c r="E296" s="8" t="s">
        <v>809</v>
      </c>
      <c r="F296" s="8" t="s">
        <v>12</v>
      </c>
      <c r="G296" s="8" t="s">
        <v>425</v>
      </c>
      <c r="H296" s="8" t="s">
        <v>425</v>
      </c>
      <c r="I296" s="8" t="s">
        <v>768</v>
      </c>
      <c r="J296" s="8" t="s">
        <v>427</v>
      </c>
      <c r="K296" s="8" t="s">
        <v>427</v>
      </c>
      <c r="L296" s="8"/>
      <c r="M296" s="8" t="s">
        <v>169</v>
      </c>
      <c r="N296" s="8" t="s">
        <v>810</v>
      </c>
    </row>
    <row r="297" spans="2:14" x14ac:dyDescent="0.25">
      <c r="B297" s="51">
        <v>45135</v>
      </c>
      <c r="C297" s="10" t="s">
        <v>11</v>
      </c>
      <c r="D297" s="10" t="s">
        <v>811</v>
      </c>
      <c r="E297" s="10"/>
      <c r="F297" s="10" t="s">
        <v>12</v>
      </c>
      <c r="G297" s="10" t="s">
        <v>37</v>
      </c>
      <c r="H297" s="10" t="s">
        <v>17</v>
      </c>
      <c r="I297" s="10" t="s">
        <v>198</v>
      </c>
      <c r="J297" s="10" t="s">
        <v>38</v>
      </c>
      <c r="K297" s="10" t="s">
        <v>12</v>
      </c>
      <c r="L297" s="10"/>
      <c r="M297" s="10" t="s">
        <v>169</v>
      </c>
      <c r="N297" s="10" t="s">
        <v>70</v>
      </c>
    </row>
    <row r="298" spans="2:14" x14ac:dyDescent="0.25">
      <c r="B298" s="50">
        <v>45135</v>
      </c>
      <c r="C298" s="8" t="s">
        <v>11</v>
      </c>
      <c r="D298" s="8" t="s">
        <v>812</v>
      </c>
      <c r="E298" s="8"/>
      <c r="F298" s="8" t="s">
        <v>12</v>
      </c>
      <c r="G298" s="8" t="s">
        <v>14</v>
      </c>
      <c r="H298" s="8" t="s">
        <v>17</v>
      </c>
      <c r="I298" s="8" t="s">
        <v>813</v>
      </c>
      <c r="J298" s="8" t="s">
        <v>318</v>
      </c>
      <c r="K298" s="8" t="s">
        <v>12</v>
      </c>
      <c r="L298" s="8"/>
      <c r="M298" s="8" t="s">
        <v>169</v>
      </c>
      <c r="N298" s="8" t="s">
        <v>814</v>
      </c>
    </row>
    <row r="299" spans="2:14" x14ac:dyDescent="0.25">
      <c r="B299" s="51">
        <v>45140</v>
      </c>
      <c r="C299" s="10" t="s">
        <v>11</v>
      </c>
      <c r="D299" s="10" t="s">
        <v>815</v>
      </c>
      <c r="E299" s="10"/>
      <c r="F299" s="10" t="s">
        <v>12</v>
      </c>
      <c r="G299" s="10" t="s">
        <v>14</v>
      </c>
      <c r="H299" s="10" t="s">
        <v>17</v>
      </c>
      <c r="I299" s="10" t="s">
        <v>71</v>
      </c>
      <c r="J299" s="10" t="s">
        <v>782</v>
      </c>
      <c r="K299" s="10" t="s">
        <v>12</v>
      </c>
      <c r="L299" s="10"/>
      <c r="M299" s="10" t="s">
        <v>169</v>
      </c>
      <c r="N299" s="10" t="s">
        <v>469</v>
      </c>
    </row>
    <row r="300" spans="2:14" x14ac:dyDescent="0.25">
      <c r="B300" s="50">
        <v>45142</v>
      </c>
      <c r="C300" s="8" t="s">
        <v>11</v>
      </c>
      <c r="D300" s="8" t="s">
        <v>816</v>
      </c>
      <c r="E300" s="8" t="s">
        <v>817</v>
      </c>
      <c r="F300" s="8" t="s">
        <v>12</v>
      </c>
      <c r="G300" s="8" t="s">
        <v>36</v>
      </c>
      <c r="H300" s="8" t="s">
        <v>425</v>
      </c>
      <c r="I300" s="8" t="s">
        <v>818</v>
      </c>
      <c r="J300" s="8" t="s">
        <v>51</v>
      </c>
      <c r="K300" s="8" t="s">
        <v>12</v>
      </c>
      <c r="L300" s="8"/>
      <c r="M300" s="8" t="s">
        <v>169</v>
      </c>
      <c r="N300" s="8" t="s">
        <v>819</v>
      </c>
    </row>
    <row r="301" spans="2:14" x14ac:dyDescent="0.25">
      <c r="B301" s="51">
        <v>45142</v>
      </c>
      <c r="C301" s="10" t="s">
        <v>11</v>
      </c>
      <c r="D301" s="10" t="s">
        <v>820</v>
      </c>
      <c r="E301" s="10"/>
      <c r="F301" s="10" t="s">
        <v>12</v>
      </c>
      <c r="G301" s="10" t="s">
        <v>37</v>
      </c>
      <c r="H301" s="10" t="s">
        <v>17</v>
      </c>
      <c r="I301" s="10" t="s">
        <v>264</v>
      </c>
      <c r="J301" s="10" t="s">
        <v>821</v>
      </c>
      <c r="K301" s="10" t="s">
        <v>12</v>
      </c>
      <c r="L301" s="10"/>
      <c r="M301" s="10" t="s">
        <v>169</v>
      </c>
      <c r="N301" s="10" t="s">
        <v>822</v>
      </c>
    </row>
    <row r="302" spans="2:14" x14ac:dyDescent="0.25">
      <c r="B302" s="50">
        <v>45110</v>
      </c>
      <c r="C302" s="8" t="s">
        <v>11</v>
      </c>
      <c r="D302" s="8" t="s">
        <v>823</v>
      </c>
      <c r="E302" s="8" t="s">
        <v>823</v>
      </c>
      <c r="F302" s="8" t="s">
        <v>16</v>
      </c>
      <c r="G302" s="8" t="s">
        <v>37</v>
      </c>
      <c r="H302" s="8" t="s">
        <v>15</v>
      </c>
      <c r="I302" s="8" t="s">
        <v>519</v>
      </c>
      <c r="J302" s="8" t="s">
        <v>520</v>
      </c>
      <c r="K302" s="8" t="s">
        <v>520</v>
      </c>
      <c r="L302" s="8"/>
      <c r="M302" s="8" t="s">
        <v>169</v>
      </c>
      <c r="N302" s="8" t="s">
        <v>521</v>
      </c>
    </row>
    <row r="303" spans="2:14" x14ac:dyDescent="0.25">
      <c r="B303" s="51">
        <v>45132</v>
      </c>
      <c r="C303" s="10" t="s">
        <v>11</v>
      </c>
      <c r="D303" s="10" t="s">
        <v>824</v>
      </c>
      <c r="E303" s="10" t="s">
        <v>825</v>
      </c>
      <c r="F303" s="10" t="s">
        <v>12</v>
      </c>
      <c r="G303" s="10" t="s">
        <v>34</v>
      </c>
      <c r="H303" s="10" t="s">
        <v>17</v>
      </c>
      <c r="I303" s="10" t="s">
        <v>60</v>
      </c>
      <c r="J303" s="10" t="s">
        <v>826</v>
      </c>
      <c r="K303" s="10" t="s">
        <v>826</v>
      </c>
      <c r="L303" s="10"/>
      <c r="M303" s="10" t="s">
        <v>169</v>
      </c>
      <c r="N303" s="10" t="s">
        <v>827</v>
      </c>
    </row>
    <row r="304" spans="2:14" x14ac:dyDescent="0.25">
      <c r="B304" s="50">
        <v>45135</v>
      </c>
      <c r="C304" s="8" t="s">
        <v>1087</v>
      </c>
      <c r="D304" s="8" t="s">
        <v>828</v>
      </c>
      <c r="E304" s="8"/>
      <c r="F304" s="8" t="s">
        <v>12</v>
      </c>
      <c r="G304" s="8" t="s">
        <v>829</v>
      </c>
      <c r="H304" s="8" t="s">
        <v>17</v>
      </c>
      <c r="I304" s="8" t="s">
        <v>830</v>
      </c>
      <c r="J304" s="8" t="s">
        <v>831</v>
      </c>
      <c r="K304" s="8" t="s">
        <v>12</v>
      </c>
      <c r="L304" s="8"/>
      <c r="M304" s="8" t="s">
        <v>169</v>
      </c>
      <c r="N304" s="8" t="s">
        <v>469</v>
      </c>
    </row>
    <row r="305" spans="2:14" x14ac:dyDescent="0.25">
      <c r="B305" s="51">
        <v>45120</v>
      </c>
      <c r="C305" s="10" t="s">
        <v>11</v>
      </c>
      <c r="D305" s="10" t="s">
        <v>832</v>
      </c>
      <c r="E305" s="10" t="s">
        <v>13</v>
      </c>
      <c r="F305" s="10" t="s">
        <v>16</v>
      </c>
      <c r="G305" s="10" t="s">
        <v>14</v>
      </c>
      <c r="H305" s="10" t="s">
        <v>15</v>
      </c>
      <c r="I305" s="10" t="s">
        <v>714</v>
      </c>
      <c r="J305" s="10" t="s">
        <v>63</v>
      </c>
      <c r="K305" s="10" t="s">
        <v>442</v>
      </c>
      <c r="L305" s="10"/>
      <c r="M305" s="10" t="s">
        <v>169</v>
      </c>
      <c r="N305" s="10" t="s">
        <v>715</v>
      </c>
    </row>
    <row r="306" spans="2:14" x14ac:dyDescent="0.25">
      <c r="B306" s="50">
        <v>45120</v>
      </c>
      <c r="C306" s="8" t="s">
        <v>11</v>
      </c>
      <c r="D306" s="8" t="s">
        <v>833</v>
      </c>
      <c r="E306" s="8" t="s">
        <v>13</v>
      </c>
      <c r="F306" s="8" t="s">
        <v>16</v>
      </c>
      <c r="G306" s="8" t="s">
        <v>14</v>
      </c>
      <c r="H306" s="8" t="s">
        <v>15</v>
      </c>
      <c r="I306" s="8" t="s">
        <v>714</v>
      </c>
      <c r="J306" s="8" t="s">
        <v>63</v>
      </c>
      <c r="K306" s="8" t="s">
        <v>442</v>
      </c>
      <c r="L306" s="8"/>
      <c r="M306" s="8" t="s">
        <v>169</v>
      </c>
      <c r="N306" s="8" t="s">
        <v>715</v>
      </c>
    </row>
    <row r="307" spans="2:14" x14ac:dyDescent="0.25">
      <c r="B307" s="51">
        <v>45138</v>
      </c>
      <c r="C307" s="10" t="s">
        <v>11</v>
      </c>
      <c r="D307" s="10" t="s">
        <v>825</v>
      </c>
      <c r="E307" s="10" t="s">
        <v>825</v>
      </c>
      <c r="F307" s="10" t="s">
        <v>16</v>
      </c>
      <c r="G307" s="10" t="s">
        <v>37</v>
      </c>
      <c r="H307" s="10" t="s">
        <v>15</v>
      </c>
      <c r="I307" s="10" t="s">
        <v>519</v>
      </c>
      <c r="J307" s="10" t="s">
        <v>520</v>
      </c>
      <c r="K307" s="10" t="s">
        <v>520</v>
      </c>
      <c r="L307" s="10"/>
      <c r="M307" s="10" t="s">
        <v>169</v>
      </c>
      <c r="N307" s="10" t="s">
        <v>521</v>
      </c>
    </row>
    <row r="308" spans="2:14" x14ac:dyDescent="0.25">
      <c r="B308" s="50">
        <v>45152</v>
      </c>
      <c r="C308" s="8" t="s">
        <v>11</v>
      </c>
      <c r="D308" s="8" t="s">
        <v>834</v>
      </c>
      <c r="E308" s="8"/>
      <c r="F308" s="8" t="s">
        <v>12</v>
      </c>
      <c r="G308" s="8" t="s">
        <v>14</v>
      </c>
      <c r="H308" s="8" t="s">
        <v>15</v>
      </c>
      <c r="I308" s="8" t="s">
        <v>41</v>
      </c>
      <c r="J308" s="8" t="s">
        <v>782</v>
      </c>
      <c r="K308" s="8" t="s">
        <v>782</v>
      </c>
      <c r="L308" s="8"/>
      <c r="M308" s="8" t="s">
        <v>169</v>
      </c>
      <c r="N308" s="8" t="s">
        <v>835</v>
      </c>
    </row>
    <row r="309" spans="2:14" x14ac:dyDescent="0.25">
      <c r="B309" s="51">
        <v>45154</v>
      </c>
      <c r="C309" s="10" t="s">
        <v>11</v>
      </c>
      <c r="D309" s="10" t="s">
        <v>705</v>
      </c>
      <c r="E309" s="10"/>
      <c r="F309" s="10" t="s">
        <v>12</v>
      </c>
      <c r="G309" s="10" t="s">
        <v>455</v>
      </c>
      <c r="H309" s="10" t="s">
        <v>15</v>
      </c>
      <c r="I309" s="10" t="s">
        <v>836</v>
      </c>
      <c r="J309" s="10" t="s">
        <v>837</v>
      </c>
      <c r="K309" s="10" t="s">
        <v>348</v>
      </c>
      <c r="L309" s="10"/>
      <c r="M309" s="10" t="s">
        <v>169</v>
      </c>
      <c r="N309" s="10" t="s">
        <v>838</v>
      </c>
    </row>
    <row r="310" spans="2:14" x14ac:dyDescent="0.25">
      <c r="B310" s="50">
        <v>45141</v>
      </c>
      <c r="C310" s="8" t="s">
        <v>11</v>
      </c>
      <c r="D310" s="8" t="s">
        <v>684</v>
      </c>
      <c r="E310" s="8" t="s">
        <v>839</v>
      </c>
      <c r="F310" s="8" t="s">
        <v>16</v>
      </c>
      <c r="G310" s="8" t="s">
        <v>14</v>
      </c>
      <c r="H310" s="8" t="s">
        <v>15</v>
      </c>
      <c r="I310" s="8" t="s">
        <v>840</v>
      </c>
      <c r="J310" s="8" t="s">
        <v>31</v>
      </c>
      <c r="K310" s="8" t="s">
        <v>28</v>
      </c>
      <c r="L310" s="8"/>
      <c r="M310" s="8" t="s">
        <v>169</v>
      </c>
      <c r="N310" s="8" t="s">
        <v>841</v>
      </c>
    </row>
    <row r="311" spans="2:14" x14ac:dyDescent="0.25">
      <c r="B311" s="51">
        <v>45142</v>
      </c>
      <c r="C311" s="10" t="s">
        <v>11</v>
      </c>
      <c r="D311" s="10" t="s">
        <v>459</v>
      </c>
      <c r="E311" s="10" t="s">
        <v>842</v>
      </c>
      <c r="F311" s="10" t="s">
        <v>12</v>
      </c>
      <c r="G311" s="10" t="s">
        <v>36</v>
      </c>
      <c r="H311" s="10" t="s">
        <v>17</v>
      </c>
      <c r="I311" s="10" t="s">
        <v>843</v>
      </c>
      <c r="J311" s="10" t="s">
        <v>626</v>
      </c>
      <c r="K311" s="10" t="s">
        <v>12</v>
      </c>
      <c r="L311" s="10"/>
      <c r="M311" s="10" t="s">
        <v>169</v>
      </c>
      <c r="N311" s="10" t="s">
        <v>844</v>
      </c>
    </row>
    <row r="312" spans="2:14" x14ac:dyDescent="0.25">
      <c r="B312" s="50">
        <v>44961</v>
      </c>
      <c r="C312" s="8" t="s">
        <v>11</v>
      </c>
      <c r="D312" s="8" t="s">
        <v>845</v>
      </c>
      <c r="E312" s="8" t="s">
        <v>485</v>
      </c>
      <c r="F312" s="8" t="s">
        <v>12</v>
      </c>
      <c r="G312" s="8" t="s">
        <v>425</v>
      </c>
      <c r="H312" s="8" t="s">
        <v>425</v>
      </c>
      <c r="I312" s="8" t="s">
        <v>768</v>
      </c>
      <c r="J312" s="8" t="s">
        <v>452</v>
      </c>
      <c r="K312" s="8" t="s">
        <v>12</v>
      </c>
      <c r="L312" s="8"/>
      <c r="M312" s="8" t="s">
        <v>169</v>
      </c>
      <c r="N312" s="8" t="s">
        <v>453</v>
      </c>
    </row>
    <row r="313" spans="2:14" x14ac:dyDescent="0.25">
      <c r="B313" s="51">
        <v>44993</v>
      </c>
      <c r="C313" s="10" t="s">
        <v>11</v>
      </c>
      <c r="D313" s="10" t="s">
        <v>846</v>
      </c>
      <c r="E313" s="10"/>
      <c r="F313" s="10" t="s">
        <v>12</v>
      </c>
      <c r="G313" s="10" t="s">
        <v>30</v>
      </c>
      <c r="H313" s="10" t="s">
        <v>17</v>
      </c>
      <c r="I313" s="10" t="s">
        <v>234</v>
      </c>
      <c r="J313" s="10" t="s">
        <v>290</v>
      </c>
      <c r="K313" s="10" t="s">
        <v>12</v>
      </c>
      <c r="L313" s="10"/>
      <c r="M313" s="10" t="s">
        <v>169</v>
      </c>
      <c r="N313" s="10" t="s">
        <v>453</v>
      </c>
    </row>
    <row r="314" spans="2:14" x14ac:dyDescent="0.25">
      <c r="B314" s="50">
        <v>45079</v>
      </c>
      <c r="C314" s="8" t="s">
        <v>11</v>
      </c>
      <c r="D314" s="8" t="s">
        <v>847</v>
      </c>
      <c r="E314" s="8" t="s">
        <v>40</v>
      </c>
      <c r="F314" s="8" t="s">
        <v>12</v>
      </c>
      <c r="G314" s="8" t="s">
        <v>425</v>
      </c>
      <c r="H314" s="8" t="s">
        <v>425</v>
      </c>
      <c r="I314" s="8" t="s">
        <v>696</v>
      </c>
      <c r="J314" s="8" t="s">
        <v>51</v>
      </c>
      <c r="K314" s="8" t="s">
        <v>12</v>
      </c>
      <c r="L314" s="8"/>
      <c r="M314" s="8" t="s">
        <v>169</v>
      </c>
      <c r="N314" s="8" t="s">
        <v>848</v>
      </c>
    </row>
    <row r="315" spans="2:14" x14ac:dyDescent="0.25">
      <c r="B315" s="51">
        <v>45096</v>
      </c>
      <c r="C315" s="10" t="s">
        <v>11</v>
      </c>
      <c r="D315" s="10" t="s">
        <v>849</v>
      </c>
      <c r="E315" s="10"/>
      <c r="F315" s="10" t="s">
        <v>12</v>
      </c>
      <c r="G315" s="10" t="s">
        <v>233</v>
      </c>
      <c r="H315" s="10" t="s">
        <v>17</v>
      </c>
      <c r="I315" s="10" t="s">
        <v>71</v>
      </c>
      <c r="J315" s="10" t="s">
        <v>647</v>
      </c>
      <c r="K315" s="10" t="s">
        <v>12</v>
      </c>
      <c r="L315" s="10"/>
      <c r="M315" s="10" t="s">
        <v>169</v>
      </c>
      <c r="N315" s="10" t="s">
        <v>850</v>
      </c>
    </row>
    <row r="316" spans="2:14" x14ac:dyDescent="0.25">
      <c r="B316" s="50">
        <v>45096</v>
      </c>
      <c r="C316" s="8" t="s">
        <v>11</v>
      </c>
      <c r="D316" s="8" t="s">
        <v>851</v>
      </c>
      <c r="E316" s="8"/>
      <c r="F316" s="8" t="s">
        <v>12</v>
      </c>
      <c r="G316" s="8" t="s">
        <v>36</v>
      </c>
      <c r="H316" s="8" t="s">
        <v>17</v>
      </c>
      <c r="I316" s="8" t="s">
        <v>198</v>
      </c>
      <c r="J316" s="8" t="s">
        <v>452</v>
      </c>
      <c r="K316" s="8" t="s">
        <v>12</v>
      </c>
      <c r="L316" s="8"/>
      <c r="M316" s="8" t="s">
        <v>169</v>
      </c>
      <c r="N316" s="8" t="s">
        <v>531</v>
      </c>
    </row>
    <row r="317" spans="2:14" x14ac:dyDescent="0.25">
      <c r="B317" s="51">
        <v>45147</v>
      </c>
      <c r="C317" s="10" t="s">
        <v>11</v>
      </c>
      <c r="D317" s="10" t="s">
        <v>787</v>
      </c>
      <c r="E317" s="10" t="s">
        <v>13</v>
      </c>
      <c r="F317" s="10" t="s">
        <v>16</v>
      </c>
      <c r="G317" s="10" t="s">
        <v>14</v>
      </c>
      <c r="H317" s="10" t="s">
        <v>15</v>
      </c>
      <c r="I317" s="10" t="s">
        <v>48</v>
      </c>
      <c r="J317" s="10" t="s">
        <v>63</v>
      </c>
      <c r="K317" s="10" t="s">
        <v>442</v>
      </c>
      <c r="L317" s="10"/>
      <c r="M317" s="10" t="s">
        <v>169</v>
      </c>
      <c r="N317" s="10" t="s">
        <v>788</v>
      </c>
    </row>
    <row r="318" spans="2:14" x14ac:dyDescent="0.25">
      <c r="B318" s="50">
        <v>45168</v>
      </c>
      <c r="C318" s="8" t="s">
        <v>11</v>
      </c>
      <c r="D318" s="8" t="s">
        <v>852</v>
      </c>
      <c r="E318" s="8"/>
      <c r="F318" s="8" t="s">
        <v>12</v>
      </c>
      <c r="G318" s="8" t="s">
        <v>233</v>
      </c>
      <c r="H318" s="8" t="s">
        <v>17</v>
      </c>
      <c r="I318" s="8" t="s">
        <v>32</v>
      </c>
      <c r="J318" s="8" t="s">
        <v>647</v>
      </c>
      <c r="K318" s="8" t="s">
        <v>12</v>
      </c>
      <c r="L318" s="8"/>
      <c r="M318" s="8" t="s">
        <v>169</v>
      </c>
      <c r="N318" s="8" t="s">
        <v>453</v>
      </c>
    </row>
    <row r="319" spans="2:14" x14ac:dyDescent="0.25">
      <c r="B319" s="51">
        <v>45152</v>
      </c>
      <c r="C319" s="10" t="s">
        <v>11</v>
      </c>
      <c r="D319" s="10" t="s">
        <v>853</v>
      </c>
      <c r="E319" s="10" t="s">
        <v>13</v>
      </c>
      <c r="F319" s="10" t="s">
        <v>16</v>
      </c>
      <c r="G319" s="10" t="s">
        <v>14</v>
      </c>
      <c r="H319" s="10" t="s">
        <v>15</v>
      </c>
      <c r="I319" s="10" t="s">
        <v>48</v>
      </c>
      <c r="J319" s="10" t="s">
        <v>63</v>
      </c>
      <c r="K319" s="10" t="s">
        <v>442</v>
      </c>
      <c r="L319" s="10"/>
      <c r="M319" s="10" t="s">
        <v>169</v>
      </c>
      <c r="N319" s="10" t="s">
        <v>788</v>
      </c>
    </row>
    <row r="320" spans="2:14" x14ac:dyDescent="0.25">
      <c r="B320" s="50">
        <v>45152</v>
      </c>
      <c r="C320" s="8" t="s">
        <v>11</v>
      </c>
      <c r="D320" s="8" t="s">
        <v>854</v>
      </c>
      <c r="E320" s="8" t="s">
        <v>13</v>
      </c>
      <c r="F320" s="8" t="s">
        <v>16</v>
      </c>
      <c r="G320" s="8" t="s">
        <v>14</v>
      </c>
      <c r="H320" s="8" t="s">
        <v>15</v>
      </c>
      <c r="I320" s="8" t="s">
        <v>48</v>
      </c>
      <c r="J320" s="8" t="s">
        <v>63</v>
      </c>
      <c r="K320" s="8" t="s">
        <v>442</v>
      </c>
      <c r="L320" s="8"/>
      <c r="M320" s="8" t="s">
        <v>169</v>
      </c>
      <c r="N320" s="8" t="s">
        <v>788</v>
      </c>
    </row>
    <row r="321" spans="2:14" x14ac:dyDescent="0.25">
      <c r="B321" s="51">
        <v>45063</v>
      </c>
      <c r="C321" s="10" t="s">
        <v>11</v>
      </c>
      <c r="D321" s="10" t="s">
        <v>311</v>
      </c>
      <c r="E321" s="10"/>
      <c r="F321" s="10" t="s">
        <v>12</v>
      </c>
      <c r="G321" s="10" t="s">
        <v>30</v>
      </c>
      <c r="H321" s="10" t="s">
        <v>17</v>
      </c>
      <c r="I321" s="10" t="s">
        <v>855</v>
      </c>
      <c r="J321" s="10" t="s">
        <v>313</v>
      </c>
      <c r="K321" s="10" t="s">
        <v>12</v>
      </c>
      <c r="L321" s="10"/>
      <c r="M321" s="10" t="s">
        <v>711</v>
      </c>
      <c r="N321" s="10" t="s">
        <v>856</v>
      </c>
    </row>
    <row r="322" spans="2:14" x14ac:dyDescent="0.25">
      <c r="B322" s="50">
        <v>45154</v>
      </c>
      <c r="C322" s="8" t="s">
        <v>11</v>
      </c>
      <c r="D322" s="8" t="s">
        <v>857</v>
      </c>
      <c r="E322" s="8"/>
      <c r="F322" s="8" t="s">
        <v>12</v>
      </c>
      <c r="G322" s="8" t="s">
        <v>30</v>
      </c>
      <c r="H322" s="8" t="s">
        <v>15</v>
      </c>
      <c r="I322" s="8" t="s">
        <v>858</v>
      </c>
      <c r="J322" s="8" t="s">
        <v>313</v>
      </c>
      <c r="K322" s="8" t="s">
        <v>12</v>
      </c>
      <c r="L322" s="8"/>
      <c r="M322" s="8" t="s">
        <v>169</v>
      </c>
      <c r="N322" s="8" t="s">
        <v>453</v>
      </c>
    </row>
    <row r="323" spans="2:14" x14ac:dyDescent="0.25">
      <c r="B323" s="51">
        <v>45182</v>
      </c>
      <c r="C323" s="10" t="s">
        <v>11</v>
      </c>
      <c r="D323" s="10" t="s">
        <v>859</v>
      </c>
      <c r="E323" s="10" t="s">
        <v>797</v>
      </c>
      <c r="F323" s="10" t="s">
        <v>12</v>
      </c>
      <c r="G323" s="10" t="s">
        <v>30</v>
      </c>
      <c r="H323" s="10" t="s">
        <v>17</v>
      </c>
      <c r="I323" s="10" t="s">
        <v>41</v>
      </c>
      <c r="J323" s="10" t="s">
        <v>860</v>
      </c>
      <c r="K323" s="10" t="s">
        <v>12</v>
      </c>
      <c r="L323" s="10"/>
      <c r="M323" s="10" t="s">
        <v>169</v>
      </c>
      <c r="N323" s="10" t="s">
        <v>72</v>
      </c>
    </row>
    <row r="324" spans="2:14" x14ac:dyDescent="0.25">
      <c r="B324" s="50">
        <v>45153</v>
      </c>
      <c r="C324" s="8" t="s">
        <v>11</v>
      </c>
      <c r="D324" s="8" t="s">
        <v>861</v>
      </c>
      <c r="E324" s="8" t="s">
        <v>861</v>
      </c>
      <c r="F324" s="8" t="s">
        <v>16</v>
      </c>
      <c r="G324" s="8" t="s">
        <v>37</v>
      </c>
      <c r="H324" s="8" t="s">
        <v>15</v>
      </c>
      <c r="I324" s="8" t="s">
        <v>519</v>
      </c>
      <c r="J324" s="8" t="s">
        <v>520</v>
      </c>
      <c r="K324" s="8" t="s">
        <v>520</v>
      </c>
      <c r="L324" s="8"/>
      <c r="M324" s="8" t="s">
        <v>169</v>
      </c>
      <c r="N324" s="8" t="s">
        <v>521</v>
      </c>
    </row>
    <row r="325" spans="2:14" x14ac:dyDescent="0.25">
      <c r="B325" s="51">
        <v>45203</v>
      </c>
      <c r="C325" s="10" t="s">
        <v>11</v>
      </c>
      <c r="D325" s="10" t="s">
        <v>862</v>
      </c>
      <c r="E325" s="10"/>
      <c r="F325" s="10" t="s">
        <v>12</v>
      </c>
      <c r="G325" s="10" t="s">
        <v>34</v>
      </c>
      <c r="H325" s="10" t="s">
        <v>15</v>
      </c>
      <c r="I325" s="10" t="s">
        <v>32</v>
      </c>
      <c r="J325" s="10" t="s">
        <v>35</v>
      </c>
      <c r="K325" s="10" t="s">
        <v>12</v>
      </c>
      <c r="L325" s="10"/>
      <c r="M325" s="10" t="s">
        <v>169</v>
      </c>
      <c r="N325" s="10" t="s">
        <v>73</v>
      </c>
    </row>
    <row r="326" spans="2:14" x14ac:dyDescent="0.25">
      <c r="B326" s="50">
        <v>45001</v>
      </c>
      <c r="C326" s="8" t="s">
        <v>11</v>
      </c>
      <c r="D326" s="8" t="s">
        <v>863</v>
      </c>
      <c r="E326" s="8"/>
      <c r="F326" s="8" t="s">
        <v>12</v>
      </c>
      <c r="G326" s="8" t="s">
        <v>27</v>
      </c>
      <c r="H326" s="8" t="s">
        <v>17</v>
      </c>
      <c r="I326" s="8" t="s">
        <v>864</v>
      </c>
      <c r="J326" s="8" t="s">
        <v>28</v>
      </c>
      <c r="K326" s="8" t="s">
        <v>12</v>
      </c>
      <c r="L326" s="8"/>
      <c r="M326" s="8" t="s">
        <v>169</v>
      </c>
      <c r="N326" s="8" t="s">
        <v>865</v>
      </c>
    </row>
    <row r="327" spans="2:14" x14ac:dyDescent="0.25">
      <c r="B327" s="51">
        <v>45028</v>
      </c>
      <c r="C327" s="10" t="s">
        <v>11</v>
      </c>
      <c r="D327" s="10" t="s">
        <v>866</v>
      </c>
      <c r="E327" s="10"/>
      <c r="F327" s="10" t="s">
        <v>12</v>
      </c>
      <c r="G327" s="10" t="s">
        <v>30</v>
      </c>
      <c r="H327" s="10" t="s">
        <v>17</v>
      </c>
      <c r="I327" s="10" t="s">
        <v>867</v>
      </c>
      <c r="J327" s="10" t="s">
        <v>772</v>
      </c>
      <c r="K327" s="10" t="s">
        <v>12</v>
      </c>
      <c r="L327" s="10"/>
      <c r="M327" s="10" t="s">
        <v>169</v>
      </c>
      <c r="N327" s="10" t="s">
        <v>865</v>
      </c>
    </row>
    <row r="328" spans="2:14" x14ac:dyDescent="0.25">
      <c r="B328" s="50">
        <v>45196</v>
      </c>
      <c r="C328" s="8" t="s">
        <v>11</v>
      </c>
      <c r="D328" s="8" t="s">
        <v>868</v>
      </c>
      <c r="E328" s="8"/>
      <c r="F328" s="8" t="s">
        <v>12</v>
      </c>
      <c r="G328" s="8" t="s">
        <v>30</v>
      </c>
      <c r="H328" s="8" t="s">
        <v>15</v>
      </c>
      <c r="I328" s="8" t="s">
        <v>869</v>
      </c>
      <c r="J328" s="8" t="s">
        <v>870</v>
      </c>
      <c r="K328" s="8" t="s">
        <v>12</v>
      </c>
      <c r="L328" s="8"/>
      <c r="M328" s="8" t="s">
        <v>169</v>
      </c>
      <c r="N328" s="8" t="s">
        <v>453</v>
      </c>
    </row>
    <row r="329" spans="2:14" x14ac:dyDescent="0.25">
      <c r="B329" s="51">
        <v>45153</v>
      </c>
      <c r="C329" s="10" t="s">
        <v>11</v>
      </c>
      <c r="D329" s="10" t="s">
        <v>871</v>
      </c>
      <c r="E329" s="10" t="s">
        <v>13</v>
      </c>
      <c r="F329" s="10" t="s">
        <v>16</v>
      </c>
      <c r="G329" s="10" t="s">
        <v>14</v>
      </c>
      <c r="H329" s="10" t="s">
        <v>15</v>
      </c>
      <c r="I329" s="10" t="s">
        <v>48</v>
      </c>
      <c r="J329" s="10" t="s">
        <v>63</v>
      </c>
      <c r="K329" s="10" t="s">
        <v>442</v>
      </c>
      <c r="L329" s="10"/>
      <c r="M329" s="10" t="s">
        <v>169</v>
      </c>
      <c r="N329" s="10" t="s">
        <v>788</v>
      </c>
    </row>
    <row r="330" spans="2:14" x14ac:dyDescent="0.25">
      <c r="B330" s="50">
        <v>45153</v>
      </c>
      <c r="C330" s="8" t="s">
        <v>11</v>
      </c>
      <c r="D330" s="8" t="s">
        <v>56</v>
      </c>
      <c r="E330" s="8" t="s">
        <v>13</v>
      </c>
      <c r="F330" s="8" t="s">
        <v>16</v>
      </c>
      <c r="G330" s="8" t="s">
        <v>14</v>
      </c>
      <c r="H330" s="8" t="s">
        <v>15</v>
      </c>
      <c r="I330" s="8" t="s">
        <v>48</v>
      </c>
      <c r="J330" s="8" t="s">
        <v>63</v>
      </c>
      <c r="K330" s="8" t="s">
        <v>442</v>
      </c>
      <c r="L330" s="8"/>
      <c r="M330" s="8" t="s">
        <v>169</v>
      </c>
      <c r="N330" s="8" t="s">
        <v>788</v>
      </c>
    </row>
    <row r="331" spans="2:14" x14ac:dyDescent="0.25">
      <c r="B331" s="51">
        <v>45176</v>
      </c>
      <c r="C331" s="10" t="s">
        <v>11</v>
      </c>
      <c r="D331" s="10" t="s">
        <v>872</v>
      </c>
      <c r="E331" s="10" t="s">
        <v>872</v>
      </c>
      <c r="F331" s="10" t="s">
        <v>16</v>
      </c>
      <c r="G331" s="10" t="s">
        <v>37</v>
      </c>
      <c r="H331" s="10" t="s">
        <v>15</v>
      </c>
      <c r="I331" s="10" t="s">
        <v>519</v>
      </c>
      <c r="J331" s="10" t="s">
        <v>520</v>
      </c>
      <c r="K331" s="10" t="s">
        <v>520</v>
      </c>
      <c r="L331" s="10"/>
      <c r="M331" s="10" t="s">
        <v>169</v>
      </c>
      <c r="N331" s="10" t="s">
        <v>521</v>
      </c>
    </row>
    <row r="332" spans="2:14" x14ac:dyDescent="0.25">
      <c r="B332" s="50">
        <v>45181</v>
      </c>
      <c r="C332" s="8" t="s">
        <v>11</v>
      </c>
      <c r="D332" s="8" t="s">
        <v>873</v>
      </c>
      <c r="E332" s="8" t="s">
        <v>873</v>
      </c>
      <c r="F332" s="8" t="s">
        <v>16</v>
      </c>
      <c r="G332" s="8" t="s">
        <v>37</v>
      </c>
      <c r="H332" s="8" t="s">
        <v>15</v>
      </c>
      <c r="I332" s="8" t="s">
        <v>519</v>
      </c>
      <c r="J332" s="8" t="s">
        <v>520</v>
      </c>
      <c r="K332" s="8" t="s">
        <v>520</v>
      </c>
      <c r="L332" s="8"/>
      <c r="M332" s="8" t="s">
        <v>169</v>
      </c>
      <c r="N332" s="8" t="s">
        <v>521</v>
      </c>
    </row>
    <row r="333" spans="2:14" x14ac:dyDescent="0.25">
      <c r="B333" s="51">
        <v>45190</v>
      </c>
      <c r="C333" s="10" t="s">
        <v>11</v>
      </c>
      <c r="D333" s="10" t="s">
        <v>874</v>
      </c>
      <c r="E333" s="10" t="s">
        <v>424</v>
      </c>
      <c r="F333" s="10" t="s">
        <v>16</v>
      </c>
      <c r="G333" s="10" t="s">
        <v>36</v>
      </c>
      <c r="H333" s="10" t="s">
        <v>17</v>
      </c>
      <c r="I333" s="10" t="s">
        <v>276</v>
      </c>
      <c r="J333" s="10" t="s">
        <v>548</v>
      </c>
      <c r="K333" s="10" t="s">
        <v>548</v>
      </c>
      <c r="L333" s="10"/>
      <c r="M333" s="10" t="s">
        <v>169</v>
      </c>
      <c r="N333" s="10" t="s">
        <v>875</v>
      </c>
    </row>
    <row r="334" spans="2:14" x14ac:dyDescent="0.25">
      <c r="B334" s="50">
        <v>45201</v>
      </c>
      <c r="C334" s="8" t="s">
        <v>510</v>
      </c>
      <c r="D334" s="8" t="s">
        <v>876</v>
      </c>
      <c r="E334" s="8" t="s">
        <v>13</v>
      </c>
      <c r="F334" s="8" t="s">
        <v>16</v>
      </c>
      <c r="G334" s="8" t="s">
        <v>510</v>
      </c>
      <c r="H334" s="8" t="s">
        <v>17</v>
      </c>
      <c r="I334" s="8" t="s">
        <v>877</v>
      </c>
      <c r="J334" s="8" t="s">
        <v>512</v>
      </c>
      <c r="K334" s="8" t="s">
        <v>442</v>
      </c>
      <c r="L334" s="8"/>
      <c r="M334" s="8" t="s">
        <v>169</v>
      </c>
      <c r="N334" s="8" t="s">
        <v>878</v>
      </c>
    </row>
    <row r="335" spans="2:14" x14ac:dyDescent="0.25">
      <c r="B335" s="51">
        <v>45208</v>
      </c>
      <c r="C335" s="10" t="s">
        <v>11</v>
      </c>
      <c r="D335" s="10" t="s">
        <v>879</v>
      </c>
      <c r="E335" s="10" t="s">
        <v>13</v>
      </c>
      <c r="F335" s="10" t="s">
        <v>16</v>
      </c>
      <c r="G335" s="10" t="s">
        <v>14</v>
      </c>
      <c r="H335" s="10" t="s">
        <v>15</v>
      </c>
      <c r="I335" s="10" t="s">
        <v>48</v>
      </c>
      <c r="J335" s="10" t="s">
        <v>63</v>
      </c>
      <c r="K335" s="10" t="s">
        <v>63</v>
      </c>
      <c r="L335" s="10"/>
      <c r="M335" s="10" t="s">
        <v>169</v>
      </c>
      <c r="N335" s="10" t="s">
        <v>788</v>
      </c>
    </row>
    <row r="336" spans="2:14" x14ac:dyDescent="0.25">
      <c r="B336" s="50">
        <v>45209</v>
      </c>
      <c r="C336" s="8" t="s">
        <v>11</v>
      </c>
      <c r="D336" s="8" t="s">
        <v>649</v>
      </c>
      <c r="E336" s="8"/>
      <c r="F336" s="8" t="s">
        <v>12</v>
      </c>
      <c r="G336" s="8" t="s">
        <v>36</v>
      </c>
      <c r="H336" s="8" t="s">
        <v>17</v>
      </c>
      <c r="I336" s="8" t="s">
        <v>41</v>
      </c>
      <c r="J336" s="8" t="s">
        <v>452</v>
      </c>
      <c r="K336" s="8"/>
      <c r="L336" s="8"/>
      <c r="M336" s="8" t="s">
        <v>169</v>
      </c>
      <c r="N336" s="8" t="s">
        <v>453</v>
      </c>
    </row>
    <row r="337" spans="2:14" x14ac:dyDescent="0.25">
      <c r="B337" s="51">
        <v>45208</v>
      </c>
      <c r="C337" s="10" t="s">
        <v>11</v>
      </c>
      <c r="D337" s="10" t="s">
        <v>812</v>
      </c>
      <c r="E337" s="10"/>
      <c r="F337" s="10" t="s">
        <v>12</v>
      </c>
      <c r="G337" s="10" t="s">
        <v>14</v>
      </c>
      <c r="H337" s="10" t="s">
        <v>15</v>
      </c>
      <c r="I337" s="10" t="s">
        <v>880</v>
      </c>
      <c r="J337" s="8" t="s">
        <v>74</v>
      </c>
      <c r="K337" s="10" t="s">
        <v>12</v>
      </c>
      <c r="L337" s="10"/>
      <c r="M337" s="10" t="s">
        <v>169</v>
      </c>
      <c r="N337" s="10" t="s">
        <v>881</v>
      </c>
    </row>
    <row r="338" spans="2:14" x14ac:dyDescent="0.25">
      <c r="B338" s="50">
        <v>45216</v>
      </c>
      <c r="C338" s="8" t="s">
        <v>11</v>
      </c>
      <c r="D338" s="8" t="s">
        <v>882</v>
      </c>
      <c r="E338" s="8" t="s">
        <v>13</v>
      </c>
      <c r="F338" s="8" t="s">
        <v>16</v>
      </c>
      <c r="G338" s="8" t="s">
        <v>14</v>
      </c>
      <c r="H338" s="8" t="s">
        <v>15</v>
      </c>
      <c r="I338" s="8" t="s">
        <v>714</v>
      </c>
      <c r="J338" s="8" t="s">
        <v>63</v>
      </c>
      <c r="K338" s="8" t="s">
        <v>28</v>
      </c>
      <c r="L338" s="8"/>
      <c r="M338" s="8" t="s">
        <v>169</v>
      </c>
      <c r="N338" s="8" t="s">
        <v>883</v>
      </c>
    </row>
    <row r="339" spans="2:14" x14ac:dyDescent="0.25">
      <c r="B339" s="51">
        <v>45223</v>
      </c>
      <c r="C339" s="10" t="s">
        <v>11</v>
      </c>
      <c r="D339" s="10" t="s">
        <v>399</v>
      </c>
      <c r="E339" s="10" t="s">
        <v>13</v>
      </c>
      <c r="F339" s="10" t="s">
        <v>16</v>
      </c>
      <c r="G339" s="10" t="s">
        <v>14</v>
      </c>
      <c r="H339" s="10" t="s">
        <v>15</v>
      </c>
      <c r="I339" s="10" t="s">
        <v>714</v>
      </c>
      <c r="J339" s="10" t="s">
        <v>63</v>
      </c>
      <c r="K339" s="10" t="s">
        <v>28</v>
      </c>
      <c r="L339" s="10"/>
      <c r="M339" s="10" t="s">
        <v>169</v>
      </c>
      <c r="N339" s="10" t="s">
        <v>715</v>
      </c>
    </row>
    <row r="340" spans="2:14" x14ac:dyDescent="0.25">
      <c r="B340" s="50">
        <v>45127</v>
      </c>
      <c r="C340" s="8" t="s">
        <v>11</v>
      </c>
      <c r="D340" s="8" t="s">
        <v>884</v>
      </c>
      <c r="E340" s="8"/>
      <c r="F340" s="8" t="s">
        <v>12</v>
      </c>
      <c r="G340" s="8" t="s">
        <v>36</v>
      </c>
      <c r="H340" s="8" t="s">
        <v>17</v>
      </c>
      <c r="I340" s="8" t="s">
        <v>885</v>
      </c>
      <c r="J340" s="8" t="s">
        <v>452</v>
      </c>
      <c r="K340" s="8" t="s">
        <v>540</v>
      </c>
      <c r="L340" s="8"/>
      <c r="M340" s="8" t="s">
        <v>169</v>
      </c>
      <c r="N340" s="8" t="s">
        <v>453</v>
      </c>
    </row>
    <row r="341" spans="2:14" x14ac:dyDescent="0.25">
      <c r="B341" s="51">
        <v>45168</v>
      </c>
      <c r="C341" s="10" t="s">
        <v>11</v>
      </c>
      <c r="D341" s="10" t="s">
        <v>886</v>
      </c>
      <c r="E341" s="10"/>
      <c r="F341" s="10" t="s">
        <v>12</v>
      </c>
      <c r="G341" s="10" t="s">
        <v>14</v>
      </c>
      <c r="H341" s="10" t="s">
        <v>17</v>
      </c>
      <c r="I341" s="10" t="s">
        <v>32</v>
      </c>
      <c r="J341" s="10" t="s">
        <v>782</v>
      </c>
      <c r="K341" s="10" t="s">
        <v>12</v>
      </c>
      <c r="L341" s="10"/>
      <c r="M341" s="10" t="s">
        <v>169</v>
      </c>
      <c r="N341" s="10" t="s">
        <v>531</v>
      </c>
    </row>
    <row r="342" spans="2:14" x14ac:dyDescent="0.25">
      <c r="B342" s="50">
        <v>45215</v>
      </c>
      <c r="C342" s="8" t="s">
        <v>11</v>
      </c>
      <c r="D342" s="8" t="s">
        <v>887</v>
      </c>
      <c r="E342" s="8" t="s">
        <v>888</v>
      </c>
      <c r="F342" s="8" t="s">
        <v>12</v>
      </c>
      <c r="G342" s="8" t="s">
        <v>36</v>
      </c>
      <c r="H342" s="8" t="s">
        <v>15</v>
      </c>
      <c r="I342" s="8" t="s">
        <v>889</v>
      </c>
      <c r="J342" s="8" t="s">
        <v>890</v>
      </c>
      <c r="K342" s="8" t="s">
        <v>348</v>
      </c>
      <c r="L342" s="8"/>
      <c r="M342" s="8" t="s">
        <v>169</v>
      </c>
      <c r="N342" s="8" t="s">
        <v>891</v>
      </c>
    </row>
    <row r="343" spans="2:14" x14ac:dyDescent="0.25">
      <c r="B343" s="51">
        <v>45225</v>
      </c>
      <c r="C343" s="10" t="s">
        <v>11</v>
      </c>
      <c r="D343" s="10" t="s">
        <v>892</v>
      </c>
      <c r="E343" s="10" t="s">
        <v>13</v>
      </c>
      <c r="F343" s="10" t="s">
        <v>16</v>
      </c>
      <c r="G343" s="10" t="s">
        <v>30</v>
      </c>
      <c r="H343" s="10" t="s">
        <v>15</v>
      </c>
      <c r="I343" s="10" t="s">
        <v>41</v>
      </c>
      <c r="J343" s="10" t="s">
        <v>893</v>
      </c>
      <c r="K343" s="10" t="s">
        <v>893</v>
      </c>
      <c r="L343" s="10"/>
      <c r="M343" s="10" t="s">
        <v>169</v>
      </c>
      <c r="N343" s="10" t="s">
        <v>894</v>
      </c>
    </row>
    <row r="344" spans="2:14" x14ac:dyDescent="0.25">
      <c r="B344" s="50">
        <v>45226</v>
      </c>
      <c r="C344" s="8" t="s">
        <v>11</v>
      </c>
      <c r="D344" s="8" t="s">
        <v>874</v>
      </c>
      <c r="E344" s="8" t="s">
        <v>424</v>
      </c>
      <c r="F344" s="8" t="s">
        <v>16</v>
      </c>
      <c r="G344" s="8" t="s">
        <v>36</v>
      </c>
      <c r="H344" s="8" t="s">
        <v>15</v>
      </c>
      <c r="I344" s="8" t="s">
        <v>276</v>
      </c>
      <c r="J344" s="8" t="s">
        <v>548</v>
      </c>
      <c r="K344" s="8" t="s">
        <v>442</v>
      </c>
      <c r="L344" s="8"/>
      <c r="M344" s="8" t="s">
        <v>169</v>
      </c>
      <c r="N344" s="8" t="s">
        <v>875</v>
      </c>
    </row>
    <row r="345" spans="2:14" x14ac:dyDescent="0.25">
      <c r="B345" s="51">
        <v>45142</v>
      </c>
      <c r="C345" s="10" t="s">
        <v>11</v>
      </c>
      <c r="D345" s="10" t="s">
        <v>75</v>
      </c>
      <c r="E345" s="10"/>
      <c r="F345" s="10" t="s">
        <v>12</v>
      </c>
      <c r="G345" s="10" t="s">
        <v>14</v>
      </c>
      <c r="H345" s="10" t="s">
        <v>17</v>
      </c>
      <c r="I345" s="10" t="s">
        <v>32</v>
      </c>
      <c r="J345" s="10" t="s">
        <v>31</v>
      </c>
      <c r="K345" s="10" t="s">
        <v>12</v>
      </c>
      <c r="L345" s="10"/>
      <c r="M345" s="10" t="s">
        <v>169</v>
      </c>
      <c r="N345" s="10" t="s">
        <v>645</v>
      </c>
    </row>
    <row r="346" spans="2:14" x14ac:dyDescent="0.25">
      <c r="B346" s="50">
        <v>45156</v>
      </c>
      <c r="C346" s="8" t="s">
        <v>11</v>
      </c>
      <c r="D346" s="8" t="s">
        <v>895</v>
      </c>
      <c r="E346" s="8"/>
      <c r="F346" s="8" t="s">
        <v>12</v>
      </c>
      <c r="G346" s="8" t="s">
        <v>289</v>
      </c>
      <c r="H346" s="8" t="s">
        <v>17</v>
      </c>
      <c r="I346" s="8" t="s">
        <v>317</v>
      </c>
      <c r="J346" s="8" t="s">
        <v>896</v>
      </c>
      <c r="K346" s="8" t="s">
        <v>12</v>
      </c>
      <c r="L346" s="8"/>
      <c r="M346" s="8" t="s">
        <v>169</v>
      </c>
      <c r="N346" s="8" t="s">
        <v>645</v>
      </c>
    </row>
    <row r="347" spans="2:14" x14ac:dyDescent="0.25">
      <c r="B347" s="51">
        <v>45231</v>
      </c>
      <c r="C347" s="10" t="s">
        <v>11</v>
      </c>
      <c r="D347" s="10" t="s">
        <v>897</v>
      </c>
      <c r="E347" s="10" t="s">
        <v>13</v>
      </c>
      <c r="F347" s="10" t="s">
        <v>16</v>
      </c>
      <c r="G347" s="10" t="s">
        <v>36</v>
      </c>
      <c r="H347" s="10" t="s">
        <v>15</v>
      </c>
      <c r="I347" s="10" t="s">
        <v>32</v>
      </c>
      <c r="J347" s="10" t="s">
        <v>76</v>
      </c>
      <c r="K347" s="10" t="s">
        <v>76</v>
      </c>
      <c r="L347" s="10"/>
      <c r="M347" s="10" t="s">
        <v>169</v>
      </c>
      <c r="N347" s="10" t="s">
        <v>898</v>
      </c>
    </row>
    <row r="348" spans="2:14" x14ac:dyDescent="0.25">
      <c r="B348" s="50">
        <v>44769</v>
      </c>
      <c r="C348" s="8" t="s">
        <v>11</v>
      </c>
      <c r="D348" s="8" t="s">
        <v>899</v>
      </c>
      <c r="E348" s="8"/>
      <c r="F348" s="8" t="s">
        <v>12</v>
      </c>
      <c r="G348" s="8" t="s">
        <v>14</v>
      </c>
      <c r="H348" s="8" t="s">
        <v>17</v>
      </c>
      <c r="I348" s="8" t="s">
        <v>46</v>
      </c>
      <c r="J348" s="8" t="s">
        <v>31</v>
      </c>
      <c r="K348" s="8" t="s">
        <v>31</v>
      </c>
      <c r="L348" s="8"/>
      <c r="M348" s="8" t="s">
        <v>169</v>
      </c>
      <c r="N348" s="8" t="s">
        <v>412</v>
      </c>
    </row>
    <row r="349" spans="2:14" x14ac:dyDescent="0.25">
      <c r="B349" s="51">
        <v>44918</v>
      </c>
      <c r="C349" s="10" t="s">
        <v>11</v>
      </c>
      <c r="D349" s="10" t="s">
        <v>900</v>
      </c>
      <c r="E349" s="10" t="s">
        <v>275</v>
      </c>
      <c r="F349" s="10" t="s">
        <v>12</v>
      </c>
      <c r="G349" s="10" t="s">
        <v>3</v>
      </c>
      <c r="H349" s="10" t="s">
        <v>17</v>
      </c>
      <c r="I349" s="10" t="s">
        <v>619</v>
      </c>
      <c r="J349" s="10" t="s">
        <v>38</v>
      </c>
      <c r="K349" s="10" t="s">
        <v>12</v>
      </c>
      <c r="L349" s="10"/>
      <c r="M349" s="10" t="s">
        <v>169</v>
      </c>
      <c r="N349" s="10" t="s">
        <v>901</v>
      </c>
    </row>
    <row r="350" spans="2:14" x14ac:dyDescent="0.25">
      <c r="B350" s="50">
        <v>45210</v>
      </c>
      <c r="C350" s="8" t="s">
        <v>11</v>
      </c>
      <c r="D350" s="8" t="s">
        <v>902</v>
      </c>
      <c r="E350" s="8"/>
      <c r="F350" s="8" t="s">
        <v>12</v>
      </c>
      <c r="G350" s="8" t="s">
        <v>36</v>
      </c>
      <c r="H350" s="8" t="s">
        <v>15</v>
      </c>
      <c r="I350" s="8" t="s">
        <v>32</v>
      </c>
      <c r="J350" s="8" t="s">
        <v>47</v>
      </c>
      <c r="K350" s="8" t="s">
        <v>12</v>
      </c>
      <c r="L350" s="8"/>
      <c r="M350" s="8" t="s">
        <v>169</v>
      </c>
      <c r="N350" s="8" t="s">
        <v>645</v>
      </c>
    </row>
    <row r="351" spans="2:14" x14ac:dyDescent="0.25">
      <c r="B351" s="51">
        <v>45253</v>
      </c>
      <c r="C351" s="10" t="s">
        <v>11</v>
      </c>
      <c r="D351" s="10" t="s">
        <v>474</v>
      </c>
      <c r="E351" s="10"/>
      <c r="F351" s="10" t="s">
        <v>12</v>
      </c>
      <c r="G351" s="10" t="s">
        <v>233</v>
      </c>
      <c r="H351" s="10" t="s">
        <v>15</v>
      </c>
      <c r="I351" s="10" t="s">
        <v>71</v>
      </c>
      <c r="J351" s="10" t="s">
        <v>53</v>
      </c>
      <c r="K351" s="10" t="s">
        <v>12</v>
      </c>
      <c r="L351" s="10"/>
      <c r="M351" s="10" t="s">
        <v>169</v>
      </c>
      <c r="N351" s="10" t="s">
        <v>412</v>
      </c>
    </row>
    <row r="352" spans="2:14" x14ac:dyDescent="0.25">
      <c r="B352" s="50">
        <v>45168</v>
      </c>
      <c r="C352" s="8" t="s">
        <v>11</v>
      </c>
      <c r="D352" s="8" t="s">
        <v>903</v>
      </c>
      <c r="E352" s="8" t="s">
        <v>506</v>
      </c>
      <c r="F352" s="8" t="s">
        <v>12</v>
      </c>
      <c r="G352" s="8" t="s">
        <v>425</v>
      </c>
      <c r="H352" s="8" t="s">
        <v>425</v>
      </c>
      <c r="I352" s="8" t="s">
        <v>696</v>
      </c>
      <c r="J352" s="8" t="s">
        <v>51</v>
      </c>
      <c r="K352" s="8" t="s">
        <v>12</v>
      </c>
      <c r="L352" s="8"/>
      <c r="M352" s="8" t="s">
        <v>169</v>
      </c>
      <c r="N352" s="8" t="s">
        <v>645</v>
      </c>
    </row>
    <row r="353" spans="2:14" x14ac:dyDescent="0.25">
      <c r="B353" s="51">
        <v>45194</v>
      </c>
      <c r="C353" s="10" t="s">
        <v>11</v>
      </c>
      <c r="D353" s="10" t="s">
        <v>815</v>
      </c>
      <c r="E353" s="10"/>
      <c r="F353" s="10" t="s">
        <v>12</v>
      </c>
      <c r="G353" s="10" t="s">
        <v>14</v>
      </c>
      <c r="H353" s="10" t="s">
        <v>15</v>
      </c>
      <c r="I353" s="10" t="s">
        <v>71</v>
      </c>
      <c r="J353" s="10" t="s">
        <v>74</v>
      </c>
      <c r="K353" s="10" t="s">
        <v>12</v>
      </c>
      <c r="L353" s="10"/>
      <c r="M353" s="10" t="s">
        <v>169</v>
      </c>
      <c r="N353" s="10" t="s">
        <v>453</v>
      </c>
    </row>
    <row r="354" spans="2:14" x14ac:dyDescent="0.25">
      <c r="B354" s="50">
        <v>45212</v>
      </c>
      <c r="C354" s="8" t="s">
        <v>11</v>
      </c>
      <c r="D354" s="9" t="s">
        <v>863</v>
      </c>
      <c r="E354" s="8"/>
      <c r="F354" s="8" t="s">
        <v>12</v>
      </c>
      <c r="G354" s="8" t="s">
        <v>34</v>
      </c>
      <c r="H354" s="8" t="s">
        <v>15</v>
      </c>
      <c r="I354" s="8" t="s">
        <v>71</v>
      </c>
      <c r="J354" s="8" t="s">
        <v>28</v>
      </c>
      <c r="K354" s="8" t="s">
        <v>28</v>
      </c>
      <c r="L354" s="8"/>
      <c r="M354" s="8" t="s">
        <v>169</v>
      </c>
      <c r="N354" s="8" t="s">
        <v>865</v>
      </c>
    </row>
    <row r="355" spans="2:14" x14ac:dyDescent="0.25">
      <c r="B355" s="51">
        <v>45253</v>
      </c>
      <c r="C355" s="10" t="s">
        <v>11</v>
      </c>
      <c r="D355" s="10" t="s">
        <v>904</v>
      </c>
      <c r="E355" s="10"/>
      <c r="F355" s="10" t="s">
        <v>12</v>
      </c>
      <c r="G355" s="10" t="s">
        <v>36</v>
      </c>
      <c r="H355" s="10" t="s">
        <v>15</v>
      </c>
      <c r="I355" s="10" t="s">
        <v>905</v>
      </c>
      <c r="J355" s="10" t="s">
        <v>719</v>
      </c>
      <c r="K355" s="10" t="s">
        <v>59</v>
      </c>
      <c r="L355" s="10"/>
      <c r="M355" s="10" t="s">
        <v>169</v>
      </c>
      <c r="N355" s="10" t="s">
        <v>453</v>
      </c>
    </row>
    <row r="356" spans="2:14" x14ac:dyDescent="0.25">
      <c r="B356" s="50">
        <v>45244</v>
      </c>
      <c r="C356" s="8" t="s">
        <v>11</v>
      </c>
      <c r="D356" s="8" t="s">
        <v>906</v>
      </c>
      <c r="E356" s="8" t="s">
        <v>13</v>
      </c>
      <c r="F356" s="8" t="s">
        <v>16</v>
      </c>
      <c r="G356" s="8" t="s">
        <v>14</v>
      </c>
      <c r="H356" s="8" t="s">
        <v>17</v>
      </c>
      <c r="I356" s="8" t="s">
        <v>48</v>
      </c>
      <c r="J356" s="8" t="s">
        <v>63</v>
      </c>
      <c r="K356" s="8" t="s">
        <v>442</v>
      </c>
      <c r="L356" s="8"/>
      <c r="M356" s="8" t="s">
        <v>169</v>
      </c>
      <c r="N356" s="8" t="s">
        <v>907</v>
      </c>
    </row>
    <row r="357" spans="2:14" x14ac:dyDescent="0.25">
      <c r="B357" s="51">
        <v>45253</v>
      </c>
      <c r="C357" s="10" t="s">
        <v>11</v>
      </c>
      <c r="D357" s="10" t="s">
        <v>908</v>
      </c>
      <c r="E357" s="10"/>
      <c r="F357" s="10" t="s">
        <v>12</v>
      </c>
      <c r="G357" s="10" t="s">
        <v>30</v>
      </c>
      <c r="H357" s="10" t="s">
        <v>15</v>
      </c>
      <c r="I357" s="10" t="s">
        <v>519</v>
      </c>
      <c r="J357" s="10" t="s">
        <v>909</v>
      </c>
      <c r="K357" s="10" t="s">
        <v>12</v>
      </c>
      <c r="L357" s="10"/>
      <c r="M357" s="10" t="s">
        <v>169</v>
      </c>
      <c r="N357" s="10" t="s">
        <v>453</v>
      </c>
    </row>
    <row r="358" spans="2:14" x14ac:dyDescent="0.25">
      <c r="B358" s="50">
        <v>45253</v>
      </c>
      <c r="C358" s="8" t="s">
        <v>11</v>
      </c>
      <c r="D358" s="8" t="s">
        <v>910</v>
      </c>
      <c r="E358" s="8" t="s">
        <v>911</v>
      </c>
      <c r="F358" s="8" t="s">
        <v>12</v>
      </c>
      <c r="G358" s="8" t="s">
        <v>455</v>
      </c>
      <c r="H358" s="8" t="s">
        <v>15</v>
      </c>
      <c r="I358" s="8" t="s">
        <v>912</v>
      </c>
      <c r="J358" s="8" t="s">
        <v>837</v>
      </c>
      <c r="K358" s="8" t="s">
        <v>12</v>
      </c>
      <c r="L358" s="8"/>
      <c r="M358" s="8" t="s">
        <v>169</v>
      </c>
      <c r="N358" s="8" t="s">
        <v>412</v>
      </c>
    </row>
    <row r="359" spans="2:14" x14ac:dyDescent="0.25">
      <c r="B359" s="51">
        <v>45253</v>
      </c>
      <c r="C359" s="10" t="s">
        <v>11</v>
      </c>
      <c r="D359" s="10" t="s">
        <v>913</v>
      </c>
      <c r="E359" s="10"/>
      <c r="F359" s="10" t="s">
        <v>12</v>
      </c>
      <c r="G359" s="10" t="s">
        <v>455</v>
      </c>
      <c r="H359" s="10" t="s">
        <v>15</v>
      </c>
      <c r="I359" s="10" t="s">
        <v>912</v>
      </c>
      <c r="J359" s="10" t="s">
        <v>837</v>
      </c>
      <c r="K359" s="10" t="s">
        <v>12</v>
      </c>
      <c r="L359" s="10"/>
      <c r="M359" s="10" t="s">
        <v>169</v>
      </c>
      <c r="N359" s="10" t="s">
        <v>412</v>
      </c>
    </row>
    <row r="360" spans="2:14" x14ac:dyDescent="0.25">
      <c r="B360" s="50">
        <v>45279</v>
      </c>
      <c r="C360" s="8" t="s">
        <v>11</v>
      </c>
      <c r="D360" s="8" t="s">
        <v>914</v>
      </c>
      <c r="E360" s="8"/>
      <c r="F360" s="8" t="s">
        <v>12</v>
      </c>
      <c r="G360" s="8" t="s">
        <v>14</v>
      </c>
      <c r="H360" s="8" t="s">
        <v>15</v>
      </c>
      <c r="I360" s="8" t="s">
        <v>68</v>
      </c>
      <c r="J360" s="8" t="s">
        <v>216</v>
      </c>
      <c r="K360" s="8" t="s">
        <v>12</v>
      </c>
      <c r="L360" s="8"/>
      <c r="M360" s="8" t="s">
        <v>169</v>
      </c>
      <c r="N360" s="8" t="s">
        <v>441</v>
      </c>
    </row>
    <row r="361" spans="2:14" x14ac:dyDescent="0.25">
      <c r="B361" s="51">
        <v>45239</v>
      </c>
      <c r="C361" s="10" t="s">
        <v>11</v>
      </c>
      <c r="D361" s="10" t="s">
        <v>915</v>
      </c>
      <c r="E361" s="10"/>
      <c r="F361" s="10" t="s">
        <v>12</v>
      </c>
      <c r="G361" s="10" t="s">
        <v>30</v>
      </c>
      <c r="H361" s="10" t="s">
        <v>15</v>
      </c>
      <c r="I361" s="10" t="s">
        <v>41</v>
      </c>
      <c r="J361" s="10" t="s">
        <v>916</v>
      </c>
      <c r="K361" s="10" t="s">
        <v>12</v>
      </c>
      <c r="L361" s="10"/>
      <c r="M361" s="10" t="s">
        <v>711</v>
      </c>
      <c r="N361" s="10" t="s">
        <v>453</v>
      </c>
    </row>
    <row r="362" spans="2:14" x14ac:dyDescent="0.25">
      <c r="B362" s="50">
        <v>45239</v>
      </c>
      <c r="C362" s="8" t="s">
        <v>11</v>
      </c>
      <c r="D362" s="8" t="s">
        <v>468</v>
      </c>
      <c r="E362" s="8"/>
      <c r="F362" s="8" t="s">
        <v>12</v>
      </c>
      <c r="G362" s="8" t="s">
        <v>36</v>
      </c>
      <c r="H362" s="8" t="s">
        <v>15</v>
      </c>
      <c r="I362" s="8" t="s">
        <v>234</v>
      </c>
      <c r="J362" s="8" t="s">
        <v>400</v>
      </c>
      <c r="K362" s="8" t="s">
        <v>12</v>
      </c>
      <c r="L362" s="8"/>
      <c r="M362" s="8" t="s">
        <v>169</v>
      </c>
      <c r="N362" s="8"/>
    </row>
    <row r="363" spans="2:14" x14ac:dyDescent="0.25">
      <c r="B363" s="51">
        <v>45250</v>
      </c>
      <c r="C363" s="10" t="s">
        <v>11</v>
      </c>
      <c r="D363" s="10" t="s">
        <v>917</v>
      </c>
      <c r="E363" s="10"/>
      <c r="F363" s="10" t="s">
        <v>12</v>
      </c>
      <c r="G363" s="10" t="s">
        <v>30</v>
      </c>
      <c r="H363" s="10" t="s">
        <v>15</v>
      </c>
      <c r="I363" s="10" t="s">
        <v>918</v>
      </c>
      <c r="J363" s="10" t="s">
        <v>772</v>
      </c>
      <c r="K363" s="10" t="s">
        <v>12</v>
      </c>
      <c r="L363" s="10"/>
      <c r="M363" s="10" t="s">
        <v>169</v>
      </c>
      <c r="N363" s="10" t="s">
        <v>453</v>
      </c>
    </row>
    <row r="364" spans="2:14" x14ac:dyDescent="0.25">
      <c r="B364" s="50">
        <v>45245</v>
      </c>
      <c r="C364" s="8" t="s">
        <v>11</v>
      </c>
      <c r="D364" s="8" t="s">
        <v>919</v>
      </c>
      <c r="E364" s="8" t="s">
        <v>13</v>
      </c>
      <c r="F364" s="8" t="s">
        <v>16</v>
      </c>
      <c r="G364" s="8" t="s">
        <v>30</v>
      </c>
      <c r="H364" s="8" t="s">
        <v>15</v>
      </c>
      <c r="I364" s="8" t="s">
        <v>41</v>
      </c>
      <c r="J364" s="8" t="s">
        <v>77</v>
      </c>
      <c r="K364" s="8" t="s">
        <v>442</v>
      </c>
      <c r="L364" s="8"/>
      <c r="M364" s="8" t="s">
        <v>169</v>
      </c>
      <c r="N364" s="8" t="s">
        <v>920</v>
      </c>
    </row>
    <row r="365" spans="2:14" x14ac:dyDescent="0.25">
      <c r="B365" s="51">
        <v>45246</v>
      </c>
      <c r="C365" s="10" t="s">
        <v>11</v>
      </c>
      <c r="D365" s="10" t="s">
        <v>378</v>
      </c>
      <c r="E365" s="10" t="s">
        <v>13</v>
      </c>
      <c r="F365" s="10" t="s">
        <v>16</v>
      </c>
      <c r="G365" s="10" t="s">
        <v>30</v>
      </c>
      <c r="H365" s="10" t="s">
        <v>15</v>
      </c>
      <c r="I365" s="10" t="s">
        <v>234</v>
      </c>
      <c r="J365" s="10" t="s">
        <v>921</v>
      </c>
      <c r="K365" s="10" t="s">
        <v>442</v>
      </c>
      <c r="L365" s="10"/>
      <c r="M365" s="10" t="s">
        <v>169</v>
      </c>
      <c r="N365" s="10" t="s">
        <v>922</v>
      </c>
    </row>
    <row r="366" spans="2:14" x14ac:dyDescent="0.25">
      <c r="B366" s="50">
        <v>45264</v>
      </c>
      <c r="C366" s="8" t="s">
        <v>11</v>
      </c>
      <c r="D366" s="8" t="s">
        <v>546</v>
      </c>
      <c r="E366" s="8" t="s">
        <v>923</v>
      </c>
      <c r="F366" s="8" t="s">
        <v>16</v>
      </c>
      <c r="G366" s="8" t="s">
        <v>36</v>
      </c>
      <c r="H366" s="8" t="s">
        <v>15</v>
      </c>
      <c r="I366" s="8" t="s">
        <v>276</v>
      </c>
      <c r="J366" s="8" t="s">
        <v>924</v>
      </c>
      <c r="K366" s="8" t="s">
        <v>924</v>
      </c>
      <c r="L366" s="8"/>
      <c r="M366" s="8" t="s">
        <v>169</v>
      </c>
      <c r="N366" s="8" t="s">
        <v>925</v>
      </c>
    </row>
    <row r="367" spans="2:14" x14ac:dyDescent="0.25">
      <c r="B367" s="51">
        <v>45240</v>
      </c>
      <c r="C367" s="10" t="s">
        <v>11</v>
      </c>
      <c r="D367" s="10" t="s">
        <v>926</v>
      </c>
      <c r="E367" s="10"/>
      <c r="F367" s="10" t="s">
        <v>12</v>
      </c>
      <c r="G367" s="10" t="s">
        <v>34</v>
      </c>
      <c r="H367" s="10" t="s">
        <v>15</v>
      </c>
      <c r="I367" s="10" t="s">
        <v>71</v>
      </c>
      <c r="J367" s="10" t="s">
        <v>78</v>
      </c>
      <c r="K367" s="10" t="s">
        <v>348</v>
      </c>
      <c r="L367" s="10"/>
      <c r="M367" s="10" t="s">
        <v>169</v>
      </c>
      <c r="N367" s="10" t="s">
        <v>645</v>
      </c>
    </row>
    <row r="368" spans="2:14" x14ac:dyDescent="0.25">
      <c r="B368" s="50">
        <v>45275</v>
      </c>
      <c r="C368" s="8" t="s">
        <v>11</v>
      </c>
      <c r="D368" s="8" t="s">
        <v>927</v>
      </c>
      <c r="E368" s="8"/>
      <c r="F368" s="8" t="s">
        <v>12</v>
      </c>
      <c r="G368" s="8" t="s">
        <v>30</v>
      </c>
      <c r="H368" s="8" t="s">
        <v>15</v>
      </c>
      <c r="I368" s="8" t="s">
        <v>71</v>
      </c>
      <c r="J368" s="8" t="s">
        <v>928</v>
      </c>
      <c r="K368" s="8" t="s">
        <v>59</v>
      </c>
      <c r="L368" s="8"/>
      <c r="M368" s="8" t="s">
        <v>169</v>
      </c>
      <c r="N368" s="8" t="s">
        <v>929</v>
      </c>
    </row>
    <row r="369" spans="2:14" x14ac:dyDescent="0.25">
      <c r="B369" s="51">
        <v>45308</v>
      </c>
      <c r="C369" s="10" t="s">
        <v>11</v>
      </c>
      <c r="D369" s="10" t="s">
        <v>930</v>
      </c>
      <c r="E369" s="10"/>
      <c r="F369" s="10" t="s">
        <v>12</v>
      </c>
      <c r="G369" s="10" t="s">
        <v>36</v>
      </c>
      <c r="H369" s="10" t="s">
        <v>15</v>
      </c>
      <c r="I369" s="10" t="s">
        <v>931</v>
      </c>
      <c r="J369" s="10" t="s">
        <v>932</v>
      </c>
      <c r="K369" s="10" t="s">
        <v>59</v>
      </c>
      <c r="L369" s="10"/>
      <c r="M369" s="10" t="s">
        <v>169</v>
      </c>
      <c r="N369" s="10" t="s">
        <v>453</v>
      </c>
    </row>
    <row r="370" spans="2:14" x14ac:dyDescent="0.25">
      <c r="B370" s="50">
        <v>45272</v>
      </c>
      <c r="C370" s="8" t="s">
        <v>11</v>
      </c>
      <c r="D370" s="8" t="s">
        <v>933</v>
      </c>
      <c r="E370" s="8" t="s">
        <v>13</v>
      </c>
      <c r="F370" s="8" t="s">
        <v>16</v>
      </c>
      <c r="G370" s="8" t="s">
        <v>30</v>
      </c>
      <c r="H370" s="8" t="s">
        <v>15</v>
      </c>
      <c r="I370" s="8" t="s">
        <v>934</v>
      </c>
      <c r="J370" s="8" t="s">
        <v>935</v>
      </c>
      <c r="K370" s="8" t="s">
        <v>935</v>
      </c>
      <c r="L370" s="8"/>
      <c r="M370" s="8" t="s">
        <v>169</v>
      </c>
      <c r="N370" s="8" t="s">
        <v>936</v>
      </c>
    </row>
    <row r="371" spans="2:14" x14ac:dyDescent="0.25">
      <c r="B371" s="51">
        <v>45272</v>
      </c>
      <c r="C371" s="10" t="s">
        <v>11</v>
      </c>
      <c r="D371" s="10" t="s">
        <v>937</v>
      </c>
      <c r="E371" s="10" t="s">
        <v>13</v>
      </c>
      <c r="F371" s="10" t="s">
        <v>16</v>
      </c>
      <c r="G371" s="10" t="s">
        <v>30</v>
      </c>
      <c r="H371" s="10" t="s">
        <v>15</v>
      </c>
      <c r="I371" s="10" t="s">
        <v>934</v>
      </c>
      <c r="J371" s="10" t="s">
        <v>935</v>
      </c>
      <c r="K371" s="10" t="s">
        <v>935</v>
      </c>
      <c r="L371" s="10"/>
      <c r="M371" s="10" t="s">
        <v>169</v>
      </c>
      <c r="N371" s="10" t="s">
        <v>938</v>
      </c>
    </row>
    <row r="372" spans="2:14" x14ac:dyDescent="0.25">
      <c r="B372" s="50">
        <v>45278</v>
      </c>
      <c r="C372" s="8" t="s">
        <v>11</v>
      </c>
      <c r="D372" s="8" t="s">
        <v>939</v>
      </c>
      <c r="E372" s="8" t="s">
        <v>940</v>
      </c>
      <c r="F372" s="8" t="s">
        <v>16</v>
      </c>
      <c r="G372" s="8" t="s">
        <v>36</v>
      </c>
      <c r="H372" s="8" t="s">
        <v>17</v>
      </c>
      <c r="I372" s="8" t="s">
        <v>941</v>
      </c>
      <c r="J372" s="8" t="s">
        <v>503</v>
      </c>
      <c r="K372" s="8" t="s">
        <v>442</v>
      </c>
      <c r="L372" s="8"/>
      <c r="M372" s="8" t="s">
        <v>169</v>
      </c>
      <c r="N372" s="8" t="s">
        <v>942</v>
      </c>
    </row>
    <row r="373" spans="2:14" x14ac:dyDescent="0.25">
      <c r="B373" s="51">
        <v>44929</v>
      </c>
      <c r="C373" s="10" t="s">
        <v>11</v>
      </c>
      <c r="D373" s="10" t="s">
        <v>45</v>
      </c>
      <c r="E373" s="10" t="s">
        <v>305</v>
      </c>
      <c r="F373" s="10" t="s">
        <v>12</v>
      </c>
      <c r="G373" s="10" t="s">
        <v>36</v>
      </c>
      <c r="H373" s="10" t="s">
        <v>17</v>
      </c>
      <c r="I373" s="10" t="s">
        <v>943</v>
      </c>
      <c r="J373" s="10" t="s">
        <v>944</v>
      </c>
      <c r="K373" s="10" t="s">
        <v>944</v>
      </c>
      <c r="L373" s="10"/>
      <c r="M373" s="10" t="s">
        <v>169</v>
      </c>
      <c r="N373" s="10" t="s">
        <v>945</v>
      </c>
    </row>
    <row r="374" spans="2:14" x14ac:dyDescent="0.25">
      <c r="B374" s="50">
        <v>45110</v>
      </c>
      <c r="C374" s="8" t="s">
        <v>11</v>
      </c>
      <c r="D374" s="8" t="s">
        <v>946</v>
      </c>
      <c r="E374" s="8" t="s">
        <v>947</v>
      </c>
      <c r="F374" s="8" t="s">
        <v>12</v>
      </c>
      <c r="G374" s="8" t="s">
        <v>425</v>
      </c>
      <c r="H374" s="8" t="s">
        <v>425</v>
      </c>
      <c r="I374" s="8" t="s">
        <v>435</v>
      </c>
      <c r="J374" s="8" t="s">
        <v>948</v>
      </c>
      <c r="K374" s="8" t="s">
        <v>348</v>
      </c>
      <c r="L374" s="8"/>
      <c r="M374" s="8" t="s">
        <v>169</v>
      </c>
      <c r="N374" s="8" t="s">
        <v>645</v>
      </c>
    </row>
    <row r="375" spans="2:14" x14ac:dyDescent="0.25">
      <c r="B375" s="51">
        <v>45140</v>
      </c>
      <c r="C375" s="10" t="s">
        <v>11</v>
      </c>
      <c r="D375" s="10" t="s">
        <v>949</v>
      </c>
      <c r="E375" s="10" t="s">
        <v>506</v>
      </c>
      <c r="F375" s="10" t="s">
        <v>12</v>
      </c>
      <c r="G375" s="10" t="s">
        <v>425</v>
      </c>
      <c r="H375" s="10" t="s">
        <v>425</v>
      </c>
      <c r="I375" s="10" t="s">
        <v>431</v>
      </c>
      <c r="J375" s="10" t="s">
        <v>950</v>
      </c>
      <c r="K375" s="10" t="s">
        <v>12</v>
      </c>
      <c r="L375" s="10"/>
      <c r="M375" s="10" t="s">
        <v>169</v>
      </c>
      <c r="N375" s="10" t="s">
        <v>645</v>
      </c>
    </row>
    <row r="376" spans="2:14" x14ac:dyDescent="0.25">
      <c r="B376" s="50">
        <v>45315</v>
      </c>
      <c r="C376" s="8" t="s">
        <v>11</v>
      </c>
      <c r="D376" s="8" t="s">
        <v>62</v>
      </c>
      <c r="E376" s="8" t="s">
        <v>13</v>
      </c>
      <c r="F376" s="8" t="s">
        <v>16</v>
      </c>
      <c r="G376" s="8" t="s">
        <v>14</v>
      </c>
      <c r="H376" s="8" t="s">
        <v>17</v>
      </c>
      <c r="I376" s="8" t="s">
        <v>32</v>
      </c>
      <c r="J376" s="8" t="s">
        <v>216</v>
      </c>
      <c r="K376" s="8" t="s">
        <v>216</v>
      </c>
      <c r="L376" s="8"/>
      <c r="M376" s="8" t="s">
        <v>169</v>
      </c>
      <c r="N376" s="8" t="s">
        <v>951</v>
      </c>
    </row>
    <row r="377" spans="2:14" x14ac:dyDescent="0.25">
      <c r="B377" s="51">
        <v>45184</v>
      </c>
      <c r="C377" s="10" t="s">
        <v>11</v>
      </c>
      <c r="D377" s="10" t="s">
        <v>212</v>
      </c>
      <c r="E377" s="10" t="s">
        <v>13</v>
      </c>
      <c r="F377" s="10" t="s">
        <v>12</v>
      </c>
      <c r="G377" s="10" t="s">
        <v>14</v>
      </c>
      <c r="H377" s="10" t="s">
        <v>15</v>
      </c>
      <c r="I377" s="10" t="s">
        <v>813</v>
      </c>
      <c r="J377" s="10" t="s">
        <v>31</v>
      </c>
      <c r="K377" s="10" t="s">
        <v>31</v>
      </c>
      <c r="L377" s="10"/>
      <c r="M377" s="10" t="s">
        <v>169</v>
      </c>
      <c r="N377" s="10" t="s">
        <v>952</v>
      </c>
    </row>
    <row r="378" spans="2:14" x14ac:dyDescent="0.25">
      <c r="B378" s="50">
        <v>45208</v>
      </c>
      <c r="C378" s="8" t="s">
        <v>11</v>
      </c>
      <c r="D378" s="8" t="s">
        <v>252</v>
      </c>
      <c r="E378" s="8" t="s">
        <v>581</v>
      </c>
      <c r="F378" s="8" t="s">
        <v>12</v>
      </c>
      <c r="G378" s="8" t="s">
        <v>36</v>
      </c>
      <c r="H378" s="8" t="s">
        <v>15</v>
      </c>
      <c r="I378" s="8" t="s">
        <v>224</v>
      </c>
      <c r="J378" s="8" t="s">
        <v>82</v>
      </c>
      <c r="K378" s="8" t="s">
        <v>12</v>
      </c>
      <c r="L378" s="8"/>
      <c r="M378" s="8" t="s">
        <v>169</v>
      </c>
      <c r="N378" s="8" t="s">
        <v>645</v>
      </c>
    </row>
    <row r="379" spans="2:14" x14ac:dyDescent="0.25">
      <c r="B379" s="51">
        <v>45210</v>
      </c>
      <c r="C379" s="10" t="s">
        <v>11</v>
      </c>
      <c r="D379" s="10" t="s">
        <v>953</v>
      </c>
      <c r="E379" s="10"/>
      <c r="F379" s="10" t="s">
        <v>12</v>
      </c>
      <c r="G379" s="10" t="s">
        <v>30</v>
      </c>
      <c r="H379" s="10" t="s">
        <v>15</v>
      </c>
      <c r="I379" s="10" t="s">
        <v>954</v>
      </c>
      <c r="J379" s="10" t="s">
        <v>83</v>
      </c>
      <c r="K379" s="10" t="s">
        <v>12</v>
      </c>
      <c r="L379" s="10"/>
      <c r="M379" s="10" t="s">
        <v>169</v>
      </c>
      <c r="N379" s="10" t="s">
        <v>645</v>
      </c>
    </row>
    <row r="380" spans="2:14" x14ac:dyDescent="0.25">
      <c r="B380" s="50">
        <v>45320</v>
      </c>
      <c r="C380" s="8" t="s">
        <v>11</v>
      </c>
      <c r="D380" s="8" t="s">
        <v>474</v>
      </c>
      <c r="E380" s="8" t="s">
        <v>13</v>
      </c>
      <c r="F380" s="8" t="s">
        <v>12</v>
      </c>
      <c r="G380" s="8" t="s">
        <v>233</v>
      </c>
      <c r="H380" s="8" t="s">
        <v>17</v>
      </c>
      <c r="I380" s="8" t="s">
        <v>32</v>
      </c>
      <c r="J380" s="8" t="s">
        <v>53</v>
      </c>
      <c r="K380" s="8" t="s">
        <v>53</v>
      </c>
      <c r="L380" s="8"/>
      <c r="M380" s="8" t="s">
        <v>169</v>
      </c>
      <c r="N380" s="8" t="s">
        <v>645</v>
      </c>
    </row>
    <row r="381" spans="2:14" x14ac:dyDescent="0.25">
      <c r="B381" s="51">
        <v>45329</v>
      </c>
      <c r="C381" s="10" t="s">
        <v>11</v>
      </c>
      <c r="D381" s="10" t="s">
        <v>572</v>
      </c>
      <c r="E381" s="10" t="s">
        <v>13</v>
      </c>
      <c r="F381" s="10" t="s">
        <v>12</v>
      </c>
      <c r="G381" s="10" t="s">
        <v>34</v>
      </c>
      <c r="H381" s="10" t="s">
        <v>15</v>
      </c>
      <c r="I381" s="10" t="s">
        <v>41</v>
      </c>
      <c r="J381" s="10" t="s">
        <v>35</v>
      </c>
      <c r="K381" s="10" t="s">
        <v>35</v>
      </c>
      <c r="L381" s="10"/>
      <c r="M381" s="10" t="s">
        <v>169</v>
      </c>
      <c r="N381" s="10" t="s">
        <v>69</v>
      </c>
    </row>
    <row r="382" spans="2:14" x14ac:dyDescent="0.25">
      <c r="B382" s="50">
        <v>45320</v>
      </c>
      <c r="C382" s="8" t="s">
        <v>11</v>
      </c>
      <c r="D382" s="8" t="s">
        <v>955</v>
      </c>
      <c r="E382" s="8" t="s">
        <v>13</v>
      </c>
      <c r="F382" s="8" t="s">
        <v>16</v>
      </c>
      <c r="G382" s="8" t="s">
        <v>30</v>
      </c>
      <c r="H382" s="8" t="s">
        <v>17</v>
      </c>
      <c r="I382" s="8" t="s">
        <v>956</v>
      </c>
      <c r="J382" s="8" t="s">
        <v>758</v>
      </c>
      <c r="K382" s="8" t="s">
        <v>357</v>
      </c>
      <c r="L382" s="8"/>
      <c r="M382" s="8" t="s">
        <v>169</v>
      </c>
      <c r="N382" s="8" t="s">
        <v>957</v>
      </c>
    </row>
    <row r="383" spans="2:14" x14ac:dyDescent="0.25">
      <c r="B383" s="51">
        <v>45063</v>
      </c>
      <c r="C383" s="10" t="s">
        <v>11</v>
      </c>
      <c r="D383" s="10" t="s">
        <v>958</v>
      </c>
      <c r="E383" s="10" t="s">
        <v>959</v>
      </c>
      <c r="F383" s="10" t="s">
        <v>12</v>
      </c>
      <c r="G383" s="10" t="s">
        <v>425</v>
      </c>
      <c r="H383" s="10" t="s">
        <v>15</v>
      </c>
      <c r="I383" s="10" t="s">
        <v>768</v>
      </c>
      <c r="J383" s="10" t="s">
        <v>950</v>
      </c>
      <c r="K383" s="10" t="s">
        <v>348</v>
      </c>
      <c r="L383" s="10"/>
      <c r="M383" s="10" t="s">
        <v>169</v>
      </c>
      <c r="N383" s="10" t="s">
        <v>645</v>
      </c>
    </row>
    <row r="384" spans="2:14" x14ac:dyDescent="0.25">
      <c r="B384" s="50">
        <v>45322</v>
      </c>
      <c r="C384" s="8" t="s">
        <v>11</v>
      </c>
      <c r="D384" s="8" t="s">
        <v>960</v>
      </c>
      <c r="E384" s="8" t="s">
        <v>13</v>
      </c>
      <c r="F384" s="8" t="s">
        <v>16</v>
      </c>
      <c r="G384" s="8" t="s">
        <v>30</v>
      </c>
      <c r="H384" s="8" t="s">
        <v>17</v>
      </c>
      <c r="I384" s="8" t="s">
        <v>961</v>
      </c>
      <c r="J384" s="8" t="s">
        <v>962</v>
      </c>
      <c r="K384" s="8" t="s">
        <v>962</v>
      </c>
      <c r="L384" s="8"/>
      <c r="M384" s="8" t="s">
        <v>169</v>
      </c>
      <c r="N384" s="8" t="s">
        <v>963</v>
      </c>
    </row>
    <row r="385" spans="2:14" x14ac:dyDescent="0.25">
      <c r="B385" s="51">
        <v>45329</v>
      </c>
      <c r="C385" s="10" t="s">
        <v>11</v>
      </c>
      <c r="D385" s="10" t="s">
        <v>964</v>
      </c>
      <c r="E385" s="10" t="s">
        <v>13</v>
      </c>
      <c r="F385" s="10" t="s">
        <v>16</v>
      </c>
      <c r="G385" s="10" t="s">
        <v>30</v>
      </c>
      <c r="H385" s="10" t="s">
        <v>15</v>
      </c>
      <c r="I385" s="10" t="s">
        <v>209</v>
      </c>
      <c r="J385" s="10" t="s">
        <v>83</v>
      </c>
      <c r="K385" s="10" t="s">
        <v>59</v>
      </c>
      <c r="L385" s="10"/>
      <c r="M385" s="10" t="s">
        <v>169</v>
      </c>
      <c r="N385" s="10" t="s">
        <v>965</v>
      </c>
    </row>
    <row r="386" spans="2:14" x14ac:dyDescent="0.25">
      <c r="B386" s="50">
        <v>45317</v>
      </c>
      <c r="C386" s="8" t="s">
        <v>11</v>
      </c>
      <c r="D386" s="8" t="s">
        <v>966</v>
      </c>
      <c r="E386" s="8" t="s">
        <v>13</v>
      </c>
      <c r="F386" s="8" t="s">
        <v>12</v>
      </c>
      <c r="G386" s="8" t="s">
        <v>36</v>
      </c>
      <c r="H386" s="8" t="s">
        <v>15</v>
      </c>
      <c r="I386" s="8" t="s">
        <v>967</v>
      </c>
      <c r="J386" s="8" t="s">
        <v>968</v>
      </c>
      <c r="K386" s="8" t="s">
        <v>12</v>
      </c>
      <c r="L386" s="8"/>
      <c r="M386" s="8" t="s">
        <v>169</v>
      </c>
      <c r="N386" s="8" t="s">
        <v>453</v>
      </c>
    </row>
    <row r="387" spans="2:14" x14ac:dyDescent="0.25">
      <c r="B387" s="51">
        <v>45349</v>
      </c>
      <c r="C387" s="10" t="s">
        <v>11</v>
      </c>
      <c r="D387" s="10" t="s">
        <v>969</v>
      </c>
      <c r="E387" s="10" t="s">
        <v>13</v>
      </c>
      <c r="F387" s="10" t="s">
        <v>12</v>
      </c>
      <c r="G387" s="10" t="s">
        <v>233</v>
      </c>
      <c r="H387" s="10" t="s">
        <v>17</v>
      </c>
      <c r="I387" s="10" t="s">
        <v>32</v>
      </c>
      <c r="J387" s="10" t="s">
        <v>47</v>
      </c>
      <c r="K387" s="10" t="s">
        <v>59</v>
      </c>
      <c r="L387" s="10"/>
      <c r="M387" s="10" t="s">
        <v>169</v>
      </c>
      <c r="N387" s="10" t="s">
        <v>453</v>
      </c>
    </row>
    <row r="388" spans="2:14" x14ac:dyDescent="0.25">
      <c r="B388" s="50">
        <v>45253</v>
      </c>
      <c r="C388" s="8" t="s">
        <v>11</v>
      </c>
      <c r="D388" s="8" t="s">
        <v>970</v>
      </c>
      <c r="E388" s="8"/>
      <c r="F388" s="8" t="s">
        <v>12</v>
      </c>
      <c r="G388" s="8" t="s">
        <v>36</v>
      </c>
      <c r="H388" s="8" t="s">
        <v>15</v>
      </c>
      <c r="I388" s="8" t="s">
        <v>71</v>
      </c>
      <c r="J388" s="8" t="s">
        <v>74</v>
      </c>
      <c r="K388" s="8" t="s">
        <v>348</v>
      </c>
      <c r="L388" s="8"/>
      <c r="M388" s="8" t="s">
        <v>169</v>
      </c>
      <c r="N388" s="8" t="s">
        <v>531</v>
      </c>
    </row>
    <row r="389" spans="2:14" x14ac:dyDescent="0.25">
      <c r="B389" s="51">
        <v>45330</v>
      </c>
      <c r="C389" s="10" t="s">
        <v>11</v>
      </c>
      <c r="D389" s="10" t="s">
        <v>804</v>
      </c>
      <c r="E389" s="10" t="s">
        <v>971</v>
      </c>
      <c r="F389" s="10" t="s">
        <v>12</v>
      </c>
      <c r="G389" s="10" t="s">
        <v>455</v>
      </c>
      <c r="H389" s="10" t="s">
        <v>17</v>
      </c>
      <c r="I389" s="10" t="s">
        <v>806</v>
      </c>
      <c r="J389" s="10" t="s">
        <v>487</v>
      </c>
      <c r="K389" s="10" t="s">
        <v>59</v>
      </c>
      <c r="L389" s="10"/>
      <c r="M389" s="10" t="s">
        <v>169</v>
      </c>
      <c r="N389" s="10" t="s">
        <v>453</v>
      </c>
    </row>
    <row r="390" spans="2:14" x14ac:dyDescent="0.25">
      <c r="B390" s="50">
        <v>45349</v>
      </c>
      <c r="C390" s="8" t="s">
        <v>11</v>
      </c>
      <c r="D390" s="8" t="s">
        <v>413</v>
      </c>
      <c r="E390" s="8" t="s">
        <v>13</v>
      </c>
      <c r="F390" s="8" t="s">
        <v>12</v>
      </c>
      <c r="G390" s="8" t="s">
        <v>233</v>
      </c>
      <c r="H390" s="8" t="s">
        <v>17</v>
      </c>
      <c r="I390" s="8" t="s">
        <v>32</v>
      </c>
      <c r="J390" s="8" t="s">
        <v>47</v>
      </c>
      <c r="K390" s="8" t="s">
        <v>59</v>
      </c>
      <c r="L390" s="8"/>
      <c r="M390" s="8" t="s">
        <v>169</v>
      </c>
      <c r="N390" s="8" t="s">
        <v>531</v>
      </c>
    </row>
    <row r="391" spans="2:14" x14ac:dyDescent="0.25">
      <c r="B391" s="51">
        <v>45349</v>
      </c>
      <c r="C391" s="10" t="s">
        <v>11</v>
      </c>
      <c r="D391" s="10" t="s">
        <v>972</v>
      </c>
      <c r="E391" s="10" t="s">
        <v>13</v>
      </c>
      <c r="F391" s="10" t="s">
        <v>12</v>
      </c>
      <c r="G391" s="10" t="s">
        <v>233</v>
      </c>
      <c r="H391" s="10" t="s">
        <v>17</v>
      </c>
      <c r="I391" s="10" t="s">
        <v>32</v>
      </c>
      <c r="J391" s="10" t="s">
        <v>47</v>
      </c>
      <c r="K391" s="10" t="s">
        <v>59</v>
      </c>
      <c r="L391" s="10"/>
      <c r="M391" s="10" t="s">
        <v>169</v>
      </c>
      <c r="N391" s="10" t="s">
        <v>973</v>
      </c>
    </row>
    <row r="392" spans="2:14" x14ac:dyDescent="0.25">
      <c r="B392" s="50">
        <v>45301</v>
      </c>
      <c r="C392" s="8" t="s">
        <v>11</v>
      </c>
      <c r="D392" s="8" t="s">
        <v>44</v>
      </c>
      <c r="E392" s="8"/>
      <c r="F392" s="8" t="s">
        <v>12</v>
      </c>
      <c r="G392" s="8" t="s">
        <v>36</v>
      </c>
      <c r="H392" s="8" t="s">
        <v>15</v>
      </c>
      <c r="I392" s="8" t="s">
        <v>71</v>
      </c>
      <c r="J392" s="8" t="s">
        <v>76</v>
      </c>
      <c r="K392" s="8" t="s">
        <v>348</v>
      </c>
      <c r="L392" s="8"/>
      <c r="M392" s="8" t="s">
        <v>169</v>
      </c>
      <c r="N392" s="8" t="s">
        <v>453</v>
      </c>
    </row>
    <row r="393" spans="2:14" x14ac:dyDescent="0.25">
      <c r="B393" s="51">
        <v>45338</v>
      </c>
      <c r="C393" s="10" t="s">
        <v>11</v>
      </c>
      <c r="D393" s="10" t="s">
        <v>974</v>
      </c>
      <c r="E393" s="10"/>
      <c r="F393" s="10" t="s">
        <v>16</v>
      </c>
      <c r="G393" s="10" t="s">
        <v>30</v>
      </c>
      <c r="H393" s="10" t="s">
        <v>15</v>
      </c>
      <c r="I393" s="10" t="s">
        <v>975</v>
      </c>
      <c r="J393" s="10" t="s">
        <v>976</v>
      </c>
      <c r="K393" s="10" t="s">
        <v>442</v>
      </c>
      <c r="L393" s="10"/>
      <c r="M393" s="10" t="s">
        <v>169</v>
      </c>
      <c r="N393" s="10" t="s">
        <v>977</v>
      </c>
    </row>
    <row r="394" spans="2:14" x14ac:dyDescent="0.25">
      <c r="B394" s="50">
        <v>45359</v>
      </c>
      <c r="C394" s="8" t="s">
        <v>11</v>
      </c>
      <c r="D394" s="8" t="s">
        <v>849</v>
      </c>
      <c r="E394" s="8" t="s">
        <v>13</v>
      </c>
      <c r="F394" s="8" t="s">
        <v>12</v>
      </c>
      <c r="G394" s="8" t="s">
        <v>233</v>
      </c>
      <c r="H394" s="8" t="s">
        <v>17</v>
      </c>
      <c r="I394" s="8" t="s">
        <v>32</v>
      </c>
      <c r="J394" s="8" t="s">
        <v>53</v>
      </c>
      <c r="K394" s="8" t="s">
        <v>12</v>
      </c>
      <c r="L394" s="8"/>
      <c r="M394" s="8" t="s">
        <v>169</v>
      </c>
      <c r="N394" s="8" t="s">
        <v>814</v>
      </c>
    </row>
    <row r="395" spans="2:14" x14ac:dyDescent="0.25">
      <c r="B395" s="51">
        <v>45132</v>
      </c>
      <c r="C395" s="10" t="s">
        <v>11</v>
      </c>
      <c r="D395" s="10" t="s">
        <v>978</v>
      </c>
      <c r="E395" s="10"/>
      <c r="F395" s="10" t="s">
        <v>12</v>
      </c>
      <c r="G395" s="10" t="s">
        <v>27</v>
      </c>
      <c r="H395" s="10" t="s">
        <v>17</v>
      </c>
      <c r="I395" s="10" t="s">
        <v>32</v>
      </c>
      <c r="J395" s="10" t="s">
        <v>979</v>
      </c>
      <c r="K395" s="10" t="s">
        <v>348</v>
      </c>
      <c r="L395" s="10"/>
      <c r="M395" s="10" t="s">
        <v>169</v>
      </c>
      <c r="N395" s="10" t="s">
        <v>980</v>
      </c>
    </row>
    <row r="396" spans="2:14" x14ac:dyDescent="0.25">
      <c r="B396" s="50">
        <v>45379</v>
      </c>
      <c r="C396" s="8" t="s">
        <v>11</v>
      </c>
      <c r="D396" s="8" t="s">
        <v>357</v>
      </c>
      <c r="E396" s="8"/>
      <c r="F396" s="8" t="s">
        <v>12</v>
      </c>
      <c r="G396" s="8" t="s">
        <v>27</v>
      </c>
      <c r="H396" s="8" t="s">
        <v>17</v>
      </c>
      <c r="I396" s="8" t="s">
        <v>198</v>
      </c>
      <c r="J396" s="8" t="s">
        <v>394</v>
      </c>
      <c r="K396" s="8" t="s">
        <v>12</v>
      </c>
      <c r="L396" s="8"/>
      <c r="M396" s="8" t="s">
        <v>169</v>
      </c>
      <c r="N396" s="8" t="s">
        <v>88</v>
      </c>
    </row>
    <row r="397" spans="2:14" x14ac:dyDescent="0.25">
      <c r="B397" s="51">
        <v>45338</v>
      </c>
      <c r="C397" s="10" t="s">
        <v>11</v>
      </c>
      <c r="D397" s="10" t="s">
        <v>981</v>
      </c>
      <c r="E397" s="10"/>
      <c r="F397" s="10" t="s">
        <v>16</v>
      </c>
      <c r="G397" s="10" t="s">
        <v>14</v>
      </c>
      <c r="H397" s="10" t="s">
        <v>17</v>
      </c>
      <c r="I397" s="10" t="s">
        <v>46</v>
      </c>
      <c r="J397" s="10" t="s">
        <v>63</v>
      </c>
      <c r="K397" s="10" t="s">
        <v>63</v>
      </c>
      <c r="L397" s="10"/>
      <c r="M397" s="10" t="s">
        <v>169</v>
      </c>
      <c r="N397" s="10" t="s">
        <v>982</v>
      </c>
    </row>
    <row r="398" spans="2:14" x14ac:dyDescent="0.25">
      <c r="B398" s="50">
        <v>45349</v>
      </c>
      <c r="C398" s="8" t="s">
        <v>11</v>
      </c>
      <c r="D398" s="8" t="s">
        <v>983</v>
      </c>
      <c r="E398" s="8" t="s">
        <v>984</v>
      </c>
      <c r="F398" s="8" t="s">
        <v>12</v>
      </c>
      <c r="G398" s="8" t="s">
        <v>455</v>
      </c>
      <c r="H398" s="8" t="s">
        <v>17</v>
      </c>
      <c r="I398" s="8" t="s">
        <v>985</v>
      </c>
      <c r="J398" s="8" t="s">
        <v>487</v>
      </c>
      <c r="K398" s="8" t="s">
        <v>59</v>
      </c>
      <c r="L398" s="8"/>
      <c r="M398" s="8" t="s">
        <v>169</v>
      </c>
      <c r="N398" s="8" t="s">
        <v>986</v>
      </c>
    </row>
    <row r="399" spans="2:14" x14ac:dyDescent="0.25">
      <c r="B399" s="51">
        <v>45341</v>
      </c>
      <c r="C399" s="10" t="s">
        <v>11</v>
      </c>
      <c r="D399" s="10" t="s">
        <v>89</v>
      </c>
      <c r="E399" s="10"/>
      <c r="F399" s="10" t="s">
        <v>16</v>
      </c>
      <c r="G399" s="10" t="s">
        <v>36</v>
      </c>
      <c r="H399" s="10" t="s">
        <v>17</v>
      </c>
      <c r="I399" s="10" t="s">
        <v>85</v>
      </c>
      <c r="J399" s="10" t="s">
        <v>987</v>
      </c>
      <c r="K399" s="10" t="s">
        <v>59</v>
      </c>
      <c r="L399" s="10"/>
      <c r="M399" s="10" t="s">
        <v>169</v>
      </c>
      <c r="N399" s="10" t="s">
        <v>988</v>
      </c>
    </row>
    <row r="400" spans="2:14" x14ac:dyDescent="0.25">
      <c r="B400" s="50">
        <v>45350</v>
      </c>
      <c r="C400" s="8" t="s">
        <v>11</v>
      </c>
      <c r="D400" s="8" t="s">
        <v>989</v>
      </c>
      <c r="E400" s="8"/>
      <c r="F400" s="8" t="s">
        <v>16</v>
      </c>
      <c r="G400" s="8" t="s">
        <v>14</v>
      </c>
      <c r="H400" s="8" t="s">
        <v>17</v>
      </c>
      <c r="I400" s="8" t="s">
        <v>990</v>
      </c>
      <c r="J400" s="8" t="s">
        <v>63</v>
      </c>
      <c r="K400" s="8" t="s">
        <v>28</v>
      </c>
      <c r="L400" s="8"/>
      <c r="M400" s="8" t="s">
        <v>169</v>
      </c>
      <c r="N400" s="8" t="s">
        <v>991</v>
      </c>
    </row>
    <row r="401" spans="2:14" x14ac:dyDescent="0.25">
      <c r="B401" s="51">
        <v>45359</v>
      </c>
      <c r="C401" s="10" t="s">
        <v>11</v>
      </c>
      <c r="D401" s="10" t="s">
        <v>992</v>
      </c>
      <c r="E401" s="10" t="s">
        <v>13</v>
      </c>
      <c r="F401" s="10" t="s">
        <v>12</v>
      </c>
      <c r="G401" s="10" t="s">
        <v>34</v>
      </c>
      <c r="H401" s="10" t="s">
        <v>17</v>
      </c>
      <c r="I401" s="10" t="s">
        <v>32</v>
      </c>
      <c r="J401" s="10" t="s">
        <v>35</v>
      </c>
      <c r="K401" s="10" t="s">
        <v>12</v>
      </c>
      <c r="L401" s="10"/>
      <c r="M401" s="10" t="s">
        <v>169</v>
      </c>
      <c r="N401" s="10" t="s">
        <v>453</v>
      </c>
    </row>
    <row r="402" spans="2:14" x14ac:dyDescent="0.25">
      <c r="B402" s="50">
        <v>45078</v>
      </c>
      <c r="C402" s="8" t="s">
        <v>11</v>
      </c>
      <c r="D402" s="8" t="s">
        <v>551</v>
      </c>
      <c r="E402" s="8" t="s">
        <v>993</v>
      </c>
      <c r="F402" s="8" t="s">
        <v>12</v>
      </c>
      <c r="G402" s="8" t="s">
        <v>425</v>
      </c>
      <c r="H402" s="8" t="s">
        <v>15</v>
      </c>
      <c r="I402" s="8" t="s">
        <v>768</v>
      </c>
      <c r="J402" s="8" t="s">
        <v>51</v>
      </c>
      <c r="K402" s="8" t="s">
        <v>348</v>
      </c>
      <c r="L402" s="8"/>
      <c r="M402" s="8" t="s">
        <v>169</v>
      </c>
      <c r="N402" s="8" t="s">
        <v>453</v>
      </c>
    </row>
    <row r="403" spans="2:14" x14ac:dyDescent="0.25">
      <c r="B403" s="51">
        <v>45320</v>
      </c>
      <c r="C403" s="10" t="s">
        <v>11</v>
      </c>
      <c r="D403" s="10" t="s">
        <v>902</v>
      </c>
      <c r="E403" s="10" t="s">
        <v>13</v>
      </c>
      <c r="F403" s="10" t="s">
        <v>12</v>
      </c>
      <c r="G403" s="10" t="s">
        <v>233</v>
      </c>
      <c r="H403" s="10" t="s">
        <v>17</v>
      </c>
      <c r="I403" s="10" t="s">
        <v>32</v>
      </c>
      <c r="J403" s="10" t="s">
        <v>47</v>
      </c>
      <c r="K403" s="10" t="s">
        <v>411</v>
      </c>
      <c r="L403" s="10"/>
      <c r="M403" s="10" t="s">
        <v>169</v>
      </c>
      <c r="N403" s="10" t="s">
        <v>453</v>
      </c>
    </row>
    <row r="404" spans="2:14" x14ac:dyDescent="0.25">
      <c r="B404" s="50">
        <v>45357</v>
      </c>
      <c r="C404" s="8" t="s">
        <v>11</v>
      </c>
      <c r="D404" s="8" t="s">
        <v>994</v>
      </c>
      <c r="E404" s="8" t="s">
        <v>801</v>
      </c>
      <c r="F404" s="8" t="s">
        <v>16</v>
      </c>
      <c r="G404" s="8" t="s">
        <v>36</v>
      </c>
      <c r="H404" s="8" t="s">
        <v>17</v>
      </c>
      <c r="I404" s="8" t="s">
        <v>32</v>
      </c>
      <c r="J404" s="8" t="s">
        <v>995</v>
      </c>
      <c r="K404" s="8" t="s">
        <v>59</v>
      </c>
      <c r="L404" s="8"/>
      <c r="M404" s="8" t="s">
        <v>169</v>
      </c>
      <c r="N404" s="8" t="s">
        <v>996</v>
      </c>
    </row>
    <row r="405" spans="2:14" x14ac:dyDescent="0.25">
      <c r="B405" s="51">
        <v>45028</v>
      </c>
      <c r="C405" s="10" t="s">
        <v>11</v>
      </c>
      <c r="D405" s="10" t="s">
        <v>997</v>
      </c>
      <c r="E405" s="10" t="s">
        <v>998</v>
      </c>
      <c r="F405" s="10" t="s">
        <v>12</v>
      </c>
      <c r="G405" s="10" t="s">
        <v>425</v>
      </c>
      <c r="H405" s="10" t="s">
        <v>425</v>
      </c>
      <c r="I405" s="10" t="s">
        <v>768</v>
      </c>
      <c r="J405" s="10" t="s">
        <v>950</v>
      </c>
      <c r="K405" s="10" t="s">
        <v>950</v>
      </c>
      <c r="L405" s="10"/>
      <c r="M405" s="10" t="s">
        <v>169</v>
      </c>
      <c r="N405" s="10" t="s">
        <v>999</v>
      </c>
    </row>
    <row r="406" spans="2:14" x14ac:dyDescent="0.25">
      <c r="B406" s="50">
        <v>45236</v>
      </c>
      <c r="C406" s="8" t="s">
        <v>11</v>
      </c>
      <c r="D406" s="8" t="s">
        <v>1000</v>
      </c>
      <c r="E406" s="8"/>
      <c r="F406" s="8" t="s">
        <v>12</v>
      </c>
      <c r="G406" s="8" t="s">
        <v>30</v>
      </c>
      <c r="H406" s="8" t="s">
        <v>17</v>
      </c>
      <c r="I406" s="8" t="s">
        <v>71</v>
      </c>
      <c r="J406" s="8" t="s">
        <v>83</v>
      </c>
      <c r="K406" s="8" t="s">
        <v>12</v>
      </c>
      <c r="L406" s="8"/>
      <c r="M406" s="8" t="s">
        <v>169</v>
      </c>
      <c r="N406" s="8" t="s">
        <v>453</v>
      </c>
    </row>
    <row r="407" spans="2:14" x14ac:dyDescent="0.25">
      <c r="B407" s="51">
        <v>45369</v>
      </c>
      <c r="C407" s="10" t="s">
        <v>11</v>
      </c>
      <c r="D407" s="10" t="s">
        <v>1001</v>
      </c>
      <c r="E407" s="10"/>
      <c r="F407" s="10" t="s">
        <v>16</v>
      </c>
      <c r="G407" s="10" t="s">
        <v>30</v>
      </c>
      <c r="H407" s="10" t="s">
        <v>17</v>
      </c>
      <c r="I407" s="10" t="s">
        <v>32</v>
      </c>
      <c r="J407" s="10" t="s">
        <v>83</v>
      </c>
      <c r="K407" s="10" t="s">
        <v>4</v>
      </c>
      <c r="L407" s="10"/>
      <c r="M407" s="10" t="s">
        <v>169</v>
      </c>
      <c r="N407" s="10" t="s">
        <v>1002</v>
      </c>
    </row>
    <row r="408" spans="2:14" x14ac:dyDescent="0.25">
      <c r="B408" s="50">
        <v>45370</v>
      </c>
      <c r="C408" s="8" t="s">
        <v>11</v>
      </c>
      <c r="D408" s="8" t="s">
        <v>1003</v>
      </c>
      <c r="E408" s="8" t="s">
        <v>1004</v>
      </c>
      <c r="F408" s="8" t="s">
        <v>16</v>
      </c>
      <c r="G408" s="8" t="s">
        <v>36</v>
      </c>
      <c r="H408" s="8" t="s">
        <v>17</v>
      </c>
      <c r="I408" s="8" t="s">
        <v>276</v>
      </c>
      <c r="J408" s="8" t="s">
        <v>626</v>
      </c>
      <c r="K408" s="8" t="s">
        <v>4</v>
      </c>
      <c r="L408" s="8"/>
      <c r="M408" s="8" t="s">
        <v>169</v>
      </c>
      <c r="N408" s="8" t="s">
        <v>1005</v>
      </c>
    </row>
    <row r="409" spans="2:14" x14ac:dyDescent="0.25">
      <c r="B409" s="51">
        <v>45370</v>
      </c>
      <c r="C409" s="10" t="s">
        <v>11</v>
      </c>
      <c r="D409" s="10" t="s">
        <v>1003</v>
      </c>
      <c r="E409" s="10" t="s">
        <v>1006</v>
      </c>
      <c r="F409" s="10" t="s">
        <v>16</v>
      </c>
      <c r="G409" s="10" t="s">
        <v>36</v>
      </c>
      <c r="H409" s="10" t="s">
        <v>17</v>
      </c>
      <c r="I409" s="10" t="s">
        <v>276</v>
      </c>
      <c r="J409" s="10" t="s">
        <v>626</v>
      </c>
      <c r="K409" s="10" t="s">
        <v>4</v>
      </c>
      <c r="L409" s="10"/>
      <c r="M409" s="10" t="s">
        <v>169</v>
      </c>
      <c r="N409" s="10" t="s">
        <v>1005</v>
      </c>
    </row>
    <row r="410" spans="2:14" x14ac:dyDescent="0.25">
      <c r="B410" s="50">
        <v>45370</v>
      </c>
      <c r="C410" s="8" t="s">
        <v>11</v>
      </c>
      <c r="D410" s="8" t="s">
        <v>1003</v>
      </c>
      <c r="E410" s="8" t="s">
        <v>1007</v>
      </c>
      <c r="F410" s="8" t="s">
        <v>16</v>
      </c>
      <c r="G410" s="8" t="s">
        <v>36</v>
      </c>
      <c r="H410" s="8" t="s">
        <v>17</v>
      </c>
      <c r="I410" s="8" t="s">
        <v>276</v>
      </c>
      <c r="J410" s="8" t="s">
        <v>626</v>
      </c>
      <c r="K410" s="8" t="s">
        <v>4</v>
      </c>
      <c r="L410" s="8"/>
      <c r="M410" s="8" t="s">
        <v>169</v>
      </c>
      <c r="N410" s="8" t="s">
        <v>1005</v>
      </c>
    </row>
    <row r="411" spans="2:14" x14ac:dyDescent="0.25">
      <c r="B411" s="51">
        <v>45370</v>
      </c>
      <c r="C411" s="10" t="s">
        <v>11</v>
      </c>
      <c r="D411" s="10" t="s">
        <v>1003</v>
      </c>
      <c r="E411" s="10" t="s">
        <v>1008</v>
      </c>
      <c r="F411" s="10" t="s">
        <v>16</v>
      </c>
      <c r="G411" s="10" t="s">
        <v>36</v>
      </c>
      <c r="H411" s="10" t="s">
        <v>17</v>
      </c>
      <c r="I411" s="10" t="s">
        <v>276</v>
      </c>
      <c r="J411" s="10" t="s">
        <v>626</v>
      </c>
      <c r="K411" s="10" t="s">
        <v>4</v>
      </c>
      <c r="L411" s="10"/>
      <c r="M411" s="10" t="s">
        <v>169</v>
      </c>
      <c r="N411" s="10" t="s">
        <v>1005</v>
      </c>
    </row>
    <row r="412" spans="2:14" x14ac:dyDescent="0.25">
      <c r="B412" s="50">
        <v>45415</v>
      </c>
      <c r="C412" s="8" t="s">
        <v>11</v>
      </c>
      <c r="D412" s="8" t="s">
        <v>1009</v>
      </c>
      <c r="E412" s="8" t="s">
        <v>13</v>
      </c>
      <c r="F412" s="8" t="s">
        <v>16</v>
      </c>
      <c r="G412" s="8" t="s">
        <v>14</v>
      </c>
      <c r="H412" s="8" t="s">
        <v>17</v>
      </c>
      <c r="I412" s="8" t="s">
        <v>234</v>
      </c>
      <c r="J412" s="8" t="s">
        <v>63</v>
      </c>
      <c r="K412" s="8" t="s">
        <v>63</v>
      </c>
      <c r="L412" s="8"/>
      <c r="M412" s="8" t="s">
        <v>169</v>
      </c>
      <c r="N412" s="8" t="s">
        <v>1010</v>
      </c>
    </row>
    <row r="413" spans="2:14" x14ac:dyDescent="0.25">
      <c r="B413" s="51">
        <v>45427</v>
      </c>
      <c r="C413" s="10" t="s">
        <v>11</v>
      </c>
      <c r="D413" s="10" t="s">
        <v>1011</v>
      </c>
      <c r="E413" s="10"/>
      <c r="F413" s="10" t="s">
        <v>12</v>
      </c>
      <c r="G413" s="10" t="s">
        <v>36</v>
      </c>
      <c r="H413" s="10" t="s">
        <v>17</v>
      </c>
      <c r="I413" s="10" t="s">
        <v>71</v>
      </c>
      <c r="J413" s="10" t="s">
        <v>452</v>
      </c>
      <c r="K413" s="10" t="s">
        <v>59</v>
      </c>
      <c r="L413" s="10"/>
      <c r="M413" s="10" t="s">
        <v>169</v>
      </c>
      <c r="N413" s="10" t="s">
        <v>453</v>
      </c>
    </row>
    <row r="414" spans="2:14" x14ac:dyDescent="0.25">
      <c r="B414" s="50">
        <v>45425</v>
      </c>
      <c r="C414" s="8" t="s">
        <v>11</v>
      </c>
      <c r="D414" s="8" t="s">
        <v>1012</v>
      </c>
      <c r="E414" s="8"/>
      <c r="F414" s="8" t="s">
        <v>16</v>
      </c>
      <c r="G414" s="8" t="s">
        <v>14</v>
      </c>
      <c r="H414" s="8" t="s">
        <v>17</v>
      </c>
      <c r="I414" s="8" t="s">
        <v>1013</v>
      </c>
      <c r="J414" s="8" t="s">
        <v>1014</v>
      </c>
      <c r="K414" s="8" t="s">
        <v>59</v>
      </c>
      <c r="L414" s="8"/>
      <c r="M414" s="8" t="s">
        <v>169</v>
      </c>
      <c r="N414" s="8" t="s">
        <v>1015</v>
      </c>
    </row>
    <row r="415" spans="2:14" x14ac:dyDescent="0.25">
      <c r="B415" s="51">
        <v>45433</v>
      </c>
      <c r="C415" s="10" t="s">
        <v>11</v>
      </c>
      <c r="D415" s="10" t="s">
        <v>852</v>
      </c>
      <c r="E415" s="10"/>
      <c r="F415" s="10" t="s">
        <v>12</v>
      </c>
      <c r="G415" s="10" t="s">
        <v>36</v>
      </c>
      <c r="H415" s="10" t="s">
        <v>17</v>
      </c>
      <c r="I415" s="10" t="s">
        <v>32</v>
      </c>
      <c r="J415" s="10" t="s">
        <v>647</v>
      </c>
      <c r="K415" s="10" t="s">
        <v>647</v>
      </c>
      <c r="L415" s="10"/>
      <c r="M415" s="10" t="s">
        <v>169</v>
      </c>
      <c r="N415" s="10" t="s">
        <v>1016</v>
      </c>
    </row>
    <row r="416" spans="2:14" x14ac:dyDescent="0.25">
      <c r="B416" s="50">
        <v>45436</v>
      </c>
      <c r="C416" s="8" t="s">
        <v>11</v>
      </c>
      <c r="D416" s="8" t="s">
        <v>1017</v>
      </c>
      <c r="E416" s="8"/>
      <c r="F416" s="8" t="s">
        <v>12</v>
      </c>
      <c r="G416" s="8" t="s">
        <v>27</v>
      </c>
      <c r="H416" s="8" t="s">
        <v>15</v>
      </c>
      <c r="I416" s="8" t="s">
        <v>41</v>
      </c>
      <c r="J416" s="8" t="s">
        <v>28</v>
      </c>
      <c r="K416" s="8" t="s">
        <v>28</v>
      </c>
      <c r="L416" s="8"/>
      <c r="M416" s="8" t="s">
        <v>169</v>
      </c>
      <c r="N416" s="8" t="s">
        <v>1018</v>
      </c>
    </row>
    <row r="417" spans="2:14" x14ac:dyDescent="0.25">
      <c r="B417" s="51">
        <v>45461</v>
      </c>
      <c r="C417" s="10" t="s">
        <v>11</v>
      </c>
      <c r="D417" s="10" t="s">
        <v>357</v>
      </c>
      <c r="E417" s="10"/>
      <c r="F417" s="10" t="s">
        <v>12</v>
      </c>
      <c r="G417" s="10" t="s">
        <v>27</v>
      </c>
      <c r="H417" s="10" t="s">
        <v>17</v>
      </c>
      <c r="I417" s="10" t="s">
        <v>1019</v>
      </c>
      <c r="J417" s="10" t="s">
        <v>394</v>
      </c>
      <c r="K417" s="10" t="s">
        <v>4</v>
      </c>
      <c r="L417" s="10"/>
      <c r="M417" s="10" t="s">
        <v>169</v>
      </c>
      <c r="N417" s="10" t="s">
        <v>453</v>
      </c>
    </row>
    <row r="418" spans="2:14" x14ac:dyDescent="0.25">
      <c r="B418" s="50">
        <v>45461</v>
      </c>
      <c r="C418" s="8" t="s">
        <v>11</v>
      </c>
      <c r="D418" s="8" t="s">
        <v>1020</v>
      </c>
      <c r="E418" s="8"/>
      <c r="F418" s="8" t="s">
        <v>12</v>
      </c>
      <c r="G418" s="8" t="s">
        <v>36</v>
      </c>
      <c r="H418" s="8" t="s">
        <v>17</v>
      </c>
      <c r="I418" s="8" t="s">
        <v>1021</v>
      </c>
      <c r="J418" s="8" t="s">
        <v>1022</v>
      </c>
      <c r="K418" s="8" t="s">
        <v>1022</v>
      </c>
      <c r="L418" s="8"/>
      <c r="M418" s="8" t="s">
        <v>169</v>
      </c>
      <c r="N418" s="8" t="s">
        <v>814</v>
      </c>
    </row>
    <row r="419" spans="2:14" x14ac:dyDescent="0.25">
      <c r="B419" s="51">
        <v>45484</v>
      </c>
      <c r="C419" s="10" t="s">
        <v>11</v>
      </c>
      <c r="D419" s="10" t="s">
        <v>1023</v>
      </c>
      <c r="E419" s="10" t="s">
        <v>13</v>
      </c>
      <c r="F419" s="10" t="s">
        <v>16</v>
      </c>
      <c r="G419" s="10" t="s">
        <v>14</v>
      </c>
      <c r="H419" s="10" t="s">
        <v>17</v>
      </c>
      <c r="I419" s="10" t="s">
        <v>264</v>
      </c>
      <c r="J419" s="10" t="s">
        <v>1014</v>
      </c>
      <c r="K419" s="10" t="s">
        <v>59</v>
      </c>
      <c r="L419" s="10"/>
      <c r="M419" s="10" t="s">
        <v>169</v>
      </c>
      <c r="N419" s="10" t="s">
        <v>1024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859962-25DC-46EE-8D29-2D516F57977E}">
  <sheetPr codeName="Sheet5"/>
  <dimension ref="A1:W50"/>
  <sheetViews>
    <sheetView workbookViewId="0">
      <selection activeCell="V2" sqref="V2:W6"/>
    </sheetView>
  </sheetViews>
  <sheetFormatPr defaultRowHeight="13.8" x14ac:dyDescent="0.25"/>
  <cols>
    <col min="1" max="1" width="23.796875" customWidth="1"/>
    <col min="2" max="2" width="25.796875" customWidth="1"/>
    <col min="3" max="3" width="30.796875" customWidth="1"/>
    <col min="7" max="7" width="9.5" customWidth="1"/>
    <col min="8" max="8" width="14.296875" customWidth="1"/>
    <col min="9" max="9" width="16.296875" customWidth="1"/>
    <col min="10" max="10" width="21" customWidth="1"/>
    <col min="12" max="12" width="9.5" customWidth="1"/>
    <col min="13" max="13" width="24.296875" customWidth="1"/>
    <col min="14" max="14" width="13.5" customWidth="1"/>
    <col min="17" max="17" width="9.5" customWidth="1"/>
    <col min="18" max="18" width="16.796875" customWidth="1"/>
    <col min="19" max="19" width="22" customWidth="1"/>
    <col min="20" max="20" width="19.5" customWidth="1"/>
  </cols>
  <sheetData>
    <row r="1" spans="1:23" ht="14.4" thickBot="1" x14ac:dyDescent="0.3">
      <c r="A1" s="4" t="s">
        <v>20</v>
      </c>
      <c r="B1" s="5" t="s">
        <v>12</v>
      </c>
      <c r="C1" s="6" t="s">
        <v>16</v>
      </c>
      <c r="D1" t="s">
        <v>18</v>
      </c>
      <c r="G1" s="97" t="s">
        <v>1544</v>
      </c>
      <c r="H1" s="97"/>
      <c r="I1" s="97"/>
      <c r="J1" s="97"/>
      <c r="K1" s="76"/>
      <c r="L1" s="97" t="s">
        <v>1025</v>
      </c>
      <c r="M1" s="97"/>
      <c r="N1" s="97"/>
      <c r="O1" s="97"/>
      <c r="Q1" s="80" t="s">
        <v>1546</v>
      </c>
      <c r="R1" s="82" t="s">
        <v>1075</v>
      </c>
      <c r="S1" s="82" t="s">
        <v>1077</v>
      </c>
      <c r="T1" s="83" t="s">
        <v>1076</v>
      </c>
      <c r="V1" t="s">
        <v>194</v>
      </c>
    </row>
    <row r="2" spans="1:23" x14ac:dyDescent="0.25">
      <c r="A2" s="1" t="str">
        <f t="array" ref="A2">IFERROR(INDEX(Table2[Ref], MATCH(0, IF(('Ref Sheet'!$D$1=Table2[Overall Status])*(('Ref Sheet'!$A$1=Table2[Legal])), COUNTIF($A$1:$A1,Table2[Ref]), ""), 0)),"")</f>
        <v/>
      </c>
      <c r="B2" s="2" t="str">
        <f t="array" ref="B2">IFERROR(INDEX(Table2[Ref], MATCH(0, IF(('Ref Sheet'!$D$1=Table2[Overall Status])*(('Ref Sheet'!$B$1=Table2[Legal])), COUNTIF($B$1:$B1,Table2[Ref]), ""), 0)),"")</f>
        <v>Vetoquinol  - Rebate Agreement 1</v>
      </c>
      <c r="C2" s="3" t="str">
        <f t="array" ref="C2">IFERROR(INDEX(Table2[Ref], MATCH(0, IF(('Ref Sheet'!$D$1=Table2[Overall Status])*(('Ref Sheet'!$C$1=Table2[Legal])), COUNTIF($C$1:$C1,Table2[Ref]), ""), 0)),"")</f>
        <v>Ladbrokes Betting &amp; Gaming Ltd - Services Agreement</v>
      </c>
      <c r="G2" t="s">
        <v>1546</v>
      </c>
      <c r="H2" s="82" t="s">
        <v>1026</v>
      </c>
      <c r="I2" s="82" t="s">
        <v>1027</v>
      </c>
      <c r="J2" s="82" t="s">
        <v>1028</v>
      </c>
      <c r="K2" s="77"/>
      <c r="L2" s="81" t="s">
        <v>1546</v>
      </c>
      <c r="M2" s="82" t="s">
        <v>1029</v>
      </c>
      <c r="N2" s="82" t="s">
        <v>1030</v>
      </c>
      <c r="O2" s="83" t="s">
        <v>1031</v>
      </c>
      <c r="Q2" s="81">
        <v>45292</v>
      </c>
      <c r="R2" s="48">
        <f ca="1">IF($Q2&gt;TODAY(),"",IFERROR(AVERAGEIFS(Table3[Days with],Table3[Date of Update],"&gt;="&amp;'Ref Sheet'!Q2,Table3[Date of Update],"&lt;"&amp;'Ref Sheet'!Q3,Table3[Who With],"Legal"),0))</f>
        <v>13.5</v>
      </c>
      <c r="S2" s="48">
        <f ca="1">IF($Q2&gt;TODAY(),"",IFERROR(AVERAGEIFS(Table3[Days with],Table3[Date of Update],"&gt;="&amp;'Ref Sheet'!Q2,Table3[Date of Update],"&lt;"&amp;'Ref Sheet'!Q3,Table3[Who With],"Internal Stakeholder"),0))</f>
        <v>26</v>
      </c>
      <c r="T2" s="69">
        <f ca="1">IF($Q2&gt;TODAY(),"",IFERROR(SUMIFS(Table2[Total Cycle Time],Table2[Date Received],"&gt;="&amp;$Q2,Table2[Date Received],"&lt;"&amp;$Q3)/COUNTIFS(Table2[Date Received],"&gt;="&amp;$Q2,Table2[Date Received],"&lt;"&amp;$Q3),""))</f>
        <v>24.1</v>
      </c>
      <c r="V2" s="46" t="s">
        <v>23</v>
      </c>
      <c r="W2">
        <f>COUNTIF(Table2[Stage],'Ref Sheet'!V2)</f>
        <v>10</v>
      </c>
    </row>
    <row r="3" spans="1:23" x14ac:dyDescent="0.25">
      <c r="A3" s="1" t="str">
        <f t="array" ref="A3">IFERROR(INDEX(Table2[Ref], MATCH(0, IF(('Ref Sheet'!$D$1=Table2[Overall Status])*(('Ref Sheet'!$A$1=Table2[Legal])), COUNTIF($A$1:$A2,Table2[Ref]), ""), 0)),"")</f>
        <v/>
      </c>
      <c r="B3" s="2" t="str">
        <f t="array" ref="B3">IFERROR(INDEX(Table2[Ref], MATCH(0, IF(('Ref Sheet'!$D$1=Table2[Overall Status])*(('Ref Sheet'!$B$1=Table2[Legal])), COUNTIF($B$1:$B2,Table2[Ref]), ""), 0)),"")</f>
        <v>Norbrook - Rebate Agreement 1</v>
      </c>
      <c r="C3" s="3" t="str">
        <f t="array" ref="C3">IFERROR(INDEX(Table2[Ref], MATCH(0, IF(('Ref Sheet'!$D$1=Table2[Overall Status])*(('Ref Sheet'!$C$1=Table2[Legal])), COUNTIF($C$1:$C2,Table2[Ref]), ""), 0)),"")</f>
        <v>Cats Protection - DPA</v>
      </c>
      <c r="G3" s="22">
        <v>44593</v>
      </c>
      <c r="H3" s="19">
        <v>6</v>
      </c>
      <c r="I3" s="19">
        <v>0</v>
      </c>
      <c r="J3" s="19">
        <v>6</v>
      </c>
      <c r="K3" s="78"/>
      <c r="L3" s="16">
        <v>44593</v>
      </c>
      <c r="M3" s="17"/>
      <c r="N3" s="18"/>
      <c r="O3" s="70"/>
      <c r="Q3" s="81">
        <v>45323</v>
      </c>
      <c r="R3" s="48">
        <f ca="1">IF($Q3&gt;TODAY(),"",IFERROR(AVERAGEIFS(Table3[Days with],Table3[Date of Update],"&gt;="&amp;'Ref Sheet'!Q3,Table3[Date of Update],"&lt;"&amp;'Ref Sheet'!Q4,Table3[Who With],"Legal"),0))</f>
        <v>19.272727272727273</v>
      </c>
      <c r="S3" s="48">
        <f ca="1">IF($Q3&gt;TODAY(),"",IFERROR(AVERAGEIFS(Table3[Days with],Table3[Date of Update],"&gt;="&amp;'Ref Sheet'!Q3,Table3[Date of Update],"&lt;"&amp;'Ref Sheet'!Q4,Table3[Who With],"Internal Stakeholder"),0))</f>
        <v>23.333333333333332</v>
      </c>
      <c r="T3" s="69">
        <f ca="1">IF($Q3&gt;TODAY(),"",IFERROR(SUMIFS(Table2[Total Cycle Time],Table2[Date Received],"&gt;="&amp;$Q3,Table2[Date Received],"&lt;"&amp;$Q4)/COUNTIFS(Table2[Date Received],"&gt;="&amp;$Q3,Table2[Date Received],"&lt;"&amp;$Q4),""))</f>
        <v>14.2</v>
      </c>
      <c r="V3" s="46" t="s">
        <v>164</v>
      </c>
      <c r="W3">
        <f>COUNTIF(Table2[Stage],'Ref Sheet'!V3)</f>
        <v>2</v>
      </c>
    </row>
    <row r="4" spans="1:23" x14ac:dyDescent="0.25">
      <c r="A4" s="1" t="str">
        <f t="array" ref="A4">IFERROR(INDEX(Table2[Ref], MATCH(0, IF(('Ref Sheet'!$D$1=Table2[Overall Status])*(('Ref Sheet'!$A$1=Table2[Legal])), COUNTIF($A$1:$A3,Table2[Ref]), ""), 0)),"")</f>
        <v/>
      </c>
      <c r="B4" s="2" t="str">
        <f t="array" ref="B4">IFERROR(INDEX(Table2[Ref], MATCH(0, IF(('Ref Sheet'!$D$1=Table2[Overall Status])*(('Ref Sheet'!$B$1=Table2[Legal])), COUNTIF($B$1:$B3,Table2[Ref]), ""), 0)),"")</f>
        <v>PVA - Service Level Agreement</v>
      </c>
      <c r="C4" s="3" t="str">
        <f t="array" ref="C4">IFERROR(INDEX(Table2[Ref], MATCH(0, IF(('Ref Sheet'!$D$1=Table2[Overall Status])*(('Ref Sheet'!$C$1=Table2[Legal])), COUNTIF($C$1:$C3,Table2[Ref]), ""), 0)),"")</f>
        <v>Siemens Financial Services Limited - Novation Agreement</v>
      </c>
      <c r="G4" s="22">
        <v>44621</v>
      </c>
      <c r="H4" s="19">
        <v>17</v>
      </c>
      <c r="I4" s="19">
        <v>11</v>
      </c>
      <c r="J4" s="19">
        <v>12</v>
      </c>
      <c r="K4" s="78"/>
      <c r="L4" s="16">
        <v>44621</v>
      </c>
      <c r="M4" s="17"/>
      <c r="N4" s="18"/>
      <c r="O4" s="70"/>
      <c r="Q4" s="81">
        <v>45352</v>
      </c>
      <c r="R4" s="48">
        <f ca="1">IF($Q4&gt;TODAY(),"",IFERROR(AVERAGEIFS(Table3[Days with],Table3[Date of Update],"&gt;="&amp;'Ref Sheet'!Q4,Table3[Date of Update],"&lt;"&amp;'Ref Sheet'!Q5,Table3[Who With],"Legal"),0))</f>
        <v>20.38095238095238</v>
      </c>
      <c r="S4" s="48">
        <f ca="1">IF($Q4&gt;TODAY(),"",IFERROR(AVERAGEIFS(Table3[Days with],Table3[Date of Update],"&gt;="&amp;'Ref Sheet'!Q4,Table3[Date of Update],"&lt;"&amp;'Ref Sheet'!Q5,Table3[Who With],"Internal Stakeholder"),0))</f>
        <v>274.33333333333331</v>
      </c>
      <c r="T4" s="69">
        <f ca="1">IF($Q4&gt;TODAY(),"",IFERROR(SUMIFS(Table2[Total Cycle Time],Table2[Date Received],"&gt;="&amp;$Q4,Table2[Date Received],"&lt;"&amp;$Q5)/COUNTIFS(Table2[Date Received],"&gt;="&amp;$Q4,Table2[Date Received],"&lt;"&amp;$Q5),""))</f>
        <v>32.07692307692308</v>
      </c>
      <c r="V4" s="46" t="s">
        <v>166</v>
      </c>
      <c r="W4">
        <f>COUNTIF(Table2[Stage],'Ref Sheet'!V4)</f>
        <v>3</v>
      </c>
    </row>
    <row r="5" spans="1:23" x14ac:dyDescent="0.25">
      <c r="A5" s="1" t="str">
        <f t="array" ref="A5">IFERROR(INDEX(Table2[Ref], MATCH(0, IF(('Ref Sheet'!$D$1=Table2[Overall Status])*(('Ref Sheet'!$A$1=Table2[Legal])), COUNTIF($A$1:$A4,Table2[Ref]), ""), 0)),"")</f>
        <v/>
      </c>
      <c r="B5" s="2" t="str">
        <f t="array" ref="B5">IFERROR(INDEX(Table2[Ref], MATCH(0, IF(('Ref Sheet'!$D$1=Table2[Overall Status])*(('Ref Sheet'!$B$1=Table2[Legal])), COUNTIF($B$1:$B4,Table2[Ref]), ""), 0)),"")</f>
        <v>VetIT - Services Agreement</v>
      </c>
      <c r="C5" s="3" t="str">
        <f t="array" ref="C5">IFERROR(INDEX(Table2[Ref], MATCH(0, IF(('Ref Sheet'!$D$1=Table2[Overall Status])*(('Ref Sheet'!$C$1=Table2[Legal])), COUNTIF($C$1:$C4,Table2[Ref]), ""), 0)),"")</f>
        <v>Graham Oliver - Consultancy Agreement</v>
      </c>
      <c r="G5" s="22">
        <v>44652</v>
      </c>
      <c r="H5" s="19">
        <v>12</v>
      </c>
      <c r="I5" s="19">
        <v>10</v>
      </c>
      <c r="J5" s="19">
        <v>14</v>
      </c>
      <c r="K5" s="78"/>
      <c r="L5" s="16">
        <v>44652</v>
      </c>
      <c r="M5" s="17"/>
      <c r="N5" s="18"/>
      <c r="O5" s="70"/>
      <c r="Q5" s="81">
        <v>45383</v>
      </c>
      <c r="R5" s="48">
        <f ca="1">IF($Q5&gt;TODAY(),"",IFERROR(AVERAGEIFS(Table3[Days with],Table3[Date of Update],"&gt;="&amp;'Ref Sheet'!Q5,Table3[Date of Update],"&lt;"&amp;'Ref Sheet'!Q6,Table3[Who With],"Legal"),0))</f>
        <v>0</v>
      </c>
      <c r="S5" s="48">
        <f ca="1">IF($Q5&gt;TODAY(),"",IFERROR(AVERAGEIFS(Table3[Days with],Table3[Date of Update],"&gt;="&amp;'Ref Sheet'!Q5,Table3[Date of Update],"&lt;"&amp;'Ref Sheet'!Q6,Table3[Who With],"Internal Stakeholder"),0))</f>
        <v>0</v>
      </c>
      <c r="T5" s="69">
        <f ca="1">IF($Q5&gt;TODAY(),"",IFERROR(SUMIFS(Table2[Total Cycle Time],Table2[Date Received],"&gt;="&amp;$Q5,Table2[Date Received],"&lt;"&amp;$Q6)/COUNTIFS(Table2[Date Received],"&gt;="&amp;$Q5,Table2[Date Received],"&lt;"&amp;$Q6),""))</f>
        <v>0</v>
      </c>
      <c r="V5" s="46" t="s">
        <v>167</v>
      </c>
      <c r="W5">
        <f>COUNTIF(Table2[Stage],'Ref Sheet'!V5)</f>
        <v>2</v>
      </c>
    </row>
    <row r="6" spans="1:23" x14ac:dyDescent="0.25">
      <c r="A6" s="1" t="str">
        <f t="array" ref="A6">IFERROR(INDEX(Table2[Ref], MATCH(0, IF(('Ref Sheet'!$D$1=Table2[Overall Status])*(('Ref Sheet'!$A$1=Table2[Legal])), COUNTIF($A$1:$A5,Table2[Ref]), ""), 0)),"")</f>
        <v/>
      </c>
      <c r="B6" s="2" t="str">
        <f t="array" ref="B6">IFERROR(INDEX(Table2[Ref], MATCH(0, IF(('Ref Sheet'!$D$1=Table2[Overall Status])*(('Ref Sheet'!$B$1=Table2[Legal])), COUNTIF($B$1:$B5,Table2[Ref]), ""), 0)),"")</f>
        <v>Time Right Limited - Services Agreement</v>
      </c>
      <c r="C6" s="3" t="str">
        <f t="array" ref="C6">IFERROR(INDEX(Table2[Ref], MATCH(0, IF(('Ref Sheet'!$D$1=Table2[Overall Status])*(('Ref Sheet'!$C$1=Table2[Legal])), COUNTIF($C$1:$C5,Table2[Ref]), ""), 0)),"")</f>
        <v>Sussex Police - Services Agreement</v>
      </c>
      <c r="G6" s="22">
        <v>44682</v>
      </c>
      <c r="H6" s="19">
        <v>17</v>
      </c>
      <c r="I6" s="19">
        <v>16</v>
      </c>
      <c r="J6" s="19">
        <v>15</v>
      </c>
      <c r="K6" s="78"/>
      <c r="L6" s="16">
        <v>44682</v>
      </c>
      <c r="M6" s="17"/>
      <c r="N6" s="18"/>
      <c r="O6" s="70"/>
      <c r="Q6" s="81">
        <v>45413</v>
      </c>
      <c r="R6" s="48">
        <f ca="1">IF($Q6&gt;TODAY(),"",IFERROR(AVERAGEIFS(Table3[Days with],Table3[Date of Update],"&gt;="&amp;'Ref Sheet'!Q6,Table3[Date of Update],"&lt;"&amp;'Ref Sheet'!Q7,Table3[Who With],"Legal"),0))</f>
        <v>7.8421052631578947</v>
      </c>
      <c r="S6" s="48">
        <f ca="1">IF($Q6&gt;TODAY(),"",IFERROR(AVERAGEIFS(Table3[Days with],Table3[Date of Update],"&gt;="&amp;'Ref Sheet'!Q6,Table3[Date of Update],"&lt;"&amp;'Ref Sheet'!Q7,Table3[Who With],"Internal Stakeholder"),0))</f>
        <v>13.5</v>
      </c>
      <c r="T6" s="69">
        <f ca="1">IF($Q6&gt;TODAY(),"",IFERROR(SUMIFS(Table2[Total Cycle Time],Table2[Date Received],"&gt;="&amp;$Q6,Table2[Date Received],"&lt;"&amp;$Q7)/COUNTIFS(Table2[Date Received],"&gt;="&amp;$Q6,Table2[Date Received],"&lt;"&amp;$Q7),""))</f>
        <v>10.9</v>
      </c>
      <c r="V6" s="46" t="s">
        <v>168</v>
      </c>
      <c r="W6">
        <f>COUNTIF(Table2[Stage],'Ref Sheet'!V6)</f>
        <v>1</v>
      </c>
    </row>
    <row r="7" spans="1:23" x14ac:dyDescent="0.25">
      <c r="A7" s="1" t="str">
        <f t="array" ref="A7">IFERROR(INDEX(Table2[Ref], MATCH(0, IF(('Ref Sheet'!$D$1=Table2[Overall Status])*(('Ref Sheet'!$A$1=Table2[Legal])), COUNTIF($A$1:$A6,Table2[Ref]), ""), 0)),"")</f>
        <v/>
      </c>
      <c r="B7" s="2" t="str">
        <f t="array" ref="B7">IFERROR(INDEX(Table2[Ref], MATCH(0, IF(('Ref Sheet'!$D$1=Table2[Overall Status])*(('Ref Sheet'!$B$1=Table2[Legal])), COUNTIF($B$1:$B6,Table2[Ref]), ""), 0)),"")</f>
        <v>Probo Medical - CT servicing contract</v>
      </c>
      <c r="C7" s="3" t="str">
        <f t="array" ref="C7">IFERROR(INDEX(Table2[Ref], MATCH(0, IF(('Ref Sheet'!$D$1=Table2[Overall Status])*(('Ref Sheet'!$C$1=Table2[Legal])), COUNTIF($C$1:$C6,Table2[Ref]), ""), 0)),"")</f>
        <v>Pageone - Novation Agreement</v>
      </c>
      <c r="G7" s="22">
        <v>44713</v>
      </c>
      <c r="H7" s="19">
        <v>15</v>
      </c>
      <c r="I7" s="19">
        <v>11</v>
      </c>
      <c r="J7" s="19">
        <v>19</v>
      </c>
      <c r="K7" s="78"/>
      <c r="L7" s="16">
        <v>44713</v>
      </c>
      <c r="M7" s="17"/>
      <c r="N7" s="18"/>
      <c r="O7" s="70"/>
      <c r="Q7" s="81">
        <v>45444</v>
      </c>
      <c r="R7" s="48">
        <f ca="1">IF($Q7&gt;TODAY(),"",IFERROR(AVERAGEIFS(Table3[Days with],Table3[Date of Update],"&gt;="&amp;'Ref Sheet'!Q7,Table3[Date of Update],"&lt;"&amp;'Ref Sheet'!Q8,Table3[Who With],"Legal"),0))</f>
        <v>6.6</v>
      </c>
      <c r="S7" s="48">
        <f ca="1">IF($Q7&gt;TODAY(),"",IFERROR(AVERAGEIFS(Table3[Days with],Table3[Date of Update],"&gt;="&amp;'Ref Sheet'!Q7,Table3[Date of Update],"&lt;"&amp;'Ref Sheet'!Q8,Table3[Who With],"Internal Stakeholder"),0))</f>
        <v>140</v>
      </c>
      <c r="T7" s="69">
        <f ca="1">IF($Q7&gt;TODAY(),"",IFERROR(SUMIFS(Table2[Total Cycle Time],Table2[Date Received],"&gt;="&amp;$Q7,Table2[Date Received],"&lt;"&amp;$Q8)/COUNTIFS(Table2[Date Received],"&gt;="&amp;$Q7,Table2[Date Received],"&lt;"&amp;$Q8),""))</f>
        <v>7.5</v>
      </c>
      <c r="V7" s="46"/>
    </row>
    <row r="8" spans="1:23" x14ac:dyDescent="0.25">
      <c r="A8" s="1" t="str">
        <f t="array" ref="A8">IFERROR(INDEX(Table2[Ref], MATCH(0, IF(('Ref Sheet'!$D$1=Table2[Overall Status])*(('Ref Sheet'!$A$1=Table2[Legal])), COUNTIF($A$1:$A7,Table2[Ref]), ""), 0)),"")</f>
        <v/>
      </c>
      <c r="B8" s="2" t="str">
        <f t="array" ref="B8">IFERROR(INDEX(Table2[Ref], MATCH(0, IF(('Ref Sheet'!$D$1=Table2[Overall Status])*(('Ref Sheet'!$B$1=Table2[Legal])), COUNTIF($B$1:$B7,Table2[Ref]), ""), 0)),"")</f>
        <v>MRMC couriers - Lab courier contract</v>
      </c>
      <c r="C8" s="3" t="str">
        <f t="array" ref="C8">IFERROR(INDEX(Table2[Ref], MATCH(0, IF(('Ref Sheet'!$D$1=Table2[Overall Status])*(('Ref Sheet'!$C$1=Table2[Legal])), COUNTIF($C$1:$C7,Table2[Ref]), ""), 0)),"")</f>
        <v>Efficio - SLA and T&amp;Cs</v>
      </c>
      <c r="G8" s="22">
        <v>44743</v>
      </c>
      <c r="H8" s="19">
        <v>24</v>
      </c>
      <c r="I8" s="19">
        <v>12</v>
      </c>
      <c r="J8" s="19">
        <v>31</v>
      </c>
      <c r="K8" s="78"/>
      <c r="L8" s="16">
        <v>44743</v>
      </c>
      <c r="M8" s="17"/>
      <c r="N8" s="18"/>
      <c r="O8" s="70"/>
      <c r="Q8" s="81">
        <v>45474</v>
      </c>
      <c r="R8" s="48">
        <f ca="1">IF($Q8&gt;TODAY(),"",IFERROR(AVERAGEIFS(Table3[Days with],Table3[Date of Update],"&gt;="&amp;'Ref Sheet'!Q8,Table3[Date of Update],"&lt;"&amp;'Ref Sheet'!Q9,Table3[Who With],"Legal"),0))</f>
        <v>54.4</v>
      </c>
      <c r="S8" s="48">
        <f ca="1">IF($Q8&gt;TODAY(),"",IFERROR(AVERAGEIFS(Table3[Days with],Table3[Date of Update],"&gt;="&amp;'Ref Sheet'!Q8,Table3[Date of Update],"&lt;"&amp;'Ref Sheet'!Q9,Table3[Who With],"Internal Stakeholder"),0))</f>
        <v>219.7</v>
      </c>
      <c r="T8" s="69">
        <f ca="1">IF($Q8&gt;TODAY(),"",IFERROR(SUMIFS(Table2[Total Cycle Time],Table2[Date Received],"&gt;="&amp;$Q8,Table2[Date Received],"&lt;"&amp;$Q9)/COUNTIFS(Table2[Date Received],"&gt;="&amp;$Q8,Table2[Date Received],"&lt;"&amp;$Q9),""))</f>
        <v>0</v>
      </c>
    </row>
    <row r="9" spans="1:23" x14ac:dyDescent="0.25">
      <c r="A9" s="1" t="str">
        <f t="array" ref="A9">IFERROR(INDEX(Table2[Ref], MATCH(0, IF(('Ref Sheet'!$D$1=Table2[Overall Status])*(('Ref Sheet'!$A$1=Table2[Legal])), COUNTIF($A$1:$A8,Table2[Ref]), ""), 0)),"")</f>
        <v/>
      </c>
      <c r="B9" s="2" t="str">
        <f t="array" ref="B9">IFERROR(INDEX(Table2[Ref], MATCH(0, IF(('Ref Sheet'!$D$1=Table2[Overall Status])*(('Ref Sheet'!$B$1=Table2[Legal])), COUNTIF($B$1:$B8,Table2[Ref]), ""), 0)),"")</f>
        <v>IM3 - Service Contract</v>
      </c>
      <c r="C9" s="3" t="str">
        <f t="array" ref="C9">IFERROR(INDEX(Table2[Ref], MATCH(0, IF(('Ref Sheet'!$D$1=Table2[Overall Status])*(('Ref Sheet'!$C$1=Table2[Legal])), COUNTIF($C$1:$C8,Table2[Ref]), ""), 0)),"")</f>
        <v>Streetvet - Pro-bono Servuces Agreement</v>
      </c>
      <c r="G9" s="22">
        <v>44774</v>
      </c>
      <c r="H9" s="19">
        <v>21</v>
      </c>
      <c r="I9" s="19">
        <v>14</v>
      </c>
      <c r="J9" s="19">
        <v>38</v>
      </c>
      <c r="K9" s="78"/>
      <c r="L9" s="16">
        <v>44774</v>
      </c>
      <c r="M9" s="17"/>
      <c r="N9" s="18"/>
      <c r="O9" s="70"/>
      <c r="Q9" s="81">
        <v>45505</v>
      </c>
      <c r="R9" s="48">
        <f ca="1">IF($Q9&gt;TODAY(),"",IFERROR(AVERAGEIFS(Table3[Days with],Table3[Date of Update],"&gt;="&amp;'Ref Sheet'!Q9,Table3[Date of Update],"&lt;"&amp;'Ref Sheet'!Q10,Table3[Who With],"Legal"),0))</f>
        <v>0</v>
      </c>
      <c r="S9" s="48">
        <f ca="1">IF($Q9&gt;TODAY(),"",IFERROR(AVERAGEIFS(Table3[Days with],Table3[Date of Update],"&gt;="&amp;'Ref Sheet'!Q9,Table3[Date of Update],"&lt;"&amp;'Ref Sheet'!Q10,Table3[Who With],"Internal Stakeholder"),0))</f>
        <v>0</v>
      </c>
      <c r="T9" s="69" t="str">
        <f ca="1">IF($Q9&gt;TODAY(),"",IFERROR(SUMIFS(Table2[Total Cycle Time],Table2[Date Received],"&gt;="&amp;$Q9,Table2[Date Received],"&lt;"&amp;$Q10)/COUNTIFS(Table2[Date Received],"&gt;="&amp;$Q9,Table2[Date Received],"&lt;"&amp;$Q10),""))</f>
        <v/>
      </c>
    </row>
    <row r="10" spans="1:23" x14ac:dyDescent="0.25">
      <c r="A10" s="1" t="str">
        <f t="array" ref="A10">IFERROR(INDEX(Table2[Ref], MATCH(0, IF(('Ref Sheet'!$D$1=Table2[Overall Status])*(('Ref Sheet'!$A$1=Table2[Legal])), COUNTIF($A$1:$A9,Table2[Ref]), ""), 0)),"")</f>
        <v/>
      </c>
      <c r="B10" s="2" t="str">
        <f t="array" ref="B10">IFERROR(INDEX(Table2[Ref], MATCH(0, IF(('Ref Sheet'!$D$1=Table2[Overall Status])*(('Ref Sheet'!$B$1=Table2[Legal])), COUNTIF($B$1:$B9,Table2[Ref]), ""), 0)),"")</f>
        <v>RSPCA - RSPCA SLA</v>
      </c>
      <c r="C10" s="3" t="str">
        <f t="array" ref="C10">IFERROR(INDEX(Table2[Ref], MATCH(0, IF(('Ref Sheet'!$D$1=Table2[Overall Status])*(('Ref Sheet'!$C$1=Table2[Legal])), COUNTIF($C$1:$C9,Table2[Ref]), ""), 0)),"")</f>
        <v>Lintbells - Rebate Agreement 4</v>
      </c>
      <c r="G10" s="22">
        <v>44805</v>
      </c>
      <c r="H10" s="19">
        <v>10</v>
      </c>
      <c r="I10" s="19">
        <v>24</v>
      </c>
      <c r="J10" s="19">
        <v>24</v>
      </c>
      <c r="K10" s="78"/>
      <c r="L10" s="16">
        <v>44805</v>
      </c>
      <c r="M10" s="17"/>
      <c r="N10" s="18"/>
      <c r="O10" s="70"/>
      <c r="Q10" s="81">
        <v>45536</v>
      </c>
      <c r="R10" s="48">
        <f ca="1">IF($Q10&gt;TODAY(),"",IFERROR(AVERAGEIFS(Table3[Days with],Table3[Date of Update],"&gt;="&amp;'Ref Sheet'!Q10,Table3[Date of Update],"&lt;"&amp;'Ref Sheet'!Q11,Table3[Who With],"Legal"),0))</f>
        <v>0</v>
      </c>
      <c r="S10" s="48">
        <f ca="1">IF($Q10&gt;TODAY(),"",IFERROR(AVERAGEIFS(Table3[Days with],Table3[Date of Update],"&gt;="&amp;'Ref Sheet'!Q10,Table3[Date of Update],"&lt;"&amp;'Ref Sheet'!Q11,Table3[Who With],"Internal Stakeholder"),0))</f>
        <v>0</v>
      </c>
      <c r="T10" s="69" t="str">
        <f ca="1">IF($Q10&gt;TODAY(),"",IFERROR(SUMIFS(Table2[Total Cycle Time],Table2[Date Received],"&gt;="&amp;$Q10,Table2[Date Received],"&lt;"&amp;$Q11)/COUNTIFS(Table2[Date Received],"&gt;="&amp;$Q10,Table2[Date Received],"&lt;"&amp;$Q11),""))</f>
        <v/>
      </c>
    </row>
    <row r="11" spans="1:23" x14ac:dyDescent="0.25">
      <c r="A11" s="1" t="str">
        <f t="array" ref="A11">IFERROR(INDEX(Table2[Ref], MATCH(0, IF(('Ref Sheet'!$D$1=Table2[Overall Status])*(('Ref Sheet'!$A$1=Table2[Legal])), COUNTIF($A$1:$A10,Table2[Ref]), ""), 0)),"")</f>
        <v/>
      </c>
      <c r="B11" s="2" t="str">
        <f t="array" ref="B11">IFERROR(INDEX(Table2[Ref], MATCH(0, IF(('Ref Sheet'!$D$1=Table2[Overall Status])*(('Ref Sheet'!$B$1=Table2[Legal])), COUNTIF($B$1:$B10,Table2[Ref]), ""), 0)),"")</f>
        <v>VPIS - Teleconsult contract</v>
      </c>
      <c r="C11" s="3" t="str">
        <f t="array" ref="C11">IFERROR(INDEX(Table2[Ref], MATCH(0, IF(('Ref Sheet'!$D$1=Table2[Overall Status])*(('Ref Sheet'!$C$1=Table2[Legal])), COUNTIF($C$1:$C10,Table2[Ref]), ""), 0)),"")</f>
        <v>Norbrook - Rebate Agreement</v>
      </c>
      <c r="G11" s="22">
        <v>44835</v>
      </c>
      <c r="H11" s="19">
        <v>14</v>
      </c>
      <c r="I11" s="19">
        <v>4</v>
      </c>
      <c r="J11" s="19">
        <v>34</v>
      </c>
      <c r="K11" s="78"/>
      <c r="L11" s="16">
        <v>44835</v>
      </c>
      <c r="M11" s="17"/>
      <c r="N11" s="18"/>
      <c r="O11" s="70"/>
      <c r="Q11" s="81">
        <v>45566</v>
      </c>
      <c r="R11" s="48">
        <f ca="1">IF($Q11&gt;TODAY(),"",IFERROR(AVERAGEIFS(Table3[Days with],Table3[Date of Update],"&gt;="&amp;'Ref Sheet'!Q11,Table3[Date of Update],"&lt;"&amp;'Ref Sheet'!Q12,Table3[Who With],"Legal"),0))</f>
        <v>0</v>
      </c>
      <c r="S11" s="48">
        <f ca="1">IF($Q11&gt;TODAY(),"",IFERROR(AVERAGEIFS(Table3[Days with],Table3[Date of Update],"&gt;="&amp;'Ref Sheet'!Q11,Table3[Date of Update],"&lt;"&amp;'Ref Sheet'!Q12,Table3[Who With],"Internal Stakeholder"),0))</f>
        <v>0</v>
      </c>
      <c r="T11" s="69" t="str">
        <f ca="1">IF($Q11&gt;TODAY(),"",IFERROR(SUMIFS(Table2[Total Cycle Time],Table2[Date Received],"&gt;="&amp;$Q11,Table2[Date Received],"&lt;"&amp;$Q12)/COUNTIFS(Table2[Date Received],"&gt;="&amp;$Q11,Table2[Date Received],"&lt;"&amp;$Q12),""))</f>
        <v/>
      </c>
    </row>
    <row r="12" spans="1:23" x14ac:dyDescent="0.25">
      <c r="A12" s="1" t="str">
        <f t="array" ref="A12">IFERROR(INDEX(Table2[Ref], MATCH(0, IF(('Ref Sheet'!$D$1=Table2[Overall Status])*(('Ref Sheet'!$A$1=Table2[Legal])), COUNTIF($A$1:$A11,Table2[Ref]), ""), 0)),"")</f>
        <v/>
      </c>
      <c r="B12" s="2" t="str">
        <f t="array" ref="B12">IFERROR(INDEX(Table2[Ref], MATCH(0, IF(('Ref Sheet'!$D$1=Table2[Overall Status])*(('Ref Sheet'!$B$1=Table2[Legal])), COUNTIF($B$1:$B11,Table2[Ref]), ""), 0)),"")</f>
        <v>Humm - Services Contract</v>
      </c>
      <c r="C12" s="3" t="str">
        <f t="array" ref="C12">IFERROR(INDEX(Table2[Ref], MATCH(0, IF(('Ref Sheet'!$D$1=Table2[Overall Status])*(('Ref Sheet'!$C$1=Table2[Legal])), COUNTIF($C$1:$C11,Table2[Ref]), ""), 0)),"")</f>
        <v>Vetoquinol  - Rebate Agreement</v>
      </c>
      <c r="G12" s="22">
        <v>44866</v>
      </c>
      <c r="H12" s="19">
        <v>24</v>
      </c>
      <c r="I12" s="19">
        <v>6</v>
      </c>
      <c r="J12" s="19">
        <v>52</v>
      </c>
      <c r="K12" s="78"/>
      <c r="L12" s="16">
        <v>44866</v>
      </c>
      <c r="M12" s="17"/>
      <c r="N12" s="18"/>
      <c r="O12" s="70"/>
      <c r="Q12" s="81">
        <v>45597</v>
      </c>
      <c r="R12" s="48">
        <f ca="1">IF($Q12&gt;TODAY(),"",IFERROR(AVERAGEIFS(Table3[Days with],Table3[Date of Update],"&gt;="&amp;'Ref Sheet'!Q12,Table3[Date of Update],"&lt;"&amp;'Ref Sheet'!Q13,Table3[Who With],"Legal"),0))</f>
        <v>0</v>
      </c>
      <c r="S12" s="48">
        <f ca="1">IF($Q12&gt;TODAY(),"",IFERROR(AVERAGEIFS(Table3[Days with],Table3[Date of Update],"&gt;="&amp;'Ref Sheet'!Q12,Table3[Date of Update],"&lt;"&amp;'Ref Sheet'!Q13,Table3[Who With],"Internal Stakeholder"),0))</f>
        <v>0</v>
      </c>
      <c r="T12" s="69" t="str">
        <f ca="1">IF($Q12&gt;TODAY(),"",IFERROR(SUMIFS(Table2[Total Cycle Time],Table2[Date Received],"&gt;="&amp;$Q12,Table2[Date Received],"&lt;"&amp;$Q13)/COUNTIFS(Table2[Date Received],"&gt;="&amp;$Q12,Table2[Date Received],"&lt;"&amp;$Q13),""))</f>
        <v/>
      </c>
    </row>
    <row r="13" spans="1:23" x14ac:dyDescent="0.25">
      <c r="A13" s="1" t="str">
        <f t="array" ref="A13">IFERROR(INDEX(Table2[Ref], MATCH(0, IF(('Ref Sheet'!$D$1=Table2[Overall Status])*(('Ref Sheet'!$A$1=Table2[Legal])), COUNTIF($A$1:$A12,Table2[Ref]), ""), 0)),"")</f>
        <v/>
      </c>
      <c r="B13" s="2" t="str">
        <f t="array" ref="B13">IFERROR(INDEX(Table2[Ref], MATCH(0, IF(('Ref Sheet'!$D$1=Table2[Overall Status])*(('Ref Sheet'!$B$1=Table2[Legal])), COUNTIF($B$1:$B12,Table2[Ref]), ""), 0)),"")</f>
        <v>Darwin Smith - Agency Contract</v>
      </c>
      <c r="C13" s="3" t="str">
        <f t="array" ref="C13">IFERROR(INDEX(Table2[Ref], MATCH(0, IF(('Ref Sheet'!$D$1=Table2[Overall Status])*(('Ref Sheet'!$C$1=Table2[Legal])), COUNTIF($C$1:$C12,Table2[Ref]), ""), 0)),"")</f>
        <v>Animalcare - Rebate Agreement</v>
      </c>
      <c r="G13" s="22">
        <v>44896</v>
      </c>
      <c r="H13" s="19">
        <v>21</v>
      </c>
      <c r="I13" s="19">
        <v>22</v>
      </c>
      <c r="J13" s="19">
        <v>51</v>
      </c>
      <c r="K13" s="78"/>
      <c r="L13" s="16">
        <v>44896</v>
      </c>
      <c r="M13" s="17"/>
      <c r="N13" s="18"/>
      <c r="O13" s="70"/>
      <c r="Q13" s="81">
        <v>45627</v>
      </c>
      <c r="R13" s="48">
        <f ca="1">IF($Q13&gt;TODAY(),"",IFERROR(AVERAGEIFS(Table3[Days with],Table3[Date of Update],"&gt;="&amp;'Ref Sheet'!Q13,Table3[Date of Update],"&lt;"&amp;Dashboard!#REF!,Table3[Who With],"Legal"),0))</f>
        <v>0</v>
      </c>
      <c r="S13" s="48">
        <f ca="1">IF($Q13&gt;TODAY(),"",IFERROR(AVERAGEIFS(Table3[Days with],Table3[Date of Update],"&gt;="&amp;'Ref Sheet'!Q13,Table3[Date of Update],"&lt;"&amp;Dashboard!#REF!,Table3[Who With],"Internal Stakeholder"),0))</f>
        <v>0</v>
      </c>
      <c r="T13" s="69" t="str">
        <f ca="1">IF($Q13&gt;TODAY(),"",IFERROR(SUMIFS(Table2[Total Cycle Time],Table2[Date Received],"&gt;="&amp;$Q13,Table2[Date Received],"&lt;"&amp;Dashboard!#REF!)/COUNTIFS(Table2[Date Received],"&gt;="&amp;$Q13,Table2[Date Received],"&lt;"&amp;Dashboard!#REF!),""))</f>
        <v/>
      </c>
    </row>
    <row r="14" spans="1:23" x14ac:dyDescent="0.25">
      <c r="A14" s="1" t="str">
        <f t="array" ref="A14">IFERROR(INDEX(Table2[Ref], MATCH(0, IF(('Ref Sheet'!$D$1=Table2[Overall Status])*(('Ref Sheet'!$A$1=Table2[Legal])), COUNTIF($A$1:$A13,Table2[Ref]), ""), 0)),"")</f>
        <v/>
      </c>
      <c r="B14" s="2" t="str">
        <f t="array" ref="B14">IFERROR(INDEX(Table2[Ref], MATCH(0, IF(('Ref Sheet'!$D$1=Table2[Overall Status])*(('Ref Sheet'!$B$1=Table2[Legal])), COUNTIF($B$1:$B13,Table2[Ref]), ""), 0)),"")</f>
        <v>CACI  - SaaS contract</v>
      </c>
      <c r="C14" s="3" t="str">
        <f t="array" ref="C14">IFERROR(INDEX(Table2[Ref], MATCH(0, IF(('Ref Sheet'!$D$1=Table2[Overall Status])*(('Ref Sheet'!$C$1=Table2[Legal])), COUNTIF($C$1:$C13,Table2[Ref]), ""), 0)),"")</f>
        <v>Elanco UK AH Limited   - Rebate Agreement</v>
      </c>
      <c r="G14" s="22">
        <v>44927</v>
      </c>
      <c r="H14" s="19">
        <v>36</v>
      </c>
      <c r="I14" s="19">
        <v>28</v>
      </c>
      <c r="J14" s="19">
        <v>59</v>
      </c>
      <c r="K14" s="78"/>
      <c r="L14" s="16">
        <v>44927</v>
      </c>
      <c r="M14" s="20"/>
      <c r="N14" s="18"/>
      <c r="O14" s="70"/>
      <c r="Q14" s="89" t="s">
        <v>1556</v>
      </c>
      <c r="R14" s="48">
        <f ca="1">SUBTOTAL(101,Table4[Avg. Time w/Legal])</f>
        <v>10.166315409736463</v>
      </c>
      <c r="S14" s="48">
        <f ca="1">SUBTOTAL(101,Table4[Avg. Time w/Stakeholder])</f>
        <v>58.072222222222216</v>
      </c>
      <c r="T14" s="48">
        <f ca="1">SUBTOTAL(109,Table4[Avg. Total Cycle Time])</f>
        <v>88.776923076923083</v>
      </c>
    </row>
    <row r="15" spans="1:23" x14ac:dyDescent="0.25">
      <c r="A15" s="1" t="str">
        <f t="array" ref="A15">IFERROR(INDEX(Table2[Ref], MATCH(0, IF(('Ref Sheet'!$D$1=Table2[Overall Status])*(('Ref Sheet'!$A$1=Table2[Legal])), COUNTIF($A$1:$A14,Table2[Ref]), ""), 0)),"")</f>
        <v/>
      </c>
      <c r="B15" s="2" t="str">
        <f t="array" ref="B15">IFERROR(INDEX(Table2[Ref], MATCH(0, IF(('Ref Sheet'!$D$1=Table2[Overall Status])*(('Ref Sheet'!$B$1=Table2[Legal])), COUNTIF($B$1:$B14,Table2[Ref]), ""), 0)),"")</f>
        <v>Inspired Energy - Services Agreement</v>
      </c>
      <c r="C15" s="3" t="str">
        <f t="array" ref="C15">IFERROR(INDEX(Table2[Ref], MATCH(0, IF(('Ref Sheet'!$D$1=Table2[Overall Status])*(('Ref Sheet'!$C$1=Table2[Legal])), COUNTIF($C$1:$C14,Table2[Ref]), ""), 0)),"")</f>
        <v>MSD - Supply Agreement</v>
      </c>
      <c r="G15" s="22">
        <v>44958</v>
      </c>
      <c r="H15" s="19">
        <v>25</v>
      </c>
      <c r="I15" s="19">
        <v>33</v>
      </c>
      <c r="J15" s="19">
        <v>51</v>
      </c>
      <c r="K15" s="78"/>
      <c r="L15" s="16">
        <v>44958</v>
      </c>
      <c r="M15" s="19">
        <v>0</v>
      </c>
      <c r="N15" s="18">
        <v>0</v>
      </c>
      <c r="O15" s="70">
        <v>91</v>
      </c>
    </row>
    <row r="16" spans="1:23" x14ac:dyDescent="0.25">
      <c r="A16" s="1" t="str">
        <f t="array" ref="A16">IFERROR(INDEX(Table2[Ref], MATCH(0, IF(('Ref Sheet'!$D$1=Table2[Overall Status])*(('Ref Sheet'!$A$1=Table2[Legal])), COUNTIF($A$1:$A15,Table2[Ref]), ""), 0)),"")</f>
        <v/>
      </c>
      <c r="B16" s="2" t="str">
        <f t="array" ref="B16">IFERROR(INDEX(Table2[Ref], MATCH(0, IF(('Ref Sheet'!$D$1=Table2[Overall Status])*(('Ref Sheet'!$B$1=Table2[Legal])), COUNTIF($B$1:$B15,Table2[Ref]), ""), 0)),"")</f>
        <v>Concur - Services Agreement</v>
      </c>
      <c r="C16" s="3" t="str">
        <f t="array" ref="C16">IFERROR(INDEX(Table2[Ref], MATCH(0, IF(('Ref Sheet'!$D$1=Table2[Overall Status])*(('Ref Sheet'!$C$1=Table2[Legal])), COUNTIF($C$1:$C15,Table2[Ref]), ""), 0)),"")</f>
        <v>PPL PRS - Terms and Conditions</v>
      </c>
      <c r="G16" s="22">
        <v>44986</v>
      </c>
      <c r="H16" s="19">
        <v>16</v>
      </c>
      <c r="I16" s="19">
        <v>30</v>
      </c>
      <c r="J16" s="19">
        <v>37</v>
      </c>
      <c r="K16" s="78"/>
      <c r="L16" s="16">
        <v>44986</v>
      </c>
      <c r="M16" s="19">
        <v>1</v>
      </c>
      <c r="N16" s="18">
        <v>0</v>
      </c>
      <c r="O16" s="70">
        <v>48</v>
      </c>
    </row>
    <row r="17" spans="1:15" x14ac:dyDescent="0.25">
      <c r="A17" s="1" t="str">
        <f t="array" ref="A17">IFERROR(INDEX(Table2[Ref], MATCH(0, IF(('Ref Sheet'!$D$1=Table2[Overall Status])*(('Ref Sheet'!$A$1=Table2[Legal])), COUNTIF($A$1:$A16,Table2[Ref]), ""), 0)),"")</f>
        <v/>
      </c>
      <c r="B17" s="2" t="str">
        <f t="array" ref="B17">IFERROR(INDEX(Table2[Ref], MATCH(0, IF(('Ref Sheet'!$D$1=Table2[Overall Status])*(('Ref Sheet'!$B$1=Table2[Legal])), COUNTIF($B$1:$B16,Table2[Ref]), ""), 0)),"")</f>
        <v>Vet CT - Services Agreement</v>
      </c>
      <c r="C17" s="3" t="str">
        <f t="array" ref="C17">IFERROR(INDEX(Table2[Ref], MATCH(0, IF(('Ref Sheet'!$D$1=Table2[Overall Status])*(('Ref Sheet'!$C$1=Table2[Legal])), COUNTIF($C$1:$C16,Table2[Ref]), ""), 0)),"")</f>
        <v/>
      </c>
      <c r="G17" s="22">
        <v>45017</v>
      </c>
      <c r="H17" s="19">
        <v>15</v>
      </c>
      <c r="I17" s="19">
        <v>17</v>
      </c>
      <c r="J17" s="19">
        <v>35</v>
      </c>
      <c r="K17" s="78"/>
      <c r="L17" s="16">
        <v>45017</v>
      </c>
      <c r="M17" s="19">
        <v>19</v>
      </c>
      <c r="N17" s="18">
        <v>0</v>
      </c>
      <c r="O17" s="70">
        <v>26</v>
      </c>
    </row>
    <row r="18" spans="1:15" x14ac:dyDescent="0.25">
      <c r="A18" s="1" t="str">
        <f t="array" ref="A18">IFERROR(INDEX(Table2[Ref], MATCH(0, IF(('Ref Sheet'!$D$1=Table2[Overall Status])*(('Ref Sheet'!$A$1=Table2[Legal])), COUNTIF($A$1:$A17,Table2[Ref]), ""), 0)),"")</f>
        <v/>
      </c>
      <c r="B18" s="2" t="str">
        <f t="array" ref="B18">IFERROR(INDEX(Table2[Ref], MATCH(0, IF(('Ref Sheet'!$D$1=Table2[Overall Status])*(('Ref Sheet'!$B$1=Table2[Legal])), COUNTIF($B$1:$B17,Table2[Ref]), ""), 0)),"")</f>
        <v>Airtricity - Utility contract</v>
      </c>
      <c r="C18" s="3" t="str">
        <f t="array" ref="C18">IFERROR(INDEX(Table2[Ref], MATCH(0, IF(('Ref Sheet'!$D$1=Table2[Overall Status])*(('Ref Sheet'!$C$1=Table2[Legal])), COUNTIF($C$1:$C17,Table2[Ref]), ""), 0)),"")</f>
        <v/>
      </c>
      <c r="G18" s="22">
        <v>45047</v>
      </c>
      <c r="H18" s="19">
        <v>20</v>
      </c>
      <c r="I18" s="19">
        <v>10</v>
      </c>
      <c r="J18" s="19">
        <v>45</v>
      </c>
      <c r="K18" s="78"/>
      <c r="L18" s="16">
        <v>45047</v>
      </c>
      <c r="M18" s="19">
        <v>3</v>
      </c>
      <c r="N18" s="18">
        <v>0</v>
      </c>
      <c r="O18" s="70">
        <v>17</v>
      </c>
    </row>
    <row r="19" spans="1:15" x14ac:dyDescent="0.25">
      <c r="A19" s="1" t="str">
        <f t="array" ref="A19">IFERROR(INDEX(Table2[Ref], MATCH(0, IF(('Ref Sheet'!$D$1=Table2[Overall Status])*(('Ref Sheet'!$A$1=Table2[Legal])), COUNTIF($A$1:$A18,Table2[Ref]), ""), 0)),"")</f>
        <v/>
      </c>
      <c r="B19" s="2" t="str">
        <f t="array" ref="B19">IFERROR(INDEX(Table2[Ref], MATCH(0, IF(('Ref Sheet'!$D$1=Table2[Overall Status])*(('Ref Sheet'!$B$1=Table2[Legal])), COUNTIF($B$1:$B18,Table2[Ref]), ""), 0)),"")</f>
        <v>Locumbell - Services Contract</v>
      </c>
      <c r="C19" s="3" t="str">
        <f t="array" ref="C19">IFERROR(INDEX(Table2[Ref], MATCH(0, IF(('Ref Sheet'!$D$1=Table2[Overall Status])*(('Ref Sheet'!$C$1=Table2[Legal])), COUNTIF($C$1:$C18,Table2[Ref]), ""), 0)),"")</f>
        <v/>
      </c>
      <c r="G19" s="86">
        <v>45078</v>
      </c>
      <c r="H19" s="19">
        <v>17</v>
      </c>
      <c r="I19" s="19">
        <v>29</v>
      </c>
      <c r="J19" s="19">
        <v>33</v>
      </c>
      <c r="K19" s="78"/>
      <c r="L19" s="84">
        <v>45078</v>
      </c>
      <c r="M19" s="19">
        <v>12</v>
      </c>
      <c r="N19" s="18">
        <v>0</v>
      </c>
      <c r="O19" s="70">
        <v>28</v>
      </c>
    </row>
    <row r="20" spans="1:15" x14ac:dyDescent="0.25">
      <c r="A20" s="1" t="str">
        <f t="array" ref="A20">IFERROR(INDEX(Table2[Ref], MATCH(0, IF(('Ref Sheet'!$D$1=Table2[Overall Status])*(('Ref Sheet'!$A$1=Table2[Legal])), COUNTIF($A$1:$A19,Table2[Ref]), ""), 0)),"")</f>
        <v/>
      </c>
      <c r="B20" s="2" t="str">
        <f t="array" ref="B20">IFERROR(INDEX(Table2[Ref], MATCH(0, IF(('Ref Sheet'!$D$1=Table2[Overall Status])*(('Ref Sheet'!$B$1=Table2[Legal])), COUNTIF($B$1:$B19,Table2[Ref]), ""), 0)),"")</f>
        <v>Vodafone - Phone contract</v>
      </c>
      <c r="C20" s="3" t="str">
        <f t="array" ref="C20">IFERROR(INDEX(Table2[Ref], MATCH(0, IF(('Ref Sheet'!$D$1=Table2[Overall Status])*(('Ref Sheet'!$C$1=Table2[Legal])), COUNTIF($C$1:$C19,Table2[Ref]), ""), 0)),"")</f>
        <v/>
      </c>
      <c r="G20" s="86">
        <v>45108</v>
      </c>
      <c r="H20" s="19">
        <v>15</v>
      </c>
      <c r="I20" s="19">
        <v>16</v>
      </c>
      <c r="J20" s="19">
        <v>32</v>
      </c>
      <c r="K20" s="78"/>
      <c r="L20" s="84">
        <v>45108</v>
      </c>
      <c r="M20" s="19">
        <v>28</v>
      </c>
      <c r="N20" s="18">
        <v>19</v>
      </c>
      <c r="O20" s="70">
        <v>38</v>
      </c>
    </row>
    <row r="21" spans="1:15" x14ac:dyDescent="0.25">
      <c r="A21" s="1" t="str">
        <f t="array" ref="A21">IFERROR(INDEX(Table2[Ref], MATCH(0, IF(('Ref Sheet'!$D$1=Table2[Overall Status])*(('Ref Sheet'!$A$1=Table2[Legal])), COUNTIF($A$1:$A20,Table2[Ref]), ""), 0)),"")</f>
        <v/>
      </c>
      <c r="B21" s="2" t="str">
        <f t="array" ref="B21">IFERROR(INDEX(Table2[Ref], MATCH(0, IF(('Ref Sheet'!$D$1=Table2[Overall Status])*(('Ref Sheet'!$B$1=Table2[Legal])), COUNTIF($B$1:$B20,Table2[Ref]), ""), 0)),"")</f>
        <v>Metlife - Life Insurance Contract</v>
      </c>
      <c r="C21" s="3" t="str">
        <f t="array" ref="C21">IFERROR(INDEX(Table2[Ref], MATCH(0, IF(('Ref Sheet'!$D$1=Table2[Overall Status])*(('Ref Sheet'!$C$1=Table2[Legal])), COUNTIF($C$1:$C20,Table2[Ref]), ""), 0)),"")</f>
        <v/>
      </c>
      <c r="G21" s="86">
        <v>45139</v>
      </c>
      <c r="H21" s="19">
        <v>23</v>
      </c>
      <c r="I21" s="19">
        <v>17</v>
      </c>
      <c r="J21" s="19">
        <v>38</v>
      </c>
      <c r="K21" s="78"/>
      <c r="L21" s="84">
        <v>45139</v>
      </c>
      <c r="M21" s="19">
        <v>1</v>
      </c>
      <c r="N21" s="18">
        <v>1</v>
      </c>
      <c r="O21" s="70">
        <v>6</v>
      </c>
    </row>
    <row r="22" spans="1:15" x14ac:dyDescent="0.25">
      <c r="A22" s="1" t="str">
        <f t="array" ref="A22">IFERROR(INDEX(Table2[Ref], MATCH(0, IF(('Ref Sheet'!$D$1=Table2[Overall Status])*(('Ref Sheet'!$A$1=Table2[Legal])), COUNTIF($A$1:$A21,Table2[Ref]), ""), 0)),"")</f>
        <v/>
      </c>
      <c r="B22" s="2" t="str">
        <f t="array" ref="B22">IFERROR(INDEX(Table2[Ref], MATCH(0, IF(('Ref Sheet'!$D$1=Table2[Overall Status])*(('Ref Sheet'!$B$1=Table2[Legal])), COUNTIF($B$1:$B21,Table2[Ref]), ""), 0)),"")</f>
        <v>Hills - Sale of Goods contract</v>
      </c>
      <c r="C22" s="3" t="str">
        <f t="array" ref="C22">IFERROR(INDEX(Table2[Ref], MATCH(0, IF(('Ref Sheet'!$D$1=Table2[Overall Status])*(('Ref Sheet'!$C$1=Table2[Legal])), COUNTIF($C$1:$C21,Table2[Ref]), ""), 0)),"")</f>
        <v/>
      </c>
      <c r="G22" s="86">
        <v>45170</v>
      </c>
      <c r="H22" s="19">
        <v>7</v>
      </c>
      <c r="I22" s="19">
        <v>9</v>
      </c>
      <c r="J22" s="19">
        <v>36</v>
      </c>
      <c r="K22" s="78"/>
      <c r="L22" s="84">
        <v>45170</v>
      </c>
      <c r="M22" s="19">
        <v>0</v>
      </c>
      <c r="N22" s="18">
        <v>11</v>
      </c>
      <c r="O22" s="70">
        <v>2</v>
      </c>
    </row>
    <row r="23" spans="1:15" x14ac:dyDescent="0.25">
      <c r="A23" s="1" t="str">
        <f t="array" ref="A23">IFERROR(INDEX(Table2[Ref], MATCH(0, IF(('Ref Sheet'!$D$1=Table2[Overall Status])*(('Ref Sheet'!$A$1=Table2[Legal])), COUNTIF($A$1:$A22,Table2[Ref]), ""), 0)),"")</f>
        <v/>
      </c>
      <c r="B23" s="2" t="str">
        <f t="array" ref="B23">IFERROR(INDEX(Table2[Ref], MATCH(0, IF(('Ref Sheet'!$D$1=Table2[Overall Status])*(('Ref Sheet'!$B$1=Table2[Legal])), COUNTIF($B$1:$B22,Table2[Ref]), ""), 0)),"")</f>
        <v>Stripe - Extension Agreement</v>
      </c>
      <c r="C23" s="3" t="str">
        <f t="array" ref="C23">IFERROR(INDEX(Table2[Ref], MATCH(0, IF(('Ref Sheet'!$D$1=Table2[Overall Status])*(('Ref Sheet'!$C$1=Table2[Legal])), COUNTIF($C$1:$C22,Table2[Ref]), ""), 0)),"")</f>
        <v/>
      </c>
      <c r="G23" s="86">
        <v>45200</v>
      </c>
      <c r="H23" s="19">
        <v>14</v>
      </c>
      <c r="I23" s="19">
        <v>19</v>
      </c>
      <c r="J23" s="19">
        <v>31</v>
      </c>
      <c r="K23" s="78"/>
      <c r="L23" s="84">
        <v>45200</v>
      </c>
      <c r="M23" s="19">
        <v>5</v>
      </c>
      <c r="N23" s="18">
        <v>29</v>
      </c>
      <c r="O23" s="70">
        <v>2</v>
      </c>
    </row>
    <row r="24" spans="1:15" x14ac:dyDescent="0.25">
      <c r="A24" s="1" t="str">
        <f t="array" ref="A24">IFERROR(INDEX(Table2[Ref], MATCH(0, IF(('Ref Sheet'!$D$1=Table2[Overall Status])*(('Ref Sheet'!$A$1=Table2[Legal])), COUNTIF($A$1:$A23,Table2[Ref]), ""), 0)),"")</f>
        <v/>
      </c>
      <c r="B24" s="2" t="str">
        <f t="array" ref="B24">IFERROR(INDEX(Table2[Ref], MATCH(0, IF(('Ref Sheet'!$D$1=Table2[Overall Status])*(('Ref Sheet'!$B$1=Table2[Legal])), COUNTIF($B$1:$B23,Table2[Ref]), ""), 0)),"")</f>
        <v>Adaptix  - Services agreement</v>
      </c>
      <c r="C24" s="3" t="str">
        <f t="array" ref="C24">IFERROR(INDEX(Table2[Ref], MATCH(0, IF(('Ref Sheet'!$D$1=Table2[Overall Status])*(('Ref Sheet'!$C$1=Table2[Legal])), COUNTIF($C$1:$C23,Table2[Ref]), ""), 0)),"")</f>
        <v/>
      </c>
      <c r="G24" s="86">
        <v>45231</v>
      </c>
      <c r="H24" s="19">
        <v>15</v>
      </c>
      <c r="I24" s="19">
        <v>12</v>
      </c>
      <c r="J24" s="19">
        <v>34</v>
      </c>
      <c r="K24" s="78"/>
      <c r="L24" s="84">
        <v>45231</v>
      </c>
      <c r="M24" s="19">
        <v>1</v>
      </c>
      <c r="N24" s="18">
        <v>2</v>
      </c>
      <c r="O24" s="70">
        <v>12</v>
      </c>
    </row>
    <row r="25" spans="1:15" x14ac:dyDescent="0.25">
      <c r="A25" s="1" t="str">
        <f t="array" ref="A25">IFERROR(INDEX(Table2[Ref], MATCH(0, IF(('Ref Sheet'!$D$1=Table2[Overall Status])*(('Ref Sheet'!$A$1=Table2[Legal])), COUNTIF($A$1:$A24,Table2[Ref]), ""), 0)),"")</f>
        <v/>
      </c>
      <c r="B25" s="2" t="str">
        <f t="array" ref="B25">IFERROR(INDEX(Table2[Ref], MATCH(0, IF(('Ref Sheet'!$D$1=Table2[Overall Status])*(('Ref Sheet'!$B$1=Table2[Legal])), COUNTIF($B$1:$B24,Table2[Ref]), ""), 0)),"")</f>
        <v>EDF - Utility contract</v>
      </c>
      <c r="C25" s="3" t="str">
        <f t="array" ref="C25">IFERROR(INDEX(Table2[Ref], MATCH(0, IF(('Ref Sheet'!$D$1=Table2[Overall Status])*(('Ref Sheet'!$C$1=Table2[Legal])), COUNTIF($C$1:$C24,Table2[Ref]), ""), 0)),"")</f>
        <v/>
      </c>
      <c r="G25" s="86">
        <v>45261</v>
      </c>
      <c r="H25" s="19">
        <v>7</v>
      </c>
      <c r="I25" s="19">
        <v>9</v>
      </c>
      <c r="J25" s="19">
        <v>32</v>
      </c>
      <c r="K25" s="78"/>
      <c r="L25" s="84">
        <v>45261</v>
      </c>
      <c r="M25" s="19">
        <v>1</v>
      </c>
      <c r="N25" s="18">
        <v>0</v>
      </c>
      <c r="O25" s="70">
        <v>2</v>
      </c>
    </row>
    <row r="26" spans="1:15" x14ac:dyDescent="0.25">
      <c r="A26" s="1" t="str">
        <f t="array" ref="A26">IFERROR(INDEX(Table2[Ref], MATCH(0, IF(('Ref Sheet'!$D$1=Table2[Overall Status])*(('Ref Sheet'!$A$1=Table2[Legal])), COUNTIF($A$1:$A25,Table2[Ref]), ""), 0)),"")</f>
        <v/>
      </c>
      <c r="B26" s="2" t="str">
        <f t="array" ref="B26">IFERROR(INDEX(Table2[Ref], MATCH(0, IF(('Ref Sheet'!$D$1=Table2[Overall Status])*(('Ref Sheet'!$B$1=Table2[Legal])), COUNTIF($B$1:$B25,Table2[Ref]), ""), 0)),"")</f>
        <v>MSD Animal Health - Rebate Agreement New</v>
      </c>
      <c r="C26" s="3" t="str">
        <f t="array" ref="C26">IFERROR(INDEX(Table2[Ref], MATCH(0, IF(('Ref Sheet'!$D$1=Table2[Overall Status])*(('Ref Sheet'!$C$1=Table2[Legal])), COUNTIF($C$1:$C25,Table2[Ref]), ""), 0)),"")</f>
        <v/>
      </c>
      <c r="G26" s="86">
        <v>45292</v>
      </c>
      <c r="H26" s="19">
        <f ca="1">IF($G26&gt;TODAY(),"",COUNTIFS(Table2[Date Received],"&gt;="&amp;'Ref Sheet'!G26,Table2[Date Received],"&lt;"&amp;G27))</f>
        <v>10</v>
      </c>
      <c r="I26" s="19">
        <f ca="1">IF(H26&gt;TODAY(),"",COUNTIFS(Table3[Date of Update],"&gt;="&amp;'Ref Sheet'!G26,Table3[Date of Update],"&lt;"&amp;G27,Table3[Stage],"Closed"))</f>
        <v>9</v>
      </c>
      <c r="J26" s="19">
        <f t="shared" ref="J26:J41" ca="1" si="0">IF(G26&gt;TODAY(),"",J25+H26-I26)</f>
        <v>33</v>
      </c>
      <c r="K26" s="78"/>
      <c r="L26" s="85">
        <v>45292</v>
      </c>
      <c r="M26" s="19">
        <v>1</v>
      </c>
      <c r="N26" s="18">
        <v>7</v>
      </c>
      <c r="O26" s="70">
        <v>2</v>
      </c>
    </row>
    <row r="27" spans="1:15" x14ac:dyDescent="0.25">
      <c r="A27" s="1" t="str">
        <f t="array" ref="A27">IFERROR(INDEX(Table2[Ref], MATCH(0, IF(('Ref Sheet'!$D$1=Table2[Overall Status])*(('Ref Sheet'!$A$1=Table2[Legal])), COUNTIF($A$1:$A26,Table2[Ref]), ""), 0)),"")</f>
        <v/>
      </c>
      <c r="B27" s="2" t="str">
        <f t="array" ref="B27">IFERROR(INDEX(Table2[Ref], MATCH(0, IF(('Ref Sheet'!$D$1=Table2[Overall Status])*(('Ref Sheet'!$B$1=Table2[Legal])), COUNTIF($B$1:$B26,Table2[Ref]), ""), 0)),"")</f>
        <v/>
      </c>
      <c r="C27" s="3" t="str">
        <f t="array" ref="C27">IFERROR(INDEX(Table2[Ref], MATCH(0, IF(('Ref Sheet'!$D$1=Table2[Overall Status])*(('Ref Sheet'!$C$1=Table2[Legal])), COUNTIF($C$1:$C26,Table2[Ref]), ""), 0)),"")</f>
        <v/>
      </c>
      <c r="G27" s="86">
        <v>45323</v>
      </c>
      <c r="H27" s="19">
        <f ca="1">IF($G27&gt;TODAY(),"",COUNTIFS(Table2[Date Received],"&gt;="&amp;'Ref Sheet'!G27,Table2[Date Received],"&lt;"&amp;G28))</f>
        <v>15</v>
      </c>
      <c r="I27" s="19">
        <f ca="1">IF(H27&gt;TODAY(),"",COUNTIFS(Table3[Date of Update],"&gt;="&amp;'Ref Sheet'!G27,Table3[Date of Update],"&lt;"&amp;G28,Table3[Stage],"Closed"))</f>
        <v>17</v>
      </c>
      <c r="J27" s="19">
        <f t="shared" ca="1" si="0"/>
        <v>31</v>
      </c>
      <c r="K27" s="78"/>
      <c r="L27" s="85">
        <v>45323</v>
      </c>
      <c r="M27" s="19">
        <v>1</v>
      </c>
      <c r="N27" s="18">
        <v>0</v>
      </c>
      <c r="O27" s="70">
        <v>1</v>
      </c>
    </row>
    <row r="28" spans="1:15" x14ac:dyDescent="0.25">
      <c r="A28" s="1" t="str">
        <f t="array" ref="A28">IFERROR(INDEX(Table2[Ref], MATCH(0, IF(('Ref Sheet'!$D$1=Table2[Overall Status])*(('Ref Sheet'!$A$1=Table2[Legal])), COUNTIF($A$1:$A27,Table2[Ref]), ""), 0)),"")</f>
        <v/>
      </c>
      <c r="B28" s="2" t="str">
        <f t="array" ref="B28">IFERROR(INDEX(Table2[Ref], MATCH(0, IF(('Ref Sheet'!$D$1=Table2[Overall Status])*(('Ref Sheet'!$B$1=Table2[Legal])), COUNTIF($B$1:$B27,Table2[Ref]), ""), 0)),"")</f>
        <v/>
      </c>
      <c r="C28" s="3" t="str">
        <f t="array" ref="C28">IFERROR(INDEX(Table2[Ref], MATCH(0, IF(('Ref Sheet'!$D$1=Table2[Overall Status])*(('Ref Sheet'!$C$1=Table2[Legal])), COUNTIF($C$1:$C27,Table2[Ref]), ""), 0)),"")</f>
        <v/>
      </c>
      <c r="G28" s="86">
        <v>45352</v>
      </c>
      <c r="H28" s="19">
        <f ca="1">IF($G28&gt;TODAY(),"",COUNTIFS(Table2[Date Received],"&gt;="&amp;'Ref Sheet'!G28,Table2[Date Received],"&lt;"&amp;G29))</f>
        <v>13</v>
      </c>
      <c r="I28" s="19">
        <f ca="1">IF(H28&gt;TODAY(),"",COUNTIFS(Table3[Date of Update],"&gt;="&amp;'Ref Sheet'!G28,Table3[Date of Update],"&lt;"&amp;G29,Table3[Stage],"Closed"))</f>
        <v>9</v>
      </c>
      <c r="J28" s="19">
        <f t="shared" ca="1" si="0"/>
        <v>35</v>
      </c>
      <c r="K28" s="78"/>
      <c r="L28" s="84">
        <v>45352</v>
      </c>
      <c r="M28" s="19">
        <v>0</v>
      </c>
      <c r="N28" s="18">
        <v>2</v>
      </c>
      <c r="O28" s="70">
        <v>2</v>
      </c>
    </row>
    <row r="29" spans="1:15" x14ac:dyDescent="0.25">
      <c r="A29" s="1" t="str">
        <f t="array" ref="A29">IFERROR(INDEX(Table2[Ref], MATCH(0, IF(('Ref Sheet'!$D$1=Table2[Overall Status])*(('Ref Sheet'!$A$1=Table2[Legal])), COUNTIF($A$1:$A28,Table2[Ref]), ""), 0)),"")</f>
        <v/>
      </c>
      <c r="B29" s="2" t="str">
        <f t="array" ref="B29">IFERROR(INDEX(Table2[Ref], MATCH(0, IF(('Ref Sheet'!$D$1=Table2[Overall Status])*(('Ref Sheet'!$B$1=Table2[Legal])), COUNTIF($B$1:$B28,Table2[Ref]), ""), 0)),"")</f>
        <v/>
      </c>
      <c r="C29" s="3" t="str">
        <f t="array" ref="C29">IFERROR(INDEX(Table2[Ref], MATCH(0, IF(('Ref Sheet'!$D$1=Table2[Overall Status])*(('Ref Sheet'!$C$1=Table2[Legal])), COUNTIF($C$1:$C28,Table2[Ref]), ""), 0)),"")</f>
        <v/>
      </c>
      <c r="G29" s="86">
        <v>45383</v>
      </c>
      <c r="H29" s="19">
        <f ca="1">IF($G29&gt;TODAY(),"",COUNTIFS(Table2[Date Received],"&gt;="&amp;'Ref Sheet'!G29,Table2[Date Received],"&lt;"&amp;G30))</f>
        <v>1</v>
      </c>
      <c r="I29" s="19">
        <f ca="1">IF(H29&gt;TODAY(),"",COUNTIFS(Table3[Date of Update],"&gt;="&amp;'Ref Sheet'!G29,Table3[Date of Update],"&lt;"&amp;G30,Table3[Stage],"Closed"))</f>
        <v>5</v>
      </c>
      <c r="J29" s="19">
        <f t="shared" ca="1" si="0"/>
        <v>31</v>
      </c>
      <c r="K29" s="78"/>
      <c r="L29" s="85">
        <v>45383</v>
      </c>
      <c r="M29" s="19">
        <v>1</v>
      </c>
      <c r="N29" s="18">
        <v>1</v>
      </c>
      <c r="O29" s="70">
        <v>7</v>
      </c>
    </row>
    <row r="30" spans="1:15" x14ac:dyDescent="0.25">
      <c r="A30" s="1" t="str">
        <f t="array" ref="A30">IFERROR(INDEX(Table2[Ref], MATCH(0, IF(('Ref Sheet'!$D$1=Table2[Overall Status])*(('Ref Sheet'!$A$1=Table2[Legal])), COUNTIF($A$1:$A29,Table2[Ref]), ""), 0)),"")</f>
        <v/>
      </c>
      <c r="B30" s="2" t="str">
        <f t="array" ref="B30">IFERROR(INDEX(Table2[Ref], MATCH(0, IF(('Ref Sheet'!$D$1=Table2[Overall Status])*(('Ref Sheet'!$B$1=Table2[Legal])), COUNTIF($B$1:$B29,Table2[Ref]), ""), 0)),"")</f>
        <v/>
      </c>
      <c r="C30" s="3" t="str">
        <f t="array" ref="C30">IFERROR(INDEX(Table2[Ref], MATCH(0, IF(('Ref Sheet'!$D$1=Table2[Overall Status])*(('Ref Sheet'!$C$1=Table2[Legal])), COUNTIF($C$1:$C29,Table2[Ref]), ""), 0)),"")</f>
        <v/>
      </c>
      <c r="G30" s="86">
        <v>45413</v>
      </c>
      <c r="H30" s="19">
        <f ca="1">IF($G30&gt;TODAY(),"",COUNTIFS(Table2[Date Received],"&gt;="&amp;'Ref Sheet'!G30,Table2[Date Received],"&lt;"&amp;G31))</f>
        <v>10</v>
      </c>
      <c r="I30" s="19">
        <f ca="1">IF(H30&gt;TODAY(),"",COUNTIFS(Table3[Date of Update],"&gt;="&amp;'Ref Sheet'!G30,Table3[Date of Update],"&lt;"&amp;G31,Table3[Stage],"Closed"))</f>
        <v>13</v>
      </c>
      <c r="J30" s="19">
        <f t="shared" ca="1" si="0"/>
        <v>28</v>
      </c>
      <c r="K30" s="78"/>
      <c r="L30" s="85">
        <v>45413</v>
      </c>
      <c r="M30" s="19">
        <v>0</v>
      </c>
      <c r="N30" s="18">
        <v>1</v>
      </c>
      <c r="O30" s="70">
        <v>1</v>
      </c>
    </row>
    <row r="31" spans="1:15" x14ac:dyDescent="0.25">
      <c r="A31" s="1" t="str">
        <f t="array" ref="A31">IFERROR(INDEX(Table2[Ref], MATCH(0, IF(('Ref Sheet'!$D$1=Table2[Overall Status])*(('Ref Sheet'!$A$1=Table2[Legal])), COUNTIF($A$1:$A30,Table2[Ref]), ""), 0)),"")</f>
        <v/>
      </c>
      <c r="B31" s="2" t="str">
        <f t="array" ref="B31">IFERROR(INDEX(Table2[Ref], MATCH(0, IF(('Ref Sheet'!$D$1=Table2[Overall Status])*(('Ref Sheet'!$B$1=Table2[Legal])), COUNTIF($B$1:$B30,Table2[Ref]), ""), 0)),"")</f>
        <v/>
      </c>
      <c r="C31" s="3" t="str">
        <f t="array" ref="C31">IFERROR(INDEX(Table2[Ref], MATCH(0, IF(('Ref Sheet'!$D$1=Table2[Overall Status])*(('Ref Sheet'!$C$1=Table2[Legal])), COUNTIF($C$1:$C30,Table2[Ref]), ""), 0)),"")</f>
        <v/>
      </c>
      <c r="G31" s="86">
        <v>45444</v>
      </c>
      <c r="H31" s="19">
        <f ca="1">IF($G31&gt;TODAY(),"",COUNTIFS(Table2[Date Received],"&gt;="&amp;'Ref Sheet'!G31,Table2[Date Received],"&lt;"&amp;G32))</f>
        <v>4</v>
      </c>
      <c r="I31" s="19">
        <f ca="1">IF(H31&gt;TODAY(),"",COUNTIFS(Table3[Date of Update],"&gt;="&amp;'Ref Sheet'!G31,Table3[Date of Update],"&lt;"&amp;G32,Table3[Stage],"Closed"))</f>
        <v>2</v>
      </c>
      <c r="J31" s="19">
        <f t="shared" ca="1" si="0"/>
        <v>30</v>
      </c>
      <c r="K31" s="78"/>
      <c r="L31" s="84">
        <v>45444</v>
      </c>
      <c r="M31" s="19">
        <v>0</v>
      </c>
      <c r="N31" s="18">
        <v>0</v>
      </c>
      <c r="O31" s="70">
        <v>0</v>
      </c>
    </row>
    <row r="32" spans="1:15" x14ac:dyDescent="0.25">
      <c r="A32" s="1" t="str">
        <f t="array" ref="A32">IFERROR(INDEX(Table2[Ref], MATCH(0, IF(('Ref Sheet'!$D$1=Table2[Overall Status])*(('Ref Sheet'!$A$1=Table2[Legal])), COUNTIF($A$1:$A31,Table2[Ref]), ""), 0)),"")</f>
        <v/>
      </c>
      <c r="B32" s="2" t="str">
        <f t="array" ref="B32">IFERROR(INDEX(Table2[Ref], MATCH(0, IF(('Ref Sheet'!$D$1=Table2[Overall Status])*(('Ref Sheet'!$B$1=Table2[Legal])), COUNTIF($B$1:$B31,Table2[Ref]), ""), 0)),"")</f>
        <v/>
      </c>
      <c r="C32" s="3" t="str">
        <f t="array" ref="C32">IFERROR(INDEX(Table2[Ref], MATCH(0, IF(('Ref Sheet'!$D$1=Table2[Overall Status])*(('Ref Sheet'!$C$1=Table2[Legal])), COUNTIF($C$1:$C31,Table2[Ref]), ""), 0)),"")</f>
        <v/>
      </c>
      <c r="G32" s="86">
        <v>45474</v>
      </c>
      <c r="H32" s="19">
        <f ca="1">IF($G32&gt;TODAY(),"",COUNTIFS(Table2[Date Received],"&gt;="&amp;'Ref Sheet'!G32,Table2[Date Received],"&lt;"&amp;G33))</f>
        <v>12</v>
      </c>
      <c r="I32" s="19">
        <f ca="1">IF(H32&gt;TODAY(),"",COUNTIFS(Table3[Date of Update],"&gt;="&amp;'Ref Sheet'!G32,Table3[Date of Update],"&lt;"&amp;G33,Table3[Stage],"Closed"))</f>
        <v>4</v>
      </c>
      <c r="J32" s="19">
        <f t="shared" ca="1" si="0"/>
        <v>38</v>
      </c>
      <c r="K32" s="78"/>
      <c r="L32" s="85">
        <v>45474</v>
      </c>
      <c r="M32" s="21"/>
      <c r="N32" s="18"/>
      <c r="O32" s="70"/>
    </row>
    <row r="33" spans="1:15" x14ac:dyDescent="0.25">
      <c r="A33" s="1" t="str">
        <f t="array" ref="A33">IFERROR(INDEX(Table2[Ref], MATCH(0, IF(('Ref Sheet'!$D$1=Table2[Overall Status])*(('Ref Sheet'!$A$1=Table2[Legal])), COUNTIF($A$1:$A32,Table2[Ref]), ""), 0)),"")</f>
        <v/>
      </c>
      <c r="B33" s="2" t="str">
        <f t="array" ref="B33">IFERROR(INDEX(Table2[Ref], MATCH(0, IF(('Ref Sheet'!$D$1=Table2[Overall Status])*(('Ref Sheet'!$B$1=Table2[Legal])), COUNTIF($B$1:$B32,Table2[Ref]), ""), 0)),"")</f>
        <v/>
      </c>
      <c r="C33" s="3" t="str">
        <f t="array" ref="C33">IFERROR(INDEX(Table2[Ref], MATCH(0, IF(('Ref Sheet'!$D$1=Table2[Overall Status])*(('Ref Sheet'!$C$1=Table2[Legal])), COUNTIF($C$1:$C32,Table2[Ref]), ""), 0)),"")</f>
        <v/>
      </c>
      <c r="G33" s="86">
        <v>45505</v>
      </c>
      <c r="H33" s="19">
        <f ca="1">IF($G33&gt;TODAY(),"",COUNTIFS(Table2[Date Received],"&gt;="&amp;'Ref Sheet'!G33,Table2[Date Received],"&lt;"&amp;G34))</f>
        <v>0</v>
      </c>
      <c r="I33" s="19">
        <f ca="1">IF(H33&gt;TODAY(),"",COUNTIFS(Table3[Date of Update],"&gt;="&amp;'Ref Sheet'!G33,Table3[Date of Update],"&lt;"&amp;G34,Table3[Stage],"Closed"))</f>
        <v>0</v>
      </c>
      <c r="J33" s="19">
        <f t="shared" ca="1" si="0"/>
        <v>38</v>
      </c>
      <c r="K33" s="78"/>
      <c r="L33" s="84">
        <v>45505</v>
      </c>
      <c r="M33" s="19"/>
      <c r="N33" s="18"/>
      <c r="O33" s="70"/>
    </row>
    <row r="34" spans="1:15" x14ac:dyDescent="0.25">
      <c r="A34" s="1" t="str">
        <f t="array" ref="A34">IFERROR(INDEX(Table2[Ref], MATCH(0, IF(('Ref Sheet'!$D$1=Table2[Overall Status])*(('Ref Sheet'!$A$1=Table2[Legal])), COUNTIF($A$1:$A33,Table2[Ref]), ""), 0)),"")</f>
        <v/>
      </c>
      <c r="B34" s="2" t="str">
        <f t="array" ref="B34">IFERROR(INDEX(Table2[Ref], MATCH(0, IF(('Ref Sheet'!$D$1=Table2[Overall Status])*(('Ref Sheet'!$B$1=Table2[Legal])), COUNTIF($B$1:$B33,Table2[Ref]), ""), 0)),"")</f>
        <v/>
      </c>
      <c r="C34" s="3" t="str">
        <f t="array" ref="C34">IFERROR(INDEX(Table2[Ref], MATCH(0, IF(('Ref Sheet'!$D$1=Table2[Overall Status])*(('Ref Sheet'!$C$1=Table2[Legal])), COUNTIF($C$1:$C33,Table2[Ref]), ""), 0)),"")</f>
        <v/>
      </c>
      <c r="G34" s="86">
        <v>45536</v>
      </c>
      <c r="H34" s="19">
        <f ca="1">IF($G34&gt;TODAY(),"",COUNTIFS(Table2[Date Received],"&gt;="&amp;'Ref Sheet'!G34,Table2[Date Received],"&lt;"&amp;G35))</f>
        <v>0</v>
      </c>
      <c r="I34" s="19">
        <f ca="1">IF(H34&gt;TODAY(),"",COUNTIFS(Table3[Date of Update],"&gt;="&amp;'Ref Sheet'!G34,Table3[Date of Update],"&lt;"&amp;G35,Table3[Stage],"Closed"))</f>
        <v>0</v>
      </c>
      <c r="J34" s="19">
        <f t="shared" ca="1" si="0"/>
        <v>38</v>
      </c>
      <c r="K34" s="78"/>
      <c r="L34" s="87">
        <v>45536</v>
      </c>
      <c r="M34" s="21"/>
      <c r="N34" s="18"/>
      <c r="O34" s="70"/>
    </row>
    <row r="35" spans="1:15" x14ac:dyDescent="0.25">
      <c r="A35" s="1" t="str">
        <f t="array" ref="A35">IFERROR(INDEX(Table2[Ref], MATCH(0, IF(('Ref Sheet'!$D$1=Table2[Overall Status])*(('Ref Sheet'!$A$1=Table2[Legal])), COUNTIF($A$1:$A34,Table2[Ref]), ""), 0)),"")</f>
        <v/>
      </c>
      <c r="B35" s="2" t="str">
        <f t="array" ref="B35">IFERROR(INDEX(Table2[Ref], MATCH(0, IF(('Ref Sheet'!$D$1=Table2[Overall Status])*(('Ref Sheet'!$B$1=Table2[Legal])), COUNTIF($B$1:$B34,Table2[Ref]), ""), 0)),"")</f>
        <v/>
      </c>
      <c r="C35" s="3" t="str">
        <f t="array" ref="C35">IFERROR(INDEX(Table2[Ref], MATCH(0, IF(('Ref Sheet'!$D$1=Table2[Overall Status])*(('Ref Sheet'!$C$1=Table2[Legal])), COUNTIF($C$1:$C34,Table2[Ref]), ""), 0)),"")</f>
        <v/>
      </c>
      <c r="G35" s="86">
        <v>45566</v>
      </c>
      <c r="H35" s="19">
        <f ca="1">IF($G35&gt;TODAY(),"",COUNTIFS(Table2[Date Received],"&gt;="&amp;'Ref Sheet'!G35,Table2[Date Received],"&lt;"&amp;G36))</f>
        <v>0</v>
      </c>
      <c r="I35" s="19">
        <f ca="1">IF(H35&gt;TODAY(),"",COUNTIFS(Table3[Date of Update],"&gt;="&amp;'Ref Sheet'!G35,Table3[Date of Update],"&lt;"&amp;G36,Table3[Stage],"Closed"))</f>
        <v>0</v>
      </c>
      <c r="J35" s="19">
        <f t="shared" ca="1" si="0"/>
        <v>38</v>
      </c>
      <c r="K35" s="78"/>
      <c r="L35" s="86">
        <v>45566</v>
      </c>
      <c r="M35" s="19"/>
      <c r="N35" s="18"/>
      <c r="O35" s="70"/>
    </row>
    <row r="36" spans="1:15" x14ac:dyDescent="0.25">
      <c r="A36" s="1" t="str">
        <f t="array" ref="A36">IFERROR(INDEX(Table2[Ref], MATCH(0, IF(('Ref Sheet'!$D$1=Table2[Overall Status])*(('Ref Sheet'!$A$1=Table2[Legal])), COUNTIF($A$1:$A35,Table2[Ref]), ""), 0)),"")</f>
        <v/>
      </c>
      <c r="B36" s="2" t="str">
        <f t="array" ref="B36">IFERROR(INDEX(Table2[Ref], MATCH(0, IF(('Ref Sheet'!$D$1=Table2[Overall Status])*(('Ref Sheet'!$B$1=Table2[Legal])), COUNTIF($B$1:$B35,Table2[Ref]), ""), 0)),"")</f>
        <v/>
      </c>
      <c r="C36" s="3" t="str">
        <f t="array" ref="C36">IFERROR(INDEX(Table2[Ref], MATCH(0, IF(('Ref Sheet'!$D$1=Table2[Overall Status])*(('Ref Sheet'!$C$1=Table2[Legal])), COUNTIF($C$1:$C35,Table2[Ref]), ""), 0)),"")</f>
        <v/>
      </c>
      <c r="G36" s="86">
        <v>45597</v>
      </c>
      <c r="H36" s="19">
        <f ca="1">IF($G36&gt;TODAY(),"",COUNTIFS(Table2[Date Received],"&gt;="&amp;'Ref Sheet'!G36,Table2[Date Received],"&lt;"&amp;G37))</f>
        <v>0</v>
      </c>
      <c r="I36" s="19">
        <f ca="1">IF(H36&gt;TODAY(),"",COUNTIFS(Table3[Date of Update],"&gt;="&amp;'Ref Sheet'!G36,Table3[Date of Update],"&lt;"&amp;G37,Table3[Stage],"Closed"))</f>
        <v>0</v>
      </c>
      <c r="J36" s="19">
        <f t="shared" ca="1" si="0"/>
        <v>38</v>
      </c>
      <c r="K36" s="78"/>
      <c r="L36" s="87">
        <v>45597</v>
      </c>
      <c r="M36" s="21"/>
      <c r="N36" s="18"/>
      <c r="O36" s="70"/>
    </row>
    <row r="37" spans="1:15" x14ac:dyDescent="0.25">
      <c r="A37" s="1" t="str">
        <f t="array" ref="A37">IFERROR(INDEX(Table2[Ref], MATCH(0, IF(('Ref Sheet'!$D$1=Table2[Overall Status])*(('Ref Sheet'!$A$1=Table2[Legal])), COUNTIF($A$1:$A36,Table2[Ref]), ""), 0)),"")</f>
        <v/>
      </c>
      <c r="B37" s="2" t="str">
        <f t="array" ref="B37">IFERROR(INDEX(Table2[Ref], MATCH(0, IF(('Ref Sheet'!$D$1=Table2[Overall Status])*(('Ref Sheet'!$B$1=Table2[Legal])), COUNTIF($B$1:$B36,Table2[Ref]), ""), 0)),"")</f>
        <v/>
      </c>
      <c r="C37" s="3" t="str">
        <f t="array" ref="C37">IFERROR(INDEX(Table2[Ref], MATCH(0, IF(('Ref Sheet'!$D$1=Table2[Overall Status])*(('Ref Sheet'!$C$1=Table2[Legal])), COUNTIF($C$1:$C36,Table2[Ref]), ""), 0)),"")</f>
        <v/>
      </c>
      <c r="G37" s="86">
        <v>45627</v>
      </c>
      <c r="H37" s="19">
        <f ca="1">IF($G37&gt;TODAY(),"",COUNTIFS(Table2[Date Received],"&gt;="&amp;'Ref Sheet'!G37,Table2[Date Received],"&lt;"&amp;G38))</f>
        <v>0</v>
      </c>
      <c r="I37" s="19">
        <f ca="1">IF(H37&gt;TODAY(),"",COUNTIFS(Table3[Date of Update],"&gt;="&amp;'Ref Sheet'!G37,Table3[Date of Update],"&lt;"&amp;G38,Table3[Stage],"Closed"))</f>
        <v>0</v>
      </c>
      <c r="J37" s="19">
        <f t="shared" ca="1" si="0"/>
        <v>38</v>
      </c>
      <c r="K37" s="78"/>
      <c r="L37" s="86">
        <v>45627</v>
      </c>
      <c r="M37" s="19"/>
      <c r="N37" s="18"/>
      <c r="O37" s="70"/>
    </row>
    <row r="38" spans="1:15" x14ac:dyDescent="0.25">
      <c r="A38" s="1" t="str">
        <f t="array" ref="A38">IFERROR(INDEX(Table2[Ref], MATCH(0, IF(('Ref Sheet'!$D$1=Table2[Overall Status])*(('Ref Sheet'!$A$1=Table2[Legal])), COUNTIF($A$1:$A37,Table2[Ref]), ""), 0)),"")</f>
        <v/>
      </c>
      <c r="B38" s="2" t="str">
        <f t="array" ref="B38">IFERROR(INDEX(Table2[Ref], MATCH(0, IF(('Ref Sheet'!$D$1=Table2[Overall Status])*(('Ref Sheet'!$B$1=Table2[Legal])), COUNTIF($B$1:$B37,Table2[Ref]), ""), 0)),"")</f>
        <v/>
      </c>
      <c r="C38" s="3" t="str">
        <f t="array" ref="C38">IFERROR(INDEX(Table2[Ref], MATCH(0, IF(('Ref Sheet'!$D$1=Table2[Overall Status])*(('Ref Sheet'!$C$1=Table2[Legal])), COUNTIF($C$1:$C37,Table2[Ref]), ""), 0)),"")</f>
        <v/>
      </c>
      <c r="G38" s="86">
        <v>45658</v>
      </c>
      <c r="H38" s="19">
        <f ca="1">IF($G38&gt;TODAY(),"",COUNTIFS(Table2[Date Received],"&gt;="&amp;'Ref Sheet'!G38,Table2[Date Received],"&lt;"&amp;G39))</f>
        <v>0</v>
      </c>
      <c r="I38" s="19">
        <f ca="1">IF(H38&gt;TODAY(),"",COUNTIFS(Table3[Date of Update],"&gt;="&amp;'Ref Sheet'!G38,Table3[Date of Update],"&lt;"&amp;G39,Table3[Stage],"Closed"))</f>
        <v>0</v>
      </c>
      <c r="J38" s="19">
        <f t="shared" ca="1" si="0"/>
        <v>38</v>
      </c>
      <c r="K38" s="78"/>
      <c r="L38" s="87">
        <v>45658</v>
      </c>
      <c r="M38" s="21"/>
      <c r="N38" s="18"/>
      <c r="O38" s="70"/>
    </row>
    <row r="39" spans="1:15" x14ac:dyDescent="0.25">
      <c r="A39" s="1" t="str">
        <f t="array" ref="A39">IFERROR(INDEX(Table2[Ref], MATCH(0, IF(('Ref Sheet'!$D$1=Table2[Overall Status])*(('Ref Sheet'!$A$1=Table2[Legal])), COUNTIF($A$1:$A38,Table2[Ref]), ""), 0)),"")</f>
        <v/>
      </c>
      <c r="B39" s="2" t="str">
        <f t="array" ref="B39">IFERROR(INDEX(Table2[Ref], MATCH(0, IF(('Ref Sheet'!$D$1=Table2[Overall Status])*(('Ref Sheet'!$B$1=Table2[Legal])), COUNTIF($B$1:$B38,Table2[Ref]), ""), 0)),"")</f>
        <v/>
      </c>
      <c r="C39" s="3" t="str">
        <f t="array" ref="C39">IFERROR(INDEX(Table2[Ref], MATCH(0, IF(('Ref Sheet'!$D$1=Table2[Overall Status])*(('Ref Sheet'!$C$1=Table2[Legal])), COUNTIF($C$1:$C38,Table2[Ref]), ""), 0)),"")</f>
        <v/>
      </c>
      <c r="G39" s="86">
        <v>45689</v>
      </c>
      <c r="H39" s="19">
        <f ca="1">IF($G39&gt;TODAY(),"",COUNTIFS(Table2[Date Received],"&gt;="&amp;'Ref Sheet'!G39,Table2[Date Received],"&lt;"&amp;G40))</f>
        <v>0</v>
      </c>
      <c r="I39" s="19">
        <f ca="1">IF(H39&gt;TODAY(),"",COUNTIFS(Table3[Date of Update],"&gt;="&amp;'Ref Sheet'!G39,Table3[Date of Update],"&lt;"&amp;G40,Table3[Stage],"Closed"))</f>
        <v>0</v>
      </c>
      <c r="J39" s="19">
        <f t="shared" ca="1" si="0"/>
        <v>38</v>
      </c>
      <c r="K39" s="78"/>
      <c r="L39" s="86">
        <v>45689</v>
      </c>
      <c r="M39" s="19"/>
      <c r="N39" s="18"/>
      <c r="O39" s="70"/>
    </row>
    <row r="40" spans="1:15" x14ac:dyDescent="0.25">
      <c r="A40" s="1" t="str">
        <f t="array" ref="A40">IFERROR(INDEX(Table2[Ref], MATCH(0, IF(('Ref Sheet'!$D$1=Table2[Overall Status])*(('Ref Sheet'!$A$1=Table2[Legal])), COUNTIF($A$1:$A39,Table2[Ref]), ""), 0)),"")</f>
        <v/>
      </c>
      <c r="B40" s="2" t="str">
        <f t="array" ref="B40">IFERROR(INDEX(Table2[Ref], MATCH(0, IF(('Ref Sheet'!$D$1=Table2[Overall Status])*(('Ref Sheet'!$B$1=Table2[Legal])), COUNTIF($B$1:$B39,Table2[Ref]), ""), 0)),"")</f>
        <v/>
      </c>
      <c r="C40" s="3" t="str">
        <f t="array" ref="C40">IFERROR(INDEX(Table2[Ref], MATCH(0, IF(('Ref Sheet'!$D$1=Table2[Overall Status])*(('Ref Sheet'!$C$1=Table2[Legal])), COUNTIF($C$1:$C39,Table2[Ref]), ""), 0)),"")</f>
        <v/>
      </c>
      <c r="G40" s="86">
        <v>45717</v>
      </c>
      <c r="H40" s="19">
        <f ca="1">IF($G40&gt;TODAY(),"",COUNTIFS(Table2[Date Received],"&gt;="&amp;'Ref Sheet'!G40,Table2[Date Received],"&lt;"&amp;G41))</f>
        <v>0</v>
      </c>
      <c r="I40" s="19">
        <f ca="1">IF(H40&gt;TODAY(),"",COUNTIFS(Table3[Date of Update],"&gt;="&amp;'Ref Sheet'!G40,Table3[Date of Update],"&lt;"&amp;G41,Table3[Stage],"Closed"))</f>
        <v>0</v>
      </c>
      <c r="J40" s="19">
        <f t="shared" ca="1" si="0"/>
        <v>38</v>
      </c>
      <c r="K40" s="78"/>
      <c r="L40" s="87">
        <v>45717</v>
      </c>
      <c r="M40" s="21"/>
      <c r="N40" s="18"/>
      <c r="O40" s="70"/>
    </row>
    <row r="41" spans="1:15" x14ac:dyDescent="0.25">
      <c r="A41" s="1" t="str">
        <f t="array" ref="A41">IFERROR(INDEX(Table2[Ref], MATCH(0, IF(('Ref Sheet'!$D$1=Table2[Overall Status])*(('Ref Sheet'!$A$1=Table2[Legal])), COUNTIF($A$1:$A40,Table2[Ref]), ""), 0)),"")</f>
        <v/>
      </c>
      <c r="B41" s="2" t="str">
        <f t="array" ref="B41">IFERROR(INDEX(Table2[Ref], MATCH(0, IF(('Ref Sheet'!$D$1=Table2[Overall Status])*(('Ref Sheet'!$B$1=Table2[Legal])), COUNTIF($B$1:$B40,Table2[Ref]), ""), 0)),"")</f>
        <v/>
      </c>
      <c r="C41" s="3" t="str">
        <f t="array" ref="C41">IFERROR(INDEX(Table2[Ref], MATCH(0, IF(('Ref Sheet'!$D$1=Table2[Overall Status])*(('Ref Sheet'!$C$1=Table2[Legal])), COUNTIF($C$1:$C40,Table2[Ref]), ""), 0)),"")</f>
        <v/>
      </c>
      <c r="G41" s="86">
        <v>45748</v>
      </c>
      <c r="H41" s="19" t="str">
        <f ca="1">IF($G41&gt;TODAY(),"",COUNTIFS(Table2[Date Received],"&gt;="&amp;'Ref Sheet'!G41,Table2[Date Received],"&lt;"&amp;Dashboard!#REF!))</f>
        <v/>
      </c>
      <c r="I41" s="19" t="str">
        <f ca="1">IF(H41&gt;TODAY(),"",COUNTIFS(Table3[Date of Update],"&gt;="&amp;'Ref Sheet'!G41,Table3[Date of Update],"&lt;"&amp;Dashboard!#REF!,Table3[Stage],"Closed"))</f>
        <v/>
      </c>
      <c r="J41" s="19" t="str">
        <f t="shared" ca="1" si="0"/>
        <v/>
      </c>
      <c r="K41" s="78"/>
      <c r="L41" s="86">
        <v>45748</v>
      </c>
      <c r="M41" s="19"/>
      <c r="N41" s="18"/>
      <c r="O41" s="70"/>
    </row>
    <row r="42" spans="1:15" x14ac:dyDescent="0.25">
      <c r="A42" s="1" t="str">
        <f t="array" ref="A42">IFERROR(INDEX(Table2[Ref], MATCH(0, IF(('Ref Sheet'!$D$1=Table2[Overall Status])*(('Ref Sheet'!$A$1=Table2[Legal])), COUNTIF($A$1:$A41,Table2[Ref]), ""), 0)),"")</f>
        <v/>
      </c>
      <c r="B42" s="2" t="str">
        <f t="array" ref="B42">IFERROR(INDEX(Table2[Ref], MATCH(0, IF(('Ref Sheet'!$D$1=Table2[Overall Status])*(('Ref Sheet'!$B$1=Table2[Legal])), COUNTIF($B$1:$B41,Table2[Ref]), ""), 0)),"")</f>
        <v/>
      </c>
      <c r="C42" s="3" t="str">
        <f t="array" ref="C42">IFERROR(INDEX(Table2[Ref], MATCH(0, IF(('Ref Sheet'!$D$1=Table2[Overall Status])*(('Ref Sheet'!$C$1=Table2[Legal])), COUNTIF($C$1:$C41,Table2[Ref]), ""), 0)),"")</f>
        <v/>
      </c>
    </row>
    <row r="43" spans="1:15" x14ac:dyDescent="0.25">
      <c r="A43" s="1" t="str">
        <f t="array" ref="A43">IFERROR(INDEX(Table2[Ref], MATCH(0, IF(('Ref Sheet'!$D$1=Table2[Overall Status])*(('Ref Sheet'!$A$1=Table2[Legal])), COUNTIF($A$1:$A42,Table2[Ref]), ""), 0)),"")</f>
        <v/>
      </c>
      <c r="B43" s="2" t="str">
        <f t="array" ref="B43">IFERROR(INDEX(Table2[Ref], MATCH(0, IF(('Ref Sheet'!$D$1=Table2[Overall Status])*(('Ref Sheet'!$B$1=Table2[Legal])), COUNTIF($B$1:$B42,Table2[Ref]), ""), 0)),"")</f>
        <v/>
      </c>
      <c r="C43" s="3" t="str">
        <f t="array" ref="C43">IFERROR(INDEX(Table2[Ref], MATCH(0, IF(('Ref Sheet'!$D$1=Table2[Overall Status])*(('Ref Sheet'!$C$1=Table2[Legal])), COUNTIF($C$1:$C42,Table2[Ref]), ""), 0)),"")</f>
        <v/>
      </c>
    </row>
    <row r="44" spans="1:15" x14ac:dyDescent="0.25">
      <c r="A44" s="1" t="str">
        <f t="array" ref="A44">IFERROR(INDEX(Table2[Ref], MATCH(0, IF(('Ref Sheet'!$D$1=Table2[Overall Status])*(('Ref Sheet'!$A$1=Table2[Legal])), COUNTIF($A$1:$A43,Table2[Ref]), ""), 0)),"")</f>
        <v/>
      </c>
      <c r="B44" s="2" t="str">
        <f t="array" ref="B44">IFERROR(INDEX(Table2[Ref], MATCH(0, IF(('Ref Sheet'!$D$1=Table2[Overall Status])*(('Ref Sheet'!$B$1=Table2[Legal])), COUNTIF($B$1:$B43,Table2[Ref]), ""), 0)),"")</f>
        <v/>
      </c>
      <c r="C44" s="3" t="str">
        <f t="array" ref="C44">IFERROR(INDEX(Table2[Ref], MATCH(0, IF(('Ref Sheet'!$D$1=Table2[Overall Status])*(('Ref Sheet'!$C$1=Table2[Legal])), COUNTIF($C$1:$C43,Table2[Ref]), ""), 0)),"")</f>
        <v/>
      </c>
    </row>
    <row r="45" spans="1:15" x14ac:dyDescent="0.25">
      <c r="A45" s="1" t="str">
        <f t="array" ref="A45">IFERROR(INDEX(Table2[Ref], MATCH(0, IF(('Ref Sheet'!$D$1=Table2[Overall Status])*(('Ref Sheet'!$A$1=Table2[Legal])), COUNTIF($A$1:$A44,Table2[Ref]), ""), 0)),"")</f>
        <v/>
      </c>
      <c r="B45" s="2" t="str">
        <f t="array" ref="B45">IFERROR(INDEX(Table2[Ref], MATCH(0, IF(('Ref Sheet'!$D$1=Table2[Overall Status])*(('Ref Sheet'!$B$1=Table2[Legal])), COUNTIF($B$1:$B44,Table2[Ref]), ""), 0)),"")</f>
        <v/>
      </c>
      <c r="C45" s="3" t="str">
        <f t="array" ref="C45">IFERROR(INDEX(Table2[Ref], MATCH(0, IF(('Ref Sheet'!$D$1=Table2[Overall Status])*(('Ref Sheet'!$C$1=Table2[Legal])), COUNTIF($C$1:$C44,Table2[Ref]), ""), 0)),"")</f>
        <v/>
      </c>
    </row>
    <row r="46" spans="1:15" x14ac:dyDescent="0.25">
      <c r="A46" s="1" t="str">
        <f t="array" ref="A46">IFERROR(INDEX(Table2[Ref], MATCH(0, IF(('Ref Sheet'!$D$1=Table2[Overall Status])*(('Ref Sheet'!$A$1=Table2[Legal])), COUNTIF($A$1:$A45,Table2[Ref]), ""), 0)),"")</f>
        <v/>
      </c>
      <c r="B46" s="2" t="str">
        <f t="array" ref="B46">IFERROR(INDEX(Table2[Ref], MATCH(0, IF(('Ref Sheet'!$D$1=Table2[Overall Status])*(('Ref Sheet'!$B$1=Table2[Legal])), COUNTIF($B$1:$B45,Table2[Ref]), ""), 0)),"")</f>
        <v/>
      </c>
      <c r="C46" s="3" t="str">
        <f t="array" ref="C46">IFERROR(INDEX(Table2[Ref], MATCH(0, IF(('Ref Sheet'!$D$1=Table2[Overall Status])*(('Ref Sheet'!$C$1=Table2[Legal])), COUNTIF($C$1:$C45,Table2[Ref]), ""), 0)),"")</f>
        <v/>
      </c>
    </row>
    <row r="47" spans="1:15" x14ac:dyDescent="0.25">
      <c r="A47" s="1" t="str">
        <f t="array" ref="A47">IFERROR(INDEX(Table2[Ref], MATCH(0, IF(('Ref Sheet'!$D$1=Table2[Overall Status])*(('Ref Sheet'!$A$1=Table2[Legal])), COUNTIF($A$1:$A46,Table2[Ref]), ""), 0)),"")</f>
        <v/>
      </c>
      <c r="B47" s="2" t="str">
        <f t="array" ref="B47">IFERROR(INDEX(Table2[Ref], MATCH(0, IF(('Ref Sheet'!$D$1=Table2[Overall Status])*(('Ref Sheet'!$B$1=Table2[Legal])), COUNTIF($B$1:$B46,Table2[Ref]), ""), 0)),"")</f>
        <v/>
      </c>
      <c r="C47" s="3" t="str">
        <f t="array" ref="C47">IFERROR(INDEX(Table2[Ref], MATCH(0, IF(('Ref Sheet'!$D$1=Table2[Overall Status])*(('Ref Sheet'!$C$1=Table2[Legal])), COUNTIF($C$1:$C46,Table2[Ref]), ""), 0)),"")</f>
        <v/>
      </c>
    </row>
    <row r="48" spans="1:15" x14ac:dyDescent="0.25">
      <c r="A48" s="1" t="str">
        <f t="array" ref="A48">IFERROR(INDEX(Table2[Ref], MATCH(0, IF(('Ref Sheet'!$D$1=Table2[Overall Status])*(('Ref Sheet'!$A$1=Table2[Legal])), COUNTIF($A$1:$A47,Table2[Ref]), ""), 0)),"")</f>
        <v/>
      </c>
      <c r="B48" s="2" t="str">
        <f t="array" ref="B48">IFERROR(INDEX(Table2[Ref], MATCH(0, IF(('Ref Sheet'!$D$1=Table2[Overall Status])*(('Ref Sheet'!$B$1=Table2[Legal])), COUNTIF($B$1:$B47,Table2[Ref]), ""), 0)),"")</f>
        <v/>
      </c>
      <c r="C48" s="3" t="str">
        <f t="array" ref="C48">IFERROR(INDEX(Table2[Ref], MATCH(0, IF(('Ref Sheet'!$D$1=Table2[Overall Status])*(('Ref Sheet'!$C$1=Table2[Legal])), COUNTIF($C$1:$C47,Table2[Ref]), ""), 0)),"")</f>
        <v/>
      </c>
    </row>
    <row r="49" spans="1:3" x14ac:dyDescent="0.25">
      <c r="A49" s="1" t="str">
        <f t="array" ref="A49">IFERROR(INDEX(Table2[Ref], MATCH(0, IF(('Ref Sheet'!$D$1=Table2[Overall Status])*(('Ref Sheet'!$A$1=Table2[Legal])), COUNTIF($A$1:$A48,Table2[Ref]), ""), 0)),"")</f>
        <v/>
      </c>
      <c r="B49" s="2" t="str">
        <f t="array" ref="B49">IFERROR(INDEX(Table2[Ref], MATCH(0, IF(('Ref Sheet'!$D$1=Table2[Overall Status])*(('Ref Sheet'!$B$1=Table2[Legal])), COUNTIF($B$1:$B48,Table2[Ref]), ""), 0)),"")</f>
        <v/>
      </c>
      <c r="C49" s="3" t="str">
        <f t="array" ref="C49">IFERROR(INDEX(Table2[Ref], MATCH(0, IF(('Ref Sheet'!$D$1=Table2[Overall Status])*(('Ref Sheet'!$C$1=Table2[Legal])), COUNTIF($C$1:$C48,Table2[Ref]), ""), 0)),"")</f>
        <v/>
      </c>
    </row>
    <row r="50" spans="1:3" x14ac:dyDescent="0.25">
      <c r="A50" s="1" t="str">
        <f t="array" ref="A50">IFERROR(INDEX(Table2[Ref], MATCH(0, IF(('Ref Sheet'!$D$1=Table2[Overall Status])*(('Ref Sheet'!$A$1=Table2[Legal])), COUNTIF($A$1:$A49,Table2[Ref]), ""), 0)),"")</f>
        <v/>
      </c>
      <c r="B50" s="2" t="str">
        <f t="array" ref="B50">IFERROR(INDEX(Table2[Ref], MATCH(0, IF(('Ref Sheet'!$D$1=Table2[Overall Status])*(('Ref Sheet'!$B$1=Table2[Legal])), COUNTIF($B$1:$B49,Table2[Ref]), ""), 0)),"")</f>
        <v/>
      </c>
      <c r="C50" s="3" t="str">
        <f t="array" ref="C50">IFERROR(INDEX(Table2[Ref], MATCH(0, IF(('Ref Sheet'!$D$1=Table2[Overall Status])*(('Ref Sheet'!$C$1=Table2[Legal])), COUNTIF($C$1:$C49,Table2[Ref]), ""), 0)),"")</f>
        <v/>
      </c>
    </row>
  </sheetData>
  <mergeCells count="2">
    <mergeCell ref="L1:O1"/>
    <mergeCell ref="G1:J1"/>
  </mergeCells>
  <dataValidations count="1">
    <dataValidation type="list" allowBlank="1" showInputMessage="1" showErrorMessage="1" sqref="H2" xr:uid="{F2369DB4-5CF4-4A2F-B6C6-3EFEC547F7DF}">
      <formula1>INDIRECT(G2)</formula1>
    </dataValidation>
  </dataValidations>
  <pageMargins left="0.7" right="0.7" top="0.75" bottom="0.75" header="0.3" footer="0.3"/>
  <tableParts count="3">
    <tablePart r:id="rId1"/>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433557-EBBA-454C-8EBA-FCBEF7A19F45}">
  <sheetPr codeName="Sheet3"/>
  <dimension ref="A1:G6"/>
  <sheetViews>
    <sheetView zoomScale="98" workbookViewId="0">
      <selection activeCell="E9" sqref="E9"/>
    </sheetView>
  </sheetViews>
  <sheetFormatPr defaultRowHeight="13.8" x14ac:dyDescent="0.25"/>
  <cols>
    <col min="1" max="2" width="9.8984375" bestFit="1" customWidth="1"/>
    <col min="5" max="5" width="44.796875" customWidth="1"/>
    <col min="6" max="6" width="12.3984375" customWidth="1"/>
    <col min="7" max="7" width="53.296875" customWidth="1"/>
  </cols>
  <sheetData>
    <row r="1" spans="1:7" x14ac:dyDescent="0.25">
      <c r="A1" s="25" t="s">
        <v>1032</v>
      </c>
      <c r="B1" s="26" t="s">
        <v>1033</v>
      </c>
      <c r="C1" s="26" t="s">
        <v>1034</v>
      </c>
      <c r="D1" s="26" t="s">
        <v>1035</v>
      </c>
      <c r="E1" s="26" t="s">
        <v>1036</v>
      </c>
      <c r="F1" s="26" t="s">
        <v>1037</v>
      </c>
      <c r="G1" s="27" t="s">
        <v>1038</v>
      </c>
    </row>
    <row r="2" spans="1:7" ht="39.6" x14ac:dyDescent="0.25">
      <c r="A2" s="52">
        <v>44825</v>
      </c>
      <c r="B2" s="53">
        <v>44867</v>
      </c>
      <c r="C2" s="54" t="s">
        <v>1039</v>
      </c>
      <c r="D2" s="54" t="s">
        <v>1040</v>
      </c>
      <c r="E2" s="54" t="s">
        <v>1041</v>
      </c>
      <c r="F2" s="54" t="s">
        <v>1042</v>
      </c>
      <c r="G2" s="55" t="s">
        <v>1043</v>
      </c>
    </row>
    <row r="3" spans="1:7" ht="52.8" x14ac:dyDescent="0.25">
      <c r="A3" s="56" t="s">
        <v>1044</v>
      </c>
      <c r="B3" s="57">
        <v>45017</v>
      </c>
      <c r="C3" s="54" t="s">
        <v>507</v>
      </c>
      <c r="D3" s="54" t="s">
        <v>1045</v>
      </c>
      <c r="E3" s="54" t="s">
        <v>1046</v>
      </c>
      <c r="F3" s="58">
        <v>23850</v>
      </c>
      <c r="G3" s="55" t="s">
        <v>1047</v>
      </c>
    </row>
    <row r="4" spans="1:7" ht="52.8" x14ac:dyDescent="0.25">
      <c r="A4" s="59">
        <v>45261</v>
      </c>
      <c r="B4" s="53">
        <v>45293</v>
      </c>
      <c r="C4" s="54" t="s">
        <v>719</v>
      </c>
      <c r="D4" s="54" t="s">
        <v>1045</v>
      </c>
      <c r="E4" s="54" t="s">
        <v>1046</v>
      </c>
      <c r="F4" s="60" t="s">
        <v>1048</v>
      </c>
      <c r="G4" s="55" t="s">
        <v>1049</v>
      </c>
    </row>
    <row r="5" spans="1:7" ht="66" x14ac:dyDescent="0.25">
      <c r="A5" s="56" t="s">
        <v>501</v>
      </c>
      <c r="B5" s="53">
        <v>45315</v>
      </c>
      <c r="C5" s="54" t="s">
        <v>1050</v>
      </c>
      <c r="D5" s="54" t="s">
        <v>1051</v>
      </c>
      <c r="E5" s="54" t="s">
        <v>1052</v>
      </c>
      <c r="F5" s="54" t="s">
        <v>501</v>
      </c>
      <c r="G5" s="55" t="s">
        <v>1053</v>
      </c>
    </row>
    <row r="6" spans="1:7" ht="26.4" x14ac:dyDescent="0.25">
      <c r="A6" s="61">
        <v>44917</v>
      </c>
      <c r="B6" s="62">
        <v>44946</v>
      </c>
      <c r="C6" s="63" t="s">
        <v>1054</v>
      </c>
      <c r="D6" s="63" t="s">
        <v>36</v>
      </c>
      <c r="E6" s="63" t="s">
        <v>1055</v>
      </c>
      <c r="F6" s="63" t="s">
        <v>501</v>
      </c>
      <c r="G6" s="64" t="s">
        <v>1056</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A75FC6-39F1-4D10-B9DA-30605F43E23C}">
  <sheetPr codeName="Sheet6"/>
  <dimension ref="A1:H11"/>
  <sheetViews>
    <sheetView zoomScale="91" workbookViewId="0">
      <selection activeCell="D30" sqref="D30"/>
    </sheetView>
  </sheetViews>
  <sheetFormatPr defaultRowHeight="13.2" x14ac:dyDescent="0.25"/>
  <cols>
    <col min="1" max="1" width="9.8984375" style="23" bestFit="1" customWidth="1"/>
    <col min="2" max="2" width="16.3984375" style="23" customWidth="1"/>
    <col min="3" max="3" width="21.5" style="23" customWidth="1"/>
    <col min="4" max="4" width="30.69921875" style="23" customWidth="1"/>
    <col min="5" max="5" width="17.69921875" style="23" customWidth="1"/>
    <col min="6" max="6" width="14.8984375" style="23" customWidth="1"/>
    <col min="7" max="7" width="17.296875" style="23" customWidth="1"/>
    <col min="8" max="16384" width="8.796875" style="23"/>
  </cols>
  <sheetData>
    <row r="1" spans="1:8" x14ac:dyDescent="0.25">
      <c r="A1" s="28" t="s">
        <v>1057</v>
      </c>
      <c r="B1" s="29" t="s">
        <v>1058</v>
      </c>
      <c r="C1" s="29" t="s">
        <v>1059</v>
      </c>
      <c r="D1" s="29" t="s">
        <v>1036</v>
      </c>
      <c r="E1" s="29" t="s">
        <v>1060</v>
      </c>
      <c r="F1" s="29" t="s">
        <v>1061</v>
      </c>
      <c r="G1" s="29" t="s">
        <v>1062</v>
      </c>
      <c r="H1" s="30" t="s">
        <v>196</v>
      </c>
    </row>
    <row r="2" spans="1:8" x14ac:dyDescent="0.25">
      <c r="A2" s="31">
        <v>44848</v>
      </c>
      <c r="B2" s="32" t="s">
        <v>1063</v>
      </c>
      <c r="C2" s="32" t="s">
        <v>442</v>
      </c>
      <c r="D2" s="32" t="s">
        <v>1064</v>
      </c>
      <c r="E2" s="32" t="s">
        <v>501</v>
      </c>
      <c r="F2" s="33">
        <v>45107</v>
      </c>
      <c r="G2" s="32" t="s">
        <v>467</v>
      </c>
      <c r="H2" s="34" t="str">
        <f>IF(Table1[[#This Row],[Completion Date]]&gt;0,"Closed","Open")</f>
        <v>Closed</v>
      </c>
    </row>
    <row r="3" spans="1:8" x14ac:dyDescent="0.25">
      <c r="A3" s="31">
        <v>44927</v>
      </c>
      <c r="B3" s="32" t="s">
        <v>1065</v>
      </c>
      <c r="C3" s="32" t="s">
        <v>442</v>
      </c>
      <c r="D3" s="32" t="s">
        <v>1066</v>
      </c>
      <c r="E3" s="32" t="s">
        <v>501</v>
      </c>
      <c r="F3" s="32"/>
      <c r="G3" s="32" t="s">
        <v>467</v>
      </c>
      <c r="H3" s="34" t="str">
        <f>IF(Table1[[#This Row],[Completion Date]]&gt;0,"Closed","Open")</f>
        <v>Open</v>
      </c>
    </row>
    <row r="4" spans="1:8" x14ac:dyDescent="0.25">
      <c r="A4" s="31">
        <v>44981</v>
      </c>
      <c r="B4" s="32" t="s">
        <v>1063</v>
      </c>
      <c r="C4" s="32" t="s">
        <v>987</v>
      </c>
      <c r="D4" s="32" t="s">
        <v>1067</v>
      </c>
      <c r="E4" s="33">
        <v>45002</v>
      </c>
      <c r="F4" s="33">
        <v>45007</v>
      </c>
      <c r="G4" s="32" t="s">
        <v>467</v>
      </c>
      <c r="H4" s="34" t="str">
        <f>IF(Table1[[#This Row],[Completion Date]]&gt;0,"Closed","Open")</f>
        <v>Closed</v>
      </c>
    </row>
    <row r="5" spans="1:8" x14ac:dyDescent="0.25">
      <c r="A5" s="31">
        <v>44981</v>
      </c>
      <c r="B5" s="32" t="s">
        <v>1065</v>
      </c>
      <c r="C5" s="32" t="s">
        <v>987</v>
      </c>
      <c r="D5" s="32" t="s">
        <v>1068</v>
      </c>
      <c r="E5" s="33">
        <v>45033</v>
      </c>
      <c r="F5" s="33">
        <v>45250</v>
      </c>
      <c r="G5" s="32" t="s">
        <v>467</v>
      </c>
      <c r="H5" s="34" t="str">
        <f>IF(Table1[[#This Row],[Completion Date]]&gt;0,"Closed","Open")</f>
        <v>Closed</v>
      </c>
    </row>
    <row r="6" spans="1:8" x14ac:dyDescent="0.25">
      <c r="A6" s="31">
        <v>44981</v>
      </c>
      <c r="B6" s="32" t="s">
        <v>1063</v>
      </c>
      <c r="C6" s="32" t="s">
        <v>987</v>
      </c>
      <c r="D6" s="32" t="s">
        <v>1069</v>
      </c>
      <c r="E6" s="33">
        <v>45033</v>
      </c>
      <c r="F6" s="33">
        <v>45142</v>
      </c>
      <c r="G6" s="32" t="s">
        <v>467</v>
      </c>
      <c r="H6" s="34" t="s">
        <v>169</v>
      </c>
    </row>
    <row r="7" spans="1:8" x14ac:dyDescent="0.25">
      <c r="A7" s="31">
        <v>45147</v>
      </c>
      <c r="B7" s="32" t="s">
        <v>1063</v>
      </c>
      <c r="C7" s="32" t="s">
        <v>987</v>
      </c>
      <c r="D7" s="32" t="s">
        <v>1070</v>
      </c>
      <c r="E7" s="33">
        <v>45154</v>
      </c>
      <c r="F7" s="33">
        <v>45154</v>
      </c>
      <c r="G7" s="32" t="s">
        <v>467</v>
      </c>
      <c r="H7" s="34" t="s">
        <v>169</v>
      </c>
    </row>
    <row r="8" spans="1:8" x14ac:dyDescent="0.25">
      <c r="A8" s="31">
        <v>45093</v>
      </c>
      <c r="B8" s="32" t="s">
        <v>1065</v>
      </c>
      <c r="C8" s="32" t="s">
        <v>987</v>
      </c>
      <c r="D8" s="32" t="s">
        <v>1071</v>
      </c>
      <c r="E8" s="33">
        <v>45183</v>
      </c>
      <c r="F8" s="33">
        <v>45250</v>
      </c>
      <c r="G8" s="32" t="s">
        <v>76</v>
      </c>
      <c r="H8" s="34" t="s">
        <v>169</v>
      </c>
    </row>
    <row r="9" spans="1:8" x14ac:dyDescent="0.25">
      <c r="A9" s="31">
        <v>45343</v>
      </c>
      <c r="B9" s="32" t="s">
        <v>1063</v>
      </c>
      <c r="C9" s="32" t="s">
        <v>442</v>
      </c>
      <c r="D9" s="32" t="s">
        <v>1072</v>
      </c>
      <c r="E9" s="33">
        <v>45412</v>
      </c>
      <c r="F9" s="32"/>
      <c r="G9" s="32" t="s">
        <v>467</v>
      </c>
      <c r="H9" s="34" t="s">
        <v>18</v>
      </c>
    </row>
    <row r="10" spans="1:8" x14ac:dyDescent="0.25">
      <c r="A10" s="31">
        <v>45447</v>
      </c>
      <c r="B10" s="32" t="s">
        <v>1063</v>
      </c>
      <c r="C10" s="32" t="s">
        <v>442</v>
      </c>
      <c r="D10" s="32" t="s">
        <v>1073</v>
      </c>
      <c r="E10" s="32"/>
      <c r="F10" s="33">
        <v>45455</v>
      </c>
      <c r="G10" s="32" t="s">
        <v>467</v>
      </c>
      <c r="H10" s="34" t="str">
        <f>IF(Table1[[#This Row],[Completion Date]]&gt;0,"Closed","Open")</f>
        <v>Closed</v>
      </c>
    </row>
    <row r="11" spans="1:8" x14ac:dyDescent="0.25">
      <c r="A11" s="35">
        <v>45449</v>
      </c>
      <c r="B11" s="36" t="s">
        <v>1063</v>
      </c>
      <c r="C11" s="36" t="s">
        <v>442</v>
      </c>
      <c r="D11" s="36" t="s">
        <v>1074</v>
      </c>
      <c r="E11" s="36"/>
      <c r="F11" s="37">
        <v>45455</v>
      </c>
      <c r="G11" s="36" t="s">
        <v>467</v>
      </c>
      <c r="H11" s="38" t="str">
        <f>IF(Table1[[#This Row],[Completion Date]]&gt;0,"Closed","Open")</f>
        <v>Closed</v>
      </c>
    </row>
  </sheetData>
  <dataValidations count="1">
    <dataValidation type="list" allowBlank="1" showInputMessage="1" showErrorMessage="1" sqref="B2:B11" xr:uid="{6CC92224-D090-4798-ADF5-D1865D35CA5E}">
      <formula1>"Template Documentation, Policies &amp; Procedures, Training"</formula1>
    </dataValidation>
  </dataValidations>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3</vt:i4>
      </vt:variant>
    </vt:vector>
  </HeadingPairs>
  <TitlesOfParts>
    <vt:vector size="10" baseType="lpstr">
      <vt:lpstr>Audit</vt:lpstr>
      <vt:lpstr>Dashboard</vt:lpstr>
      <vt:lpstr>Contracts</vt:lpstr>
      <vt:lpstr>Old Contracts</vt:lpstr>
      <vt:lpstr>Ref Sheet</vt:lpstr>
      <vt:lpstr>Fraud</vt:lpstr>
      <vt:lpstr>Policies</vt:lpstr>
      <vt:lpstr>Andrew</vt:lpstr>
      <vt:lpstr>Charlotte</vt:lpstr>
      <vt:lpstr>TuSen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Charlotte Capstaff</dc:creator>
  <cp:lastModifiedBy>Medivet</cp:lastModifiedBy>
  <dcterms:created xsi:type="dcterms:W3CDTF">2024-02-08T09:35:26Z</dcterms:created>
  <dcterms:modified xsi:type="dcterms:W3CDTF">2025-03-19T11:38:41Z</dcterms:modified>
</cp:coreProperties>
</file>